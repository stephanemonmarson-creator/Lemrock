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Détail par ad" sheetId="2" state="visible" r:id="rId2"/>
    <sheet name="Top 10 ads par client" sheetId="3" state="visible" r:id="rId3"/>
    <sheet name="Méthodo" sheetId="4" state="visible" r:id="rId4"/>
  </sheets>
  <definedNames>
    <definedName name="_xlnm._FilterDatabase" localSheetId="1" hidden="1">'Détail par ad'!$A$1:$J$2174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sz val="10"/>
    </font>
    <font>
      <name val="Arial"/>
      <color rgb="001F4E9E"/>
      <sz val="10"/>
      <u val="single"/>
    </font>
    <font>
      <name val="Arial"/>
      <b val="1"/>
      <color rgb="001F3864"/>
      <sz val="13"/>
    </font>
    <font>
      <name val="Arial"/>
      <i val="1"/>
      <color rgb="00666666"/>
      <sz val="9"/>
    </font>
    <font>
      <name val="Arial"/>
      <b val="1"/>
      <color rgb="001F3864"/>
      <sz val="11"/>
    </font>
    <font>
      <name val="Arial"/>
      <b val="1"/>
      <color rgb="001F3864"/>
      <sz val="14"/>
    </font>
    <font>
      <name val="Arial"/>
      <b val="1"/>
      <color rgb="001F3864"/>
      <sz val="10"/>
    </font>
    <font>
      <name val="Arial"/>
      <b val="1"/>
      <sz val="10"/>
    </font>
    <font>
      <name val="Arial"/>
      <b val="1"/>
      <color rgb="00FFFFFF"/>
      <sz val="11"/>
    </font>
    <font>
      <name val="Arial"/>
      <b val="1"/>
      <color rgb="00FFFFFF"/>
    </font>
    <font>
      <name val="Arial"/>
      <b val="1"/>
      <color rgb="001F3864"/>
      <sz val="12"/>
    </font>
    <font>
      <name val="Arial"/>
      <color rgb="00000000"/>
      <sz val="10"/>
    </font>
  </fonts>
  <fills count="4">
    <fill>
      <patternFill/>
    </fill>
    <fill>
      <patternFill patternType="gray125"/>
    </fill>
    <fill>
      <patternFill patternType="solid">
        <fgColor rgb="001F3864"/>
      </patternFill>
    </fill>
    <fill>
      <patternFill patternType="solid">
        <fgColor rgb="00D9E2F3"/>
      </patternFill>
    </fill>
  </fills>
  <borders count="3">
    <border>
      <left/>
      <right/>
      <top/>
      <bottom/>
      <diagonal/>
    </border>
    <border>
      <bottom style="thin">
        <color rgb="00D0D7E5"/>
      </bottom>
    </border>
    <border>
      <top style="thin">
        <color rgb="001F3864"/>
      </top>
    </border>
  </borders>
  <cellStyleXfs count="1">
    <xf numFmtId="0" fontId="0" fillId="0" borderId="0"/>
  </cellStyleXfs>
  <cellXfs count="27">
    <xf numFmtId="0" fontId="0" fillId="0" borderId="0" pivotButton="0" quotePrefix="0" xfId="0"/>
    <xf numFmtId="0" fontId="7" fillId="0" borderId="0" pivotButton="0" quotePrefix="0" xfId="0"/>
    <xf numFmtId="0" fontId="5" fillId="0" borderId="0" pivotButton="0" quotePrefix="0" xfId="0"/>
    <xf numFmtId="0" fontId="1" fillId="2" borderId="0" applyAlignment="1" pivotButton="0" quotePrefix="0" xfId="0">
      <alignment horizontal="center" vertical="center" wrapText="1"/>
    </xf>
    <xf numFmtId="0" fontId="8" fillId="3" borderId="0" pivotButton="0" quotePrefix="0" xfId="0"/>
    <xf numFmtId="0" fontId="0" fillId="3" borderId="0" pivotButton="0" quotePrefix="0" xfId="0"/>
    <xf numFmtId="0" fontId="2" fillId="0" borderId="1" pivotButton="0" quotePrefix="0" xfId="0"/>
    <xf numFmtId="3" fontId="2" fillId="0" borderId="1" pivotButton="0" quotePrefix="0" xfId="0"/>
    <xf numFmtId="10" fontId="2" fillId="0" borderId="1" applyAlignment="1" pivotButton="0" quotePrefix="0" xfId="0">
      <alignment horizontal="right"/>
    </xf>
    <xf numFmtId="0" fontId="9" fillId="0" borderId="2" pivotButton="0" quotePrefix="0" xfId="0"/>
    <xf numFmtId="0" fontId="0" fillId="0" borderId="2" pivotButton="0" quotePrefix="0" xfId="0"/>
    <xf numFmtId="3" fontId="9" fillId="0" borderId="2" pivotButton="0" quotePrefix="0" xfId="0"/>
    <xf numFmtId="10" fontId="9" fillId="0" borderId="2" pivotButton="0" quotePrefix="0" xfId="0"/>
    <xf numFmtId="0" fontId="10" fillId="2" borderId="0" pivotButton="0" quotePrefix="0" xfId="0"/>
    <xf numFmtId="0" fontId="0" fillId="2" borderId="0" pivotButton="0" quotePrefix="0" xfId="0"/>
    <xf numFmtId="3" fontId="11" fillId="2" borderId="0" pivotButton="0" quotePrefix="0" xfId="0"/>
    <xf numFmtId="10" fontId="11" fillId="2" borderId="0"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3" fontId="2" fillId="0" borderId="1" applyAlignment="1" pivotButton="0" quotePrefix="0" xfId="0">
      <alignment vertical="top"/>
    </xf>
    <xf numFmtId="10" fontId="2" fillId="0" borderId="1" applyAlignment="1" pivotButton="0" quotePrefix="0" xfId="0">
      <alignment vertical="top"/>
    </xf>
    <xf numFmtId="0" fontId="4" fillId="0" borderId="0" pivotButton="0" quotePrefix="0" xfId="0"/>
    <xf numFmtId="0" fontId="6" fillId="3" borderId="0" pivotButton="0" quotePrefix="0" xfId="0"/>
    <xf numFmtId="0" fontId="2" fillId="0" borderId="1" applyAlignment="1" pivotButton="0" quotePrefix="0" xfId="0">
      <alignment horizontal="center" vertical="top"/>
    </xf>
    <xf numFmtId="0" fontId="12" fillId="0" borderId="0" applyAlignment="1" pivotButton="0" quotePrefix="0" xfId="0">
      <alignment wrapText="1"/>
    </xf>
    <xf numFmtId="0" fontId="1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oulanger.com/ref/1145344?at_medium=gea&amp;at_campaign=lemrock" TargetMode="External" Id="rId1" /><Relationship Type="http://schemas.openxmlformats.org/officeDocument/2006/relationships/hyperlink" Target="https://www.boulanger.com/ref/1200027?at_medium=gea&amp;at_campaign=lemrock" TargetMode="External" Id="rId2" /><Relationship Type="http://schemas.openxmlformats.org/officeDocument/2006/relationships/hyperlink" Target="https://www.boulanger.com/ref/1224182?at_medium=gea&amp;at_campaign=lemrock" TargetMode="External" Id="rId3" /><Relationship Type="http://schemas.openxmlformats.org/officeDocument/2006/relationships/hyperlink" Target="https://www.boulanger.com/ref/1220464?at_medium=gea&amp;at_campaign=lemrock" TargetMode="External" Id="rId4" /><Relationship Type="http://schemas.openxmlformats.org/officeDocument/2006/relationships/hyperlink" Target="https://www.boulanger.com/ref/151244?at_medium=gea&amp;at_campaign=lemrock" TargetMode="External" Id="rId5" /><Relationship Type="http://schemas.openxmlformats.org/officeDocument/2006/relationships/hyperlink" Target="https://www.boulanger.com/ref/777415?at_medium=gea&amp;at_campaign=lemrock" TargetMode="External" Id="rId6" /><Relationship Type="http://schemas.openxmlformats.org/officeDocument/2006/relationships/hyperlink" Target="https://www.boulanger.com/ref/137017?at_medium=gea&amp;at_campaign=lemrock" TargetMode="External" Id="rId7" /><Relationship Type="http://schemas.openxmlformats.org/officeDocument/2006/relationships/hyperlink" Target="https://www.boulanger.com/ref/1179218?at_medium=gea&amp;at_campaign=lemrock" TargetMode="External" Id="rId8" /><Relationship Type="http://schemas.openxmlformats.org/officeDocument/2006/relationships/hyperlink" Target="https://www.boulanger.com/ref/1205648?at_medium=gea&amp;at_campaign=lemrock" TargetMode="External" Id="rId9" /><Relationship Type="http://schemas.openxmlformats.org/officeDocument/2006/relationships/hyperlink" Target="https://www.boulanger.com/ref/1213099?at_medium=gea&amp;at_campaign=lemrock" TargetMode="External" Id="rId10" /><Relationship Type="http://schemas.openxmlformats.org/officeDocument/2006/relationships/hyperlink" Target="https://www.boulanger.com/ref/1112317?at_medium=gea&amp;at_campaign=lemrock" TargetMode="External" Id="rId11" /><Relationship Type="http://schemas.openxmlformats.org/officeDocument/2006/relationships/hyperlink" Target="https://www.boulanger.com/ref/142796?at_medium=gea&amp;at_campaign=lemrock" TargetMode="External" Id="rId12" /><Relationship Type="http://schemas.openxmlformats.org/officeDocument/2006/relationships/hyperlink" Target="https://www.boulanger.com/ref/1188708?at_medium=gea&amp;at_campaign=lemrock" TargetMode="External" Id="rId13" /><Relationship Type="http://schemas.openxmlformats.org/officeDocument/2006/relationships/hyperlink" Target="https://www.boulanger.com/ref/1209059?at_medium=gea&amp;at_campaign=lemrock" TargetMode="External" Id="rId14" /><Relationship Type="http://schemas.openxmlformats.org/officeDocument/2006/relationships/hyperlink" Target="https://www.boulanger.com/ref/1106584?at_medium=gea&amp;at_campaign=lemrock" TargetMode="External" Id="rId15" /><Relationship Type="http://schemas.openxmlformats.org/officeDocument/2006/relationships/hyperlink" Target="https://www.boulanger.com/ref/1218045?at_medium=gea&amp;at_campaign=lemrock" TargetMode="External" Id="rId16" /><Relationship Type="http://schemas.openxmlformats.org/officeDocument/2006/relationships/hyperlink" Target="https://www.boulanger.com/ref/284091?at_medium=gea&amp;at_campaign=lemrock" TargetMode="External" Id="rId17" /><Relationship Type="http://schemas.openxmlformats.org/officeDocument/2006/relationships/hyperlink" Target="https://www.boulanger.com/ref/151244?at_medium=gea&amp;at_campaign=lemrock" TargetMode="External" Id="rId18" /><Relationship Type="http://schemas.openxmlformats.org/officeDocument/2006/relationships/hyperlink" Target="https://www.boulanger.com/ref/142796?at_medium=gea&amp;at_campaign=lemrock" TargetMode="External" Id="rId19" /><Relationship Type="http://schemas.openxmlformats.org/officeDocument/2006/relationships/hyperlink" Target="https://www.boulanger.com/ref/1028500?at_medium=gea&amp;at_campaign=lemrock" TargetMode="External" Id="rId20" /><Relationship Type="http://schemas.openxmlformats.org/officeDocument/2006/relationships/hyperlink" Target="https://www.boulanger.com/ref/1209059?at_medium=gea&amp;at_campaign=lemrock" TargetMode="External" Id="rId21" /><Relationship Type="http://schemas.openxmlformats.org/officeDocument/2006/relationships/hyperlink" Target="https://www.boulanger.com/ref/1237495?at_medium=gea&amp;at_campaign=lemrock" TargetMode="External" Id="rId22" /><Relationship Type="http://schemas.openxmlformats.org/officeDocument/2006/relationships/hyperlink" Target="https://www.boulanger.com/ref/137017?at_medium=gea&amp;at_campaign=lemrock" TargetMode="External" Id="rId23" /><Relationship Type="http://schemas.openxmlformats.org/officeDocument/2006/relationships/hyperlink" Target="https://www.boulanger.com/ref/149847?at_medium=gea&amp;at_campaign=lemrock" TargetMode="External" Id="rId24" /><Relationship Type="http://schemas.openxmlformats.org/officeDocument/2006/relationships/hyperlink" Target="https://www.boulanger.com/ref/1195702?at_medium=gea&amp;at_campaign=lemrock" TargetMode="External" Id="rId25" /><Relationship Type="http://schemas.openxmlformats.org/officeDocument/2006/relationships/hyperlink" Target="https://www.boulanger.com/ref/1179218?at_medium=gea&amp;at_campaign=lemrock" TargetMode="External" Id="rId26" /><Relationship Type="http://schemas.openxmlformats.org/officeDocument/2006/relationships/hyperlink" Target="https://www.boulanger.com/ref/1187547?at_medium=gea&amp;at_campaign=lemrock" TargetMode="External" Id="rId27" /><Relationship Type="http://schemas.openxmlformats.org/officeDocument/2006/relationships/hyperlink" Target="https://www.boulanger.com/ref/1147684?at_medium=gea&amp;at_campaign=lemrock" TargetMode="External" Id="rId28" /><Relationship Type="http://schemas.openxmlformats.org/officeDocument/2006/relationships/hyperlink" Target="https://www.boulanger.com/ref/777415?at_medium=gea&amp;at_campaign=lemrock" TargetMode="External" Id="rId29" /><Relationship Type="http://schemas.openxmlformats.org/officeDocument/2006/relationships/hyperlink" Target="https://www.boulanger.com/ref/51277?at_medium=gea&amp;at_campaign=lemrock" TargetMode="External" Id="rId30" /><Relationship Type="http://schemas.openxmlformats.org/officeDocument/2006/relationships/hyperlink" Target="https://www.boulanger.com/ref/1096918?at_medium=gea&amp;at_campaign=lemrock" TargetMode="External" Id="rId31" /><Relationship Type="http://schemas.openxmlformats.org/officeDocument/2006/relationships/hyperlink" Target="https://www.boulanger.com/ref/137017?at_medium=gea&amp;at_campaign=lemrock" TargetMode="External" Id="rId32" /><Relationship Type="http://schemas.openxmlformats.org/officeDocument/2006/relationships/hyperlink" Target="https://www.boulanger.com/ref/138444?at_medium=gea&amp;at_campaign=lemrock" TargetMode="External" Id="rId33" /><Relationship Type="http://schemas.openxmlformats.org/officeDocument/2006/relationships/hyperlink" Target="https://www.boulanger.com/ref/1200027?at_medium=gea&amp;at_campaign=lemrock" TargetMode="External" Id="rId34" /><Relationship Type="http://schemas.openxmlformats.org/officeDocument/2006/relationships/hyperlink" Target="https://www.boulanger.com/ref/138444?at_medium=gea&amp;at_campaign=lemrock" TargetMode="External" Id="rId35" /><Relationship Type="http://schemas.openxmlformats.org/officeDocument/2006/relationships/hyperlink" Target="https://www.boulanger.com/ref/1112317?at_medium=gea&amp;at_campaign=lemrock" TargetMode="External" Id="rId36" /><Relationship Type="http://schemas.openxmlformats.org/officeDocument/2006/relationships/hyperlink" Target="https://www.boulanger.com/ref/846110?at_medium=gea&amp;at_campaign=lemrock" TargetMode="External" Id="rId37" /><Relationship Type="http://schemas.openxmlformats.org/officeDocument/2006/relationships/hyperlink" Target="https://www.boulanger.com/ref/284091?at_medium=gea&amp;at_campaign=lemrock" TargetMode="External" Id="rId38" /><Relationship Type="http://schemas.openxmlformats.org/officeDocument/2006/relationships/hyperlink" Target="https://www.boulanger.com/ref/1147684?at_medium=gea&amp;at_campaign=lemrock" TargetMode="External" Id="rId39" /><Relationship Type="http://schemas.openxmlformats.org/officeDocument/2006/relationships/hyperlink" Target="https://www.boulanger.com/ref/151244?at_medium=gea&amp;at_campaign=lemrock" TargetMode="External" Id="rId40" /><Relationship Type="http://schemas.openxmlformats.org/officeDocument/2006/relationships/hyperlink" Target="https://www.boulanger.com/ref/142796?at_medium=gea&amp;at_campaign=lemrock" TargetMode="External" Id="rId41" /><Relationship Type="http://schemas.openxmlformats.org/officeDocument/2006/relationships/hyperlink" Target="https://www.boulanger.com/ref/1209059?at_medium=gea&amp;at_campaign=lemrock" TargetMode="External" Id="rId42" /><Relationship Type="http://schemas.openxmlformats.org/officeDocument/2006/relationships/hyperlink" Target="https://www.boulanger.com/ref/1187547?at_medium=gea&amp;at_campaign=lemrock" TargetMode="External" Id="rId43" /><Relationship Type="http://schemas.openxmlformats.org/officeDocument/2006/relationships/hyperlink" Target="https://www.boulanger.com/ref/137017?at_medium=gea&amp;at_campaign=lemrock" TargetMode="External" Id="rId44" /><Relationship Type="http://schemas.openxmlformats.org/officeDocument/2006/relationships/hyperlink" Target="https://www.boulanger.com/ref/1112317?at_medium=gea&amp;at_campaign=lemrock" TargetMode="External" Id="rId45" /><Relationship Type="http://schemas.openxmlformats.org/officeDocument/2006/relationships/hyperlink" Target="https://www.boulanger.com/ref/142796?at_medium=gea&amp;at_campaign=lemrock" TargetMode="External" Id="rId46" /><Relationship Type="http://schemas.openxmlformats.org/officeDocument/2006/relationships/hyperlink" Target="https://www.boulanger.com/ref/1147684?at_medium=gea&amp;at_campaign=lemrock" TargetMode="External" Id="rId47" /><Relationship Type="http://schemas.openxmlformats.org/officeDocument/2006/relationships/hyperlink" Target="https://www.boulanger.com/ref/51277?at_medium=gea&amp;at_campaign=lemrock" TargetMode="External" Id="rId48" /><Relationship Type="http://schemas.openxmlformats.org/officeDocument/2006/relationships/hyperlink" Target="https://www.boulanger.com/ref/1106584?at_medium=gea&amp;at_campaign=lemrock" TargetMode="External" Id="rId49" /><Relationship Type="http://schemas.openxmlformats.org/officeDocument/2006/relationships/hyperlink" Target="https://www.boulanger.com/ref/846110?at_medium=gea&amp;at_campaign=lemrock" TargetMode="External" Id="rId50" /><Relationship Type="http://schemas.openxmlformats.org/officeDocument/2006/relationships/hyperlink" Target="https://www.boulanger.com/ref/51277?at_medium=gea&amp;at_campaign=lemrock" TargetMode="External" Id="rId51" /><Relationship Type="http://schemas.openxmlformats.org/officeDocument/2006/relationships/hyperlink" Target="https://www.boulanger.com/ref/1209059?at_medium=gea&amp;at_campaign=lemrock" TargetMode="External" Id="rId52" /><Relationship Type="http://schemas.openxmlformats.org/officeDocument/2006/relationships/hyperlink" Target="https://www.boulanger.com/ref/1028500?at_medium=gea&amp;at_campaign=lemrock" TargetMode="External" Id="rId53" /><Relationship Type="http://schemas.openxmlformats.org/officeDocument/2006/relationships/hyperlink" Target="https://www.boulanger.com/ref/777415?at_medium=gea&amp;at_campaign=lemrock" TargetMode="External" Id="rId54" /><Relationship Type="http://schemas.openxmlformats.org/officeDocument/2006/relationships/hyperlink" Target="https://www.boulanger.com/ref/1187547?at_medium=gea&amp;at_campaign=lemrock" TargetMode="External" Id="rId55" /><Relationship Type="http://schemas.openxmlformats.org/officeDocument/2006/relationships/hyperlink" Target="https://www.boulanger.com/ref/1112317?at_medium=gea&amp;at_campaign=lemrock" TargetMode="External" Id="rId56" /><Relationship Type="http://schemas.openxmlformats.org/officeDocument/2006/relationships/hyperlink" Target="https://www.boulanger.com/ref/1028500?at_medium=gea&amp;at_campaign=lemrock" TargetMode="External" Id="rId57" /><Relationship Type="http://schemas.openxmlformats.org/officeDocument/2006/relationships/hyperlink" Target="https://www.boulanger.com/ref/1106584?at_medium=gea&amp;at_campaign=lemrock" TargetMode="External" Id="rId58" /><Relationship Type="http://schemas.openxmlformats.org/officeDocument/2006/relationships/hyperlink" Target="https://www.boulanger.com/ref/1096918?at_medium=gea&amp;at_campaign=lemrock" TargetMode="External" Id="rId59" /><Relationship Type="http://schemas.openxmlformats.org/officeDocument/2006/relationships/hyperlink" Target="https://www.boulanger.com/ref/1028500?at_medium=gea&amp;at_campaign=lemrock" TargetMode="External" Id="rId60" /><Relationship Type="http://schemas.openxmlformats.org/officeDocument/2006/relationships/hyperlink" Target="https://www.boulanger.com/ref/137017?at_medium=gea&amp;at_campaign=lemrock" TargetMode="External" Id="rId61" /><Relationship Type="http://schemas.openxmlformats.org/officeDocument/2006/relationships/hyperlink" Target="https://www.boulanger.com/ref/149847?at_medium=gea&amp;at_campaign=lemrock" TargetMode="External" Id="rId62" /><Relationship Type="http://schemas.openxmlformats.org/officeDocument/2006/relationships/hyperlink" Target="https://www.boulanger.com/ref/1179218?at_medium=gea&amp;at_campaign=lemrock" TargetMode="External" Id="rId63" /><Relationship Type="http://schemas.openxmlformats.org/officeDocument/2006/relationships/hyperlink" Target="https://www.boulanger.com/ref/149847?at_medium=gea&amp;at_campaign=lemrock" TargetMode="External" Id="rId64" /><Relationship Type="http://schemas.openxmlformats.org/officeDocument/2006/relationships/hyperlink" Target="https://www.boulanger.com/ref/1096918?at_medium=gea&amp;at_campaign=lemrock" TargetMode="External" Id="rId65" /><Relationship Type="http://schemas.openxmlformats.org/officeDocument/2006/relationships/hyperlink" Target="https://www.boulanger.com/ref/1179218?at_medium=gea&amp;at_campaign=lemrock" TargetMode="External" Id="rId66" /><Relationship Type="http://schemas.openxmlformats.org/officeDocument/2006/relationships/hyperlink" Target="https://www.boulanger.com/ref/1189229?at_medium=gea&amp;at_campaign=lemrock" TargetMode="External" Id="rId67" /><Relationship Type="http://schemas.openxmlformats.org/officeDocument/2006/relationships/hyperlink" Target="https://www.boulanger.com/ref/1200027?at_medium=gea&amp;at_campaign=lemrock" TargetMode="External" Id="rId68" /><Relationship Type="http://schemas.openxmlformats.org/officeDocument/2006/relationships/hyperlink" Target="https://www.boulanger.com/ref/846110?at_medium=gea&amp;at_campaign=lemrock" TargetMode="External" Id="rId69" /><Relationship Type="http://schemas.openxmlformats.org/officeDocument/2006/relationships/hyperlink" Target="https://www.boulanger.com/ref/1106584?at_medium=gea&amp;at_campaign=lemrock" TargetMode="External" Id="rId70" /><Relationship Type="http://schemas.openxmlformats.org/officeDocument/2006/relationships/hyperlink" Target="https://www.boulanger.com/ref/284091?at_medium=gea&amp;at_campaign=lemrock" TargetMode="External" Id="rId71" /><Relationship Type="http://schemas.openxmlformats.org/officeDocument/2006/relationships/hyperlink" Target="https://www.boulanger.com/ref/151244?at_medium=gea&amp;at_campaign=lemrock" TargetMode="External" Id="rId72" /><Relationship Type="http://schemas.openxmlformats.org/officeDocument/2006/relationships/hyperlink" Target="https://www.boulanger.com/ref/138444?at_medium=gea&amp;at_campaign=lemrock" TargetMode="External" Id="rId73" /><Relationship Type="http://schemas.openxmlformats.org/officeDocument/2006/relationships/hyperlink" Target="https://www.boulanger.com/ref/1221504?at_medium=gea&amp;at_campaign=lemrock" TargetMode="External" Id="rId74" /><Relationship Type="http://schemas.openxmlformats.org/officeDocument/2006/relationships/hyperlink" Target="https://www.boulanger.com/ref/1220474?at_medium=gea&amp;at_campaign=lemrock" TargetMode="External" Id="rId75" /><Relationship Type="http://schemas.openxmlformats.org/officeDocument/2006/relationships/hyperlink" Target="https://www.boulanger.com/ref/1228868?at_medium=gea&amp;at_campaign=lemrock" TargetMode="External" Id="rId76" /><Relationship Type="http://schemas.openxmlformats.org/officeDocument/2006/relationships/hyperlink" Target="https://www.boulanger.com/ref/1233709?at_medium=gea&amp;at_campaign=lemrock" TargetMode="External" Id="rId77" /><Relationship Type="http://schemas.openxmlformats.org/officeDocument/2006/relationships/hyperlink" Target="https://www.boulanger.com/ref/1181723?at_medium=gea&amp;at_campaign=lemrock" TargetMode="External" Id="rId78" /><Relationship Type="http://schemas.openxmlformats.org/officeDocument/2006/relationships/hyperlink" Target="https://www.boulanger.com/ref/1233471?at_medium=gea&amp;at_campaign=lemrock" TargetMode="External" Id="rId79" /><Relationship Type="http://schemas.openxmlformats.org/officeDocument/2006/relationships/hyperlink" Target="https://www.boulanger.com/ref/1165223?at_medium=gea&amp;at_campaign=lemrock" TargetMode="External" Id="rId80" /><Relationship Type="http://schemas.openxmlformats.org/officeDocument/2006/relationships/hyperlink" Target="https://www.boulanger.com/ref/1240405?at_medium=gea&amp;at_campaign=lemrock" TargetMode="External" Id="rId81" /><Relationship Type="http://schemas.openxmlformats.org/officeDocument/2006/relationships/hyperlink" Target="https://www.boulanger.com/ref/284091?at_medium=gea&amp;at_campaign=lemrock" TargetMode="External" Id="rId82" /><Relationship Type="http://schemas.openxmlformats.org/officeDocument/2006/relationships/hyperlink" Target="https://www.boulanger.com/ref/1239432?at_medium=gea&amp;at_campaign=lemrock" TargetMode="External" Id="rId83" /><Relationship Type="http://schemas.openxmlformats.org/officeDocument/2006/relationships/hyperlink" Target="https://www.boulanger.com/ref/1235315?at_medium=gea&amp;at_campaign=lemrock" TargetMode="External" Id="rId84" /><Relationship Type="http://schemas.openxmlformats.org/officeDocument/2006/relationships/hyperlink" Target="https://www.boulanger.com/ref/1230778?at_medium=gea&amp;at_campaign=lemrock" TargetMode="External" Id="rId85" /><Relationship Type="http://schemas.openxmlformats.org/officeDocument/2006/relationships/hyperlink" Target="https://www.boulanger.com/c/iphone/?at_medium=gea&amp;at_campaign=lemrock" TargetMode="External" Id="rId86" /><Relationship Type="http://schemas.openxmlformats.org/officeDocument/2006/relationships/hyperlink" Target="https://www.boulanger.com/ref/1237327?at_medium=gea&amp;at_campaign=lemrock" TargetMode="External" Id="rId87" /><Relationship Type="http://schemas.openxmlformats.org/officeDocument/2006/relationships/hyperlink" Target="https://www.boulanger.com/ref/1235058?at_medium=gea&amp;at_campaign=lemrock" TargetMode="External" Id="rId88" /><Relationship Type="http://schemas.openxmlformats.org/officeDocument/2006/relationships/hyperlink" Target="https://www.boulanger.com/ref/137017?at_medium=gea&amp;at_campaign=lemrock" TargetMode="External" Id="rId89" /><Relationship Type="http://schemas.openxmlformats.org/officeDocument/2006/relationships/hyperlink" Target="https://www.boulanger.com/c/smartphone-telephone-portable/?at_medium=gea&amp;at_campaign=lemrock" TargetMode="External" Id="rId90" /><Relationship Type="http://schemas.openxmlformats.org/officeDocument/2006/relationships/hyperlink" Target="https://www.boulanger.com/ref/1208988?at_medium=gea&amp;at_campaign=lemrock" TargetMode="External" Id="rId91" /><Relationship Type="http://schemas.openxmlformats.org/officeDocument/2006/relationships/hyperlink" Target="https://www.boulanger.com/c/tous-les-ordinateurs-portables/?at_medium=gea&amp;at_campaign=lemrock" TargetMode="External" Id="rId92" /><Relationship Type="http://schemas.openxmlformats.org/officeDocument/2006/relationships/hyperlink" Target="https://www.boulanger.com/ref/1206163?at_medium=gea&amp;at_campaign=lemrock" TargetMode="External" Id="rId93" /><Relationship Type="http://schemas.openxmlformats.org/officeDocument/2006/relationships/hyperlink" Target="https://www.boulanger.com/ref/1146699?at_medium=gea&amp;at_campaign=lemrock" TargetMode="External" Id="rId94" /><Relationship Type="http://schemas.openxmlformats.org/officeDocument/2006/relationships/hyperlink" Target="https://www.boulanger.com/ref/1145923?at_medium=gea&amp;at_campaign=lemrock" TargetMode="External" Id="rId95" /><Relationship Type="http://schemas.openxmlformats.org/officeDocument/2006/relationships/hyperlink" Target="https://www.boulanger.com/ref/1227767?at_medium=gea&amp;at_campaign=lemrock" TargetMode="External" Id="rId96" /><Relationship Type="http://schemas.openxmlformats.org/officeDocument/2006/relationships/hyperlink" Target="https://www.boulanger.com/ref/1235219?at_medium=gea&amp;at_campaign=lemrock" TargetMode="External" Id="rId97" /><Relationship Type="http://schemas.openxmlformats.org/officeDocument/2006/relationships/hyperlink" Target="https://www.boulanger.com/ref/1245425?at_medium=gea&amp;at_campaign=lemrock" TargetMode="External" Id="rId98" /><Relationship Type="http://schemas.openxmlformats.org/officeDocument/2006/relationships/hyperlink" Target="https://www.boulanger.com/ref/1227788?at_medium=gea&amp;at_campaign=lemrock" TargetMode="External" Id="rId99" /><Relationship Type="http://schemas.openxmlformats.org/officeDocument/2006/relationships/hyperlink" Target="https://www.boulanger.com/ref/1130324?at_medium=gea&amp;at_campaign=lemrock" TargetMode="External" Id="rId100" /><Relationship Type="http://schemas.openxmlformats.org/officeDocument/2006/relationships/hyperlink" Target="https://www.boulanger.com/ref/1233891?at_medium=gea&amp;at_campaign=lemrock" TargetMode="External" Id="rId101" /><Relationship Type="http://schemas.openxmlformats.org/officeDocument/2006/relationships/hyperlink" Target="https://www.boulanger.com/ref/1211701?at_medium=gea&amp;at_campaign=lemrock" TargetMode="External" Id="rId102" /><Relationship Type="http://schemas.openxmlformats.org/officeDocument/2006/relationships/hyperlink" Target="https://www.boulanger.com/ref/1239749?at_medium=gea&amp;at_campaign=lemrock" TargetMode="External" Id="rId103" /><Relationship Type="http://schemas.openxmlformats.org/officeDocument/2006/relationships/hyperlink" Target="https://www.boulanger.com/ref/1212085?at_medium=gea&amp;at_campaign=lemrock" TargetMode="External" Id="rId104" /><Relationship Type="http://schemas.openxmlformats.org/officeDocument/2006/relationships/hyperlink" Target="https://www.boulanger.com/ref/1237704?at_medium=gea&amp;at_campaign=lemrock" TargetMode="External" Id="rId105" /><Relationship Type="http://schemas.openxmlformats.org/officeDocument/2006/relationships/hyperlink" Target="https://www.boulanger.com/ref/1235948?at_medium=gea&amp;at_campaign=lemrock" TargetMode="External" Id="rId106" /><Relationship Type="http://schemas.openxmlformats.org/officeDocument/2006/relationships/hyperlink" Target="https://www.boulanger.com/ref/1216311?at_medium=gea&amp;at_campaign=lemrock" TargetMode="External" Id="rId107" /><Relationship Type="http://schemas.openxmlformats.org/officeDocument/2006/relationships/hyperlink" Target="https://www.boulanger.com/ref/1145527?at_medium=gea&amp;at_campaign=lemrock" TargetMode="External" Id="rId108" /><Relationship Type="http://schemas.openxmlformats.org/officeDocument/2006/relationships/hyperlink" Target="https://www.boulanger.com/ref/666258?at_medium=gea&amp;at_campaign=lemrock" TargetMode="External" Id="rId109" /><Relationship Type="http://schemas.openxmlformats.org/officeDocument/2006/relationships/hyperlink" Target="https://www.boulanger.com/ref/1239903?at_medium=gea&amp;at_campaign=lemrock" TargetMode="External" Id="rId110" /><Relationship Type="http://schemas.openxmlformats.org/officeDocument/2006/relationships/hyperlink" Target="https://www.boulanger.com/ref/1230603?at_medium=gea&amp;at_campaign=lemrock" TargetMode="External" Id="rId111" /><Relationship Type="http://schemas.openxmlformats.org/officeDocument/2006/relationships/hyperlink" Target="https://www.boulanger.com/ref/1227774?at_medium=gea&amp;at_campaign=lemrock" TargetMode="External" Id="rId112" /><Relationship Type="http://schemas.openxmlformats.org/officeDocument/2006/relationships/hyperlink" Target="https://www.boulanger.com/ref/1231923?at_medium=gea&amp;at_campaign=lemrock" TargetMode="External" Id="rId113" /><Relationship Type="http://schemas.openxmlformats.org/officeDocument/2006/relationships/hyperlink" Target="https://www.boulanger.com/ref/1216507?at_medium=gea&amp;at_campaign=lemrock" TargetMode="External" Id="rId114" /><Relationship Type="http://schemas.openxmlformats.org/officeDocument/2006/relationships/hyperlink" Target="https://www.boulanger.com/ref/1161017?at_medium=gea&amp;at_campaign=lemrock" TargetMode="External" Id="rId115" /><Relationship Type="http://schemas.openxmlformats.org/officeDocument/2006/relationships/hyperlink" Target="https://www.boulanger.com/ref/1231768?at_medium=gea&amp;at_campaign=lemrock" TargetMode="External" Id="rId116" /><Relationship Type="http://schemas.openxmlformats.org/officeDocument/2006/relationships/hyperlink" Target="https://www.boulanger.com/ref/1235538?at_medium=gea&amp;at_campaign=lemrock" TargetMode="External" Id="rId117" /><Relationship Type="http://schemas.openxmlformats.org/officeDocument/2006/relationships/hyperlink" Target="https://www.boulanger.com/ref/1234834?at_medium=gea&amp;at_campaign=lemrock" TargetMode="External" Id="rId118" /><Relationship Type="http://schemas.openxmlformats.org/officeDocument/2006/relationships/hyperlink" Target="https://www.boulanger.com/ref/1206530?at_medium=gea&amp;at_campaign=lemrock" TargetMode="External" Id="rId119" /><Relationship Type="http://schemas.openxmlformats.org/officeDocument/2006/relationships/hyperlink" Target="https://www.boulanger.com/ref/851074?at_medium=gea&amp;at_campaign=lemrock" TargetMode="External" Id="rId120" /><Relationship Type="http://schemas.openxmlformats.org/officeDocument/2006/relationships/hyperlink" Target="https://www.boulanger.com/ref/1220676?at_medium=gea&amp;at_campaign=lemrock" TargetMode="External" Id="rId121" /><Relationship Type="http://schemas.openxmlformats.org/officeDocument/2006/relationships/hyperlink" Target="https://www.boulanger.com/ref/1153425?at_medium=gea&amp;at_campaign=lemrock" TargetMode="External" Id="rId122" /><Relationship Type="http://schemas.openxmlformats.org/officeDocument/2006/relationships/hyperlink" Target="https://www.boulanger.com/ref/1235797?at_medium=gea&amp;at_campaign=lemrock" TargetMode="External" Id="rId123" /><Relationship Type="http://schemas.openxmlformats.org/officeDocument/2006/relationships/hyperlink" Target="https://www.boulanger.com/ref/1207576?at_medium=gea&amp;at_campaign=lemrock" TargetMode="External" Id="rId124" /><Relationship Type="http://schemas.openxmlformats.org/officeDocument/2006/relationships/hyperlink" Target="https://www.boulanger.com/ref/1234739?at_medium=gea&amp;at_campaign=lemrock" TargetMode="External" Id="rId125" /><Relationship Type="http://schemas.openxmlformats.org/officeDocument/2006/relationships/hyperlink" Target="https://www.boulanger.com/ref/1214300?at_medium=gea&amp;at_campaign=lemrock" TargetMode="External" Id="rId126" /><Relationship Type="http://schemas.openxmlformats.org/officeDocument/2006/relationships/hyperlink" Target="https://www.boulanger.com/ref/1235609?at_medium=gea&amp;at_campaign=lemrock" TargetMode="External" Id="rId127" /><Relationship Type="http://schemas.openxmlformats.org/officeDocument/2006/relationships/hyperlink" Target="https://www.boulanger.com/ref/8011808?at_medium=gea&amp;at_campaign=lemrock" TargetMode="External" Id="rId128" /><Relationship Type="http://schemas.openxmlformats.org/officeDocument/2006/relationships/hyperlink" Target="https://www.boulanger.com/ref/1212169?at_medium=gea&amp;at_campaign=lemrock" TargetMode="External" Id="rId129" /><Relationship Type="http://schemas.openxmlformats.org/officeDocument/2006/relationships/hyperlink" Target="https://www.boulanger.com/ref/1212987?at_medium=gea&amp;at_campaign=lemrock" TargetMode="External" Id="rId130" /><Relationship Type="http://schemas.openxmlformats.org/officeDocument/2006/relationships/hyperlink" Target="https://www.boulanger.com/ref/1227532?at_medium=gea&amp;at_campaign=lemrock" TargetMode="External" Id="rId131" /><Relationship Type="http://schemas.openxmlformats.org/officeDocument/2006/relationships/hyperlink" Target="https://www.boulanger.com/ref/1232043?at_medium=gea&amp;at_campaign=lemrock" TargetMode="External" Id="rId132" /><Relationship Type="http://schemas.openxmlformats.org/officeDocument/2006/relationships/hyperlink" Target="https://www.boulanger.com/ref/1243344?at_medium=gea&amp;at_campaign=lemrock" TargetMode="External" Id="rId133" /><Relationship Type="http://schemas.openxmlformats.org/officeDocument/2006/relationships/hyperlink" Target="https://www.boulanger.com/ref/1234247?at_medium=gea&amp;at_campaign=lemrock" TargetMode="External" Id="rId134" /><Relationship Type="http://schemas.openxmlformats.org/officeDocument/2006/relationships/hyperlink" Target="https://www.boulanger.com/ref/1224353?at_medium=gea&amp;at_campaign=lemrock" TargetMode="External" Id="rId135" /><Relationship Type="http://schemas.openxmlformats.org/officeDocument/2006/relationships/hyperlink" Target="https://www.boulanger.com/ref/151244?at_medium=gea&amp;at_campaign=lemrock" TargetMode="External" Id="rId136" /><Relationship Type="http://schemas.openxmlformats.org/officeDocument/2006/relationships/hyperlink" Target="https://www.boulanger.com/ref/1245220?at_medium=gea&amp;at_campaign=lemrock" TargetMode="External" Id="rId137" /><Relationship Type="http://schemas.openxmlformats.org/officeDocument/2006/relationships/hyperlink" Target="https://www.boulanger.com/c/refrigerateur/?at_medium=gea&amp;at_campaign=lemrock" TargetMode="External" Id="rId138" /><Relationship Type="http://schemas.openxmlformats.org/officeDocument/2006/relationships/hyperlink" Target="https://www.boulanger.com/ref/1219234?at_medium=gea&amp;at_campaign=lemrock" TargetMode="External" Id="rId139" /><Relationship Type="http://schemas.openxmlformats.org/officeDocument/2006/relationships/hyperlink" Target="https://www.boulanger.com/ref/1237955?at_medium=gea&amp;at_campaign=lemrock" TargetMode="External" Id="rId140" /><Relationship Type="http://schemas.openxmlformats.org/officeDocument/2006/relationships/hyperlink" Target="https://www.boulanger.com/ref/1218034?at_medium=gea&amp;at_campaign=lemrock" TargetMode="External" Id="rId141" /><Relationship Type="http://schemas.openxmlformats.org/officeDocument/2006/relationships/hyperlink" Target="https://www.boulanger.com/ref/1243676?at_medium=gea&amp;at_campaign=lemrock" TargetMode="External" Id="rId142" /><Relationship Type="http://schemas.openxmlformats.org/officeDocument/2006/relationships/hyperlink" Target="https://www.boulanger.com/ref/1231041?at_medium=gea&amp;at_campaign=lemrock" TargetMode="External" Id="rId143" /><Relationship Type="http://schemas.openxmlformats.org/officeDocument/2006/relationships/hyperlink" Target="https://www.boulanger.com/ref/1181792?at_medium=gea&amp;at_campaign=lemrock" TargetMode="External" Id="rId144" /><Relationship Type="http://schemas.openxmlformats.org/officeDocument/2006/relationships/hyperlink" Target="https://www.boulanger.com/ref/1214473?at_medium=gea&amp;at_campaign=lemrock" TargetMode="External" Id="rId145" /><Relationship Type="http://schemas.openxmlformats.org/officeDocument/2006/relationships/hyperlink" Target="https://www.boulanger.com/ref/1228811?at_medium=gea&amp;at_campaign=lemrock" TargetMode="External" Id="rId146" /><Relationship Type="http://schemas.openxmlformats.org/officeDocument/2006/relationships/hyperlink" Target="https://www.boulanger.com/ref/1233920?at_medium=gea&amp;at_campaign=lemrock" TargetMode="External" Id="rId147" /><Relationship Type="http://schemas.openxmlformats.org/officeDocument/2006/relationships/hyperlink" Target="https://www.boulanger.com/ref/8011805?at_medium=gea&amp;at_campaign=lemrock" TargetMode="External" Id="rId148" /><Relationship Type="http://schemas.openxmlformats.org/officeDocument/2006/relationships/hyperlink" Target="https://www.boulanger.com/ref/1236334?at_medium=gea&amp;at_campaign=lemrock" TargetMode="External" Id="rId149" /><Relationship Type="http://schemas.openxmlformats.org/officeDocument/2006/relationships/hyperlink" Target="https://www.boulanger.com/ref/1188600?at_medium=gea&amp;at_campaign=lemrock" TargetMode="External" Id="rId150" /><Relationship Type="http://schemas.openxmlformats.org/officeDocument/2006/relationships/hyperlink" Target="https://www.boulanger.com/ref/1240260?at_medium=gea&amp;at_campaign=lemrock" TargetMode="External" Id="rId151" /><Relationship Type="http://schemas.openxmlformats.org/officeDocument/2006/relationships/hyperlink" Target="https://www.boulanger.com/c/televiseur/?at_medium=gea&amp;at_campaign=lemrock" TargetMode="External" Id="rId152" /><Relationship Type="http://schemas.openxmlformats.org/officeDocument/2006/relationships/hyperlink" Target="https://www.boulanger.com/ref/1119642?at_medium=gea&amp;at_campaign=lemrock" TargetMode="External" Id="rId153" /><Relationship Type="http://schemas.openxmlformats.org/officeDocument/2006/relationships/hyperlink" Target="https://www.boulanger.com/ref/1230647?at_medium=gea&amp;at_campaign=lemrock" TargetMode="External" Id="rId154" /><Relationship Type="http://schemas.openxmlformats.org/officeDocument/2006/relationships/hyperlink" Target="https://www.boulanger.com/ref/1178650?at_medium=gea&amp;at_campaign=lemrock" TargetMode="External" Id="rId155" /><Relationship Type="http://schemas.openxmlformats.org/officeDocument/2006/relationships/hyperlink" Target="https://www.boulanger.com/ref/1234881?at_medium=gea&amp;at_campaign=lemrock" TargetMode="External" Id="rId156" /><Relationship Type="http://schemas.openxmlformats.org/officeDocument/2006/relationships/hyperlink" Target="https://www.boulanger.com/ref/1241825?at_medium=gea&amp;at_campaign=lemrock" TargetMode="External" Id="rId157" /><Relationship Type="http://schemas.openxmlformats.org/officeDocument/2006/relationships/hyperlink" Target="https://www.boulanger.com/ref/1236215?at_medium=gea&amp;at_campaign=lemrock" TargetMode="External" Id="rId158" /><Relationship Type="http://schemas.openxmlformats.org/officeDocument/2006/relationships/hyperlink" Target="https://www.boulanger.com/ref/1212701?at_medium=gea&amp;at_campaign=lemrock" TargetMode="External" Id="rId159" /><Relationship Type="http://schemas.openxmlformats.org/officeDocument/2006/relationships/hyperlink" Target="https://www.boulanger.com/ref/1194077?at_medium=gea&amp;at_campaign=lemrock" TargetMode="External" Id="rId160" /><Relationship Type="http://schemas.openxmlformats.org/officeDocument/2006/relationships/hyperlink" Target="https://www.boulanger.com/ref/1218466?at_medium=gea&amp;at_campaign=lemrock" TargetMode="External" Id="rId161" /><Relationship Type="http://schemas.openxmlformats.org/officeDocument/2006/relationships/hyperlink" Target="https://www.boulanger.com/ref/1187547?at_medium=gea&amp;at_campaign=lemrock" TargetMode="External" Id="rId162" /><Relationship Type="http://schemas.openxmlformats.org/officeDocument/2006/relationships/hyperlink" Target="https://www.boulanger.com/ref/1221533?at_medium=gea&amp;at_campaign=lemrock" TargetMode="External" Id="rId163" /><Relationship Type="http://schemas.openxmlformats.org/officeDocument/2006/relationships/hyperlink" Target="https://www.boulanger.com/ref/1240478?at_medium=gea&amp;at_campaign=lemrock" TargetMode="External" Id="rId164" /><Relationship Type="http://schemas.openxmlformats.org/officeDocument/2006/relationships/hyperlink" Target="https://www.boulanger.com/ref/1221583?at_medium=gea&amp;at_campaign=lemrock" TargetMode="External" Id="rId165" /><Relationship Type="http://schemas.openxmlformats.org/officeDocument/2006/relationships/hyperlink" Target="https://www.boulanger.com/ref/9000606284?at_medium=gea&amp;at_campaign=lemrock" TargetMode="External" Id="rId166" /><Relationship Type="http://schemas.openxmlformats.org/officeDocument/2006/relationships/hyperlink" Target="https://www.boulanger.com/ref/1241517?at_medium=gea&amp;at_campaign=lemrock" TargetMode="External" Id="rId167" /><Relationship Type="http://schemas.openxmlformats.org/officeDocument/2006/relationships/hyperlink" Target="https://www.boulanger.com/ref/1238685?at_medium=gea&amp;at_campaign=lemrock" TargetMode="External" Id="rId168" /><Relationship Type="http://schemas.openxmlformats.org/officeDocument/2006/relationships/hyperlink" Target="https://www.boulanger.com/ref/1215624?at_medium=gea&amp;at_campaign=lemrock" TargetMode="External" Id="rId169" /><Relationship Type="http://schemas.openxmlformats.org/officeDocument/2006/relationships/hyperlink" Target="https://www.boulanger.com/ref/1227867?at_medium=gea&amp;at_campaign=lemrock" TargetMode="External" Id="rId170" /><Relationship Type="http://schemas.openxmlformats.org/officeDocument/2006/relationships/hyperlink" Target="https://www.boulanger.com/ref/1219327?at_medium=gea&amp;at_campaign=lemrock" TargetMode="External" Id="rId171" /><Relationship Type="http://schemas.openxmlformats.org/officeDocument/2006/relationships/hyperlink" Target="https://www.boulanger.com/ref/1208973?at_medium=gea&amp;at_campaign=lemrock" TargetMode="External" Id="rId172" /><Relationship Type="http://schemas.openxmlformats.org/officeDocument/2006/relationships/hyperlink" Target="https://www.boulanger.com/ref/1240316?at_medium=gea&amp;at_campaign=lemrock" TargetMode="External" Id="rId173" /><Relationship Type="http://schemas.openxmlformats.org/officeDocument/2006/relationships/hyperlink" Target="https://www.boulanger.com/ref/1025316?at_medium=gea&amp;at_campaign=lemrock" TargetMode="External" Id="rId174" /><Relationship Type="http://schemas.openxmlformats.org/officeDocument/2006/relationships/hyperlink" Target="https://www.boulanger.com/ref/1242221?at_medium=gea&amp;at_campaign=lemrock" TargetMode="External" Id="rId175" /><Relationship Type="http://schemas.openxmlformats.org/officeDocument/2006/relationships/hyperlink" Target="https://www.boulanger.com/ref/1239070?at_medium=gea&amp;at_campaign=lemrock" TargetMode="External" Id="rId176" /><Relationship Type="http://schemas.openxmlformats.org/officeDocument/2006/relationships/hyperlink" Target="https://www.boulanger.com/ref/1231798?at_medium=gea&amp;at_campaign=lemrock" TargetMode="External" Id="rId177" /><Relationship Type="http://schemas.openxmlformats.org/officeDocument/2006/relationships/hyperlink" Target="https://www.boulanger.com/ref/1216018?at_medium=gea&amp;at_campaign=lemrock" TargetMode="External" Id="rId178" /><Relationship Type="http://schemas.openxmlformats.org/officeDocument/2006/relationships/hyperlink" Target="https://www.boulanger.com/ref/9000846374?at_medium=gea&amp;at_campaign=lemrock" TargetMode="External" Id="rId179" /><Relationship Type="http://schemas.openxmlformats.org/officeDocument/2006/relationships/hyperlink" Target="https://www.boulanger.com/ref/1142772?at_medium=gea&amp;at_campaign=lemrock" TargetMode="External" Id="rId180" /><Relationship Type="http://schemas.openxmlformats.org/officeDocument/2006/relationships/hyperlink" Target="https://www.boulanger.com/ref/1141992?at_medium=gea&amp;at_campaign=lemrock" TargetMode="External" Id="rId181" /><Relationship Type="http://schemas.openxmlformats.org/officeDocument/2006/relationships/hyperlink" Target="https://www.boulanger.com/ref/1205107?at_medium=gea&amp;at_campaign=lemrock" TargetMode="External" Id="rId182" /><Relationship Type="http://schemas.openxmlformats.org/officeDocument/2006/relationships/hyperlink" Target="https://www.boulanger.com/ref/1240321?at_medium=gea&amp;at_campaign=lemrock" TargetMode="External" Id="rId183" /><Relationship Type="http://schemas.openxmlformats.org/officeDocument/2006/relationships/hyperlink" Target="https://www.boulanger.com/ref/1237787?at_medium=gea&amp;at_campaign=lemrock" TargetMode="External" Id="rId184" /><Relationship Type="http://schemas.openxmlformats.org/officeDocument/2006/relationships/hyperlink" Target="https://www.boulanger.com/ref/1145361?at_medium=gea&amp;at_campaign=lemrock" TargetMode="External" Id="rId185" /><Relationship Type="http://schemas.openxmlformats.org/officeDocument/2006/relationships/hyperlink" Target="https://www.boulanger.com/ref/1212724?at_medium=gea&amp;at_campaign=lemrock" TargetMode="External" Id="rId186" /><Relationship Type="http://schemas.openxmlformats.org/officeDocument/2006/relationships/hyperlink" Target="https://www.boulanger.com/ref/1244516?at_medium=gea&amp;at_campaign=lemrock" TargetMode="External" Id="rId187" /><Relationship Type="http://schemas.openxmlformats.org/officeDocument/2006/relationships/hyperlink" Target="https://www.boulanger.com/ref/51277?at_medium=gea&amp;at_campaign=lemrock" TargetMode="External" Id="rId188" /><Relationship Type="http://schemas.openxmlformats.org/officeDocument/2006/relationships/hyperlink" Target="https://www.boulanger.com/ref/1196570?at_medium=gea&amp;at_campaign=lemrock" TargetMode="External" Id="rId189" /><Relationship Type="http://schemas.openxmlformats.org/officeDocument/2006/relationships/hyperlink" Target="https://www.boulanger.com/ref/1227386?at_medium=gea&amp;at_campaign=lemrock" TargetMode="External" Id="rId190" /><Relationship Type="http://schemas.openxmlformats.org/officeDocument/2006/relationships/hyperlink" Target="https://www.boulanger.com/ref/1237867?at_medium=gea&amp;at_campaign=lemrock" TargetMode="External" Id="rId191" /><Relationship Type="http://schemas.openxmlformats.org/officeDocument/2006/relationships/hyperlink" Target="https://www.boulanger.com/ref/9000923604?at_medium=gea&amp;at_campaign=lemrock" TargetMode="External" Id="rId192" /><Relationship Type="http://schemas.openxmlformats.org/officeDocument/2006/relationships/hyperlink" Target="https://www.boulanger.com/ref/1145241?at_medium=gea&amp;at_campaign=lemrock" TargetMode="External" Id="rId193" /><Relationship Type="http://schemas.openxmlformats.org/officeDocument/2006/relationships/hyperlink" Target="https://www.boulanger.com/ref/1201091?at_medium=gea&amp;at_campaign=lemrock" TargetMode="External" Id="rId194" /><Relationship Type="http://schemas.openxmlformats.org/officeDocument/2006/relationships/hyperlink" Target="https://www.boulanger.com/ref/1228848?at_medium=gea&amp;at_campaign=lemrock" TargetMode="External" Id="rId195" /><Relationship Type="http://schemas.openxmlformats.org/officeDocument/2006/relationships/hyperlink" Target="https://www.boulanger.com/ref/1229667?at_medium=gea&amp;at_campaign=lemrock" TargetMode="External" Id="rId196" /><Relationship Type="http://schemas.openxmlformats.org/officeDocument/2006/relationships/hyperlink" Target="https://www.boulanger.com/ref/1185273?at_medium=gea&amp;at_campaign=lemrock" TargetMode="External" Id="rId197" /><Relationship Type="http://schemas.openxmlformats.org/officeDocument/2006/relationships/hyperlink" Target="https://www.boulanger.com/ref/777415?at_medium=gea&amp;at_campaign=lemrock" TargetMode="External" Id="rId198" /><Relationship Type="http://schemas.openxmlformats.org/officeDocument/2006/relationships/hyperlink" Target="https://www.boulanger.com/ref/1193401?at_medium=gea&amp;at_campaign=lemrock" TargetMode="External" Id="rId199" /><Relationship Type="http://schemas.openxmlformats.org/officeDocument/2006/relationships/hyperlink" Target="https://www.boulanger.com/ref/1188679?at_medium=gea&amp;at_campaign=lemrock" TargetMode="External" Id="rId200" /><Relationship Type="http://schemas.openxmlformats.org/officeDocument/2006/relationships/hyperlink" Target="https://www.boulanger.com/ref/1203550?at_medium=gea&amp;at_campaign=lemrock" TargetMode="External" Id="rId201" /><Relationship Type="http://schemas.openxmlformats.org/officeDocument/2006/relationships/hyperlink" Target="https://www.boulanger.com/ref/1218204?at_medium=gea&amp;at_campaign=lemrock" TargetMode="External" Id="rId202" /><Relationship Type="http://schemas.openxmlformats.org/officeDocument/2006/relationships/hyperlink" Target="https://www.boulanger.com/c/refrigerateur-avec-congelateur/?at_medium=gea&amp;at_campaign=lemrock" TargetMode="External" Id="rId203" /><Relationship Type="http://schemas.openxmlformats.org/officeDocument/2006/relationships/hyperlink" Target="https://www.boulanger.com/ref/9000923613?at_medium=gea&amp;at_campaign=lemrock" TargetMode="External" Id="rId204" /><Relationship Type="http://schemas.openxmlformats.org/officeDocument/2006/relationships/hyperlink" Target="https://www.boulanger.com/ref/1120744?at_medium=gea&amp;at_campaign=lemrock" TargetMode="External" Id="rId205" /><Relationship Type="http://schemas.openxmlformats.org/officeDocument/2006/relationships/hyperlink" Target="https://www.boulanger.com/ref/9000705379?at_medium=gea&amp;at_campaign=lemrock" TargetMode="External" Id="rId206" /><Relationship Type="http://schemas.openxmlformats.org/officeDocument/2006/relationships/hyperlink" Target="https://www.boulanger.com/ref/1180239?at_medium=gea&amp;at_campaign=lemrock" TargetMode="External" Id="rId207" /><Relationship Type="http://schemas.openxmlformats.org/officeDocument/2006/relationships/hyperlink" Target="https://www.boulanger.com/ref/1242986?at_medium=gea&amp;at_campaign=lemrock" TargetMode="External" Id="rId208" /><Relationship Type="http://schemas.openxmlformats.org/officeDocument/2006/relationships/hyperlink" Target="https://www.boulanger.com/ref/1229409?at_medium=gea&amp;at_campaign=lemrock" TargetMode="External" Id="rId209" /><Relationship Type="http://schemas.openxmlformats.org/officeDocument/2006/relationships/hyperlink" Target="https://www.boulanger.com/ref/1236160?at_medium=gea&amp;at_campaign=lemrock" TargetMode="External" Id="rId210" /><Relationship Type="http://schemas.openxmlformats.org/officeDocument/2006/relationships/hyperlink" Target="https://www.boulanger.com/ref/1150244?at_medium=gea&amp;at_campaign=lemrock" TargetMode="External" Id="rId211" /><Relationship Type="http://schemas.openxmlformats.org/officeDocument/2006/relationships/hyperlink" Target="https://www.boulanger.com/ref/1217255?at_medium=gea&amp;at_campaign=lemrock" TargetMode="External" Id="rId212" /><Relationship Type="http://schemas.openxmlformats.org/officeDocument/2006/relationships/hyperlink" Target="https://www.boulanger.com/ref/1238140?at_medium=gea&amp;at_campaign=lemrock" TargetMode="External" Id="rId213" /><Relationship Type="http://schemas.openxmlformats.org/officeDocument/2006/relationships/hyperlink" Target="https://www.boulanger.com/ref/1233918?at_medium=gea&amp;at_campaign=lemrock" TargetMode="External" Id="rId214" /><Relationship Type="http://schemas.openxmlformats.org/officeDocument/2006/relationships/hyperlink" Target="https://www.boulanger.com/ref/1106584at_medium=gea&amp;at_campaign=lemrock" TargetMode="External" Id="rId215" /><Relationship Type="http://schemas.openxmlformats.org/officeDocument/2006/relationships/hyperlink" Target="https://www.boulanger.com/ref/1187547at_medium=gea&amp;at_campaign=lemrock" TargetMode="External" Id="rId216" /><Relationship Type="http://schemas.openxmlformats.org/officeDocument/2006/relationships/hyperlink" Target="https://www.boulanger.com/ref/1200027at_medium=gea&amp;at_campaign=lemrock" TargetMode="External" Id="rId217" /><Relationship Type="http://schemas.openxmlformats.org/officeDocument/2006/relationships/hyperlink" Target="https://www.boulanger.com/ref/777415at_medium=gea&amp;at_campaign=lemrock" TargetMode="External" Id="rId218" /><Relationship Type="http://schemas.openxmlformats.org/officeDocument/2006/relationships/hyperlink" Target="https://www.boulanger.com/ref/1209059at_medium=gea&amp;at_campaign=lemrock" TargetMode="External" Id="rId219" /><Relationship Type="http://schemas.openxmlformats.org/officeDocument/2006/relationships/hyperlink" Target="https://www.boulanger.com/ref/846110at_medium=gea&amp;at_campaign=lemrock" TargetMode="External" Id="rId220" /><Relationship Type="http://schemas.openxmlformats.org/officeDocument/2006/relationships/hyperlink" Target="https://www.boulanger.com/ref/138444at_medium=gea&amp;at_campaign=lemrock" TargetMode="External" Id="rId221" /><Relationship Type="http://schemas.openxmlformats.org/officeDocument/2006/relationships/hyperlink" Target="https://www.boulanger.com/ref/1096918at_medium=gea&amp;at_campaign=lemrock" TargetMode="External" Id="rId222" /><Relationship Type="http://schemas.openxmlformats.org/officeDocument/2006/relationships/hyperlink" Target="https://www.boulanger.com/ref/142796at_medium=gea&amp;at_campaign=lemrock" TargetMode="External" Id="rId223" /><Relationship Type="http://schemas.openxmlformats.org/officeDocument/2006/relationships/hyperlink" Target="https://www.boulanger.com/ref/284091at_medium=gea&amp;at_campaign=lemrock" TargetMode="External" Id="rId224" /><Relationship Type="http://schemas.openxmlformats.org/officeDocument/2006/relationships/hyperlink" Target="https://www.boulanger.com/ref/151244at_medium=gea&amp;at_campaign=lemrock" TargetMode="External" Id="rId225" /><Relationship Type="http://schemas.openxmlformats.org/officeDocument/2006/relationships/hyperlink" Target="https://www.boulanger.com/ref/1147684at_medium=gea&amp;at_campaign=lemrock" TargetMode="External" Id="rId226" /><Relationship Type="http://schemas.openxmlformats.org/officeDocument/2006/relationships/hyperlink" Target="https://www.boulanger.com/ref/51277at_medium=gea&amp;at_campaign=lemrock" TargetMode="External" Id="rId227" /><Relationship Type="http://schemas.openxmlformats.org/officeDocument/2006/relationships/hyperlink" Target="https://www.boulanger.com/ref/149847at_medium=gea&amp;at_campaign=lemrock" TargetMode="External" Id="rId228" /><Relationship Type="http://schemas.openxmlformats.org/officeDocument/2006/relationships/hyperlink" Target="https://www.boulanger.com/ref/1112317?at_medium=gea&amp;at_campaign=lemrock" TargetMode="External" Id="rId229" /><Relationship Type="http://schemas.openxmlformats.org/officeDocument/2006/relationships/hyperlink" Target="https://www.boulanger.com/ref/1187547?at_medium=gea&amp;at_campaign=lemrock" TargetMode="External" Id="rId230" /><Relationship Type="http://schemas.openxmlformats.org/officeDocument/2006/relationships/hyperlink" Target="https://www.boulanger.com/ref/1028500?at_medium=gea&amp;at_campaign=lemrock" TargetMode="External" Id="rId231" /><Relationship Type="http://schemas.openxmlformats.org/officeDocument/2006/relationships/hyperlink" Target="https://www.awin1.com/cread.php?awinmid=14021&amp;awinaffid=2748398&amp;ued=https%3A%2F%2Fvol.cdiscount.com%2FPage%2Fcompanyoperations%2F%3Fid%3D22878" TargetMode="External" Id="rId232" /><Relationship Type="http://schemas.openxmlformats.org/officeDocument/2006/relationships/hyperlink" Target="https://www.awin1.com/cread.php?awinmid=14021&amp;awinaffid=2748398&amp;ued=https%3A%2F%2Fvol.cdiscount.com%2FPage%2Fcompanyoperations%2F%3Fid%3D22561" TargetMode="External" Id="rId233" /><Relationship Type="http://schemas.openxmlformats.org/officeDocument/2006/relationships/hyperlink" Target="https://www.awin1.com/cread.php?awinmid=14021&amp;awinaffid=2748398&amp;ued=https%3A%2F%2Fvol.cdiscount.com%2FPage%2Fcompanyoperations%2F%3Fid%3D22559" TargetMode="External" Id="rId234" /><Relationship Type="http://schemas.openxmlformats.org/officeDocument/2006/relationships/hyperlink" Target="https://www.awin1.com/cread.php?awinmid=14021&amp;awinaffid=2748398&amp;ued=https%3A%2F%2Fvol.cdiscount.com%2FPage%2Fcompanyoperations%2F%3Fid%3D22875" TargetMode="External" Id="rId235" /><Relationship Type="http://schemas.openxmlformats.org/officeDocument/2006/relationships/hyperlink" Target="https://www.awin1.com/cread.php?awinmid=14021&amp;awinaffid=2748398&amp;ued=https%3A%2F%2Fvol.cdiscount.com%2FPage%2Fcompanyoperations%2F%3Fid%3D22877" TargetMode="External" Id="rId236" /><Relationship Type="http://schemas.openxmlformats.org/officeDocument/2006/relationships/hyperlink" Target="https://www.awin1.com/cread.php?awinmid=14021&amp;awinaffid=2748398&amp;ued=https%3A%2F%2Fvol.cdiscount.com%2FPage%2Fcompanyoperations%2F%3Fid%3D22563" TargetMode="External" Id="rId237" /><Relationship Type="http://schemas.openxmlformats.org/officeDocument/2006/relationships/hyperlink" Target="https://www.awin1.com/awclick.php?gid=343397&amp;mid=14021&amp;awinaffid=2748398&amp;linkid=2681295&amp;clickref=" TargetMode="External" Id="rId238" /><Relationship Type="http://schemas.openxmlformats.org/officeDocument/2006/relationships/hyperlink" Target="https://www.awin1.com/awclick.php?gid=343397&amp;mid=14021&amp;awinaffid=2748398&amp;linkid=2681295&amp;clickref=" TargetMode="External" Id="rId239" /><Relationship Type="http://schemas.openxmlformats.org/officeDocument/2006/relationships/hyperlink" Target="https://sejour.cdiscount.com/package?s_pid=324388" TargetMode="External" Id="rId240" /><Relationship Type="http://schemas.openxmlformats.org/officeDocument/2006/relationships/hyperlink" Target="https://sejour.cdiscount.com/package?s_pid=428319" TargetMode="External" Id="rId241" /><Relationship Type="http://schemas.openxmlformats.org/officeDocument/2006/relationships/hyperlink" Target="https://sejour.cdiscount.com/package?s_pid=17860" TargetMode="External" Id="rId242" /><Relationship Type="http://schemas.openxmlformats.org/officeDocument/2006/relationships/hyperlink" Target="https://sejour.cdiscount.com/package?s_pid=320093" TargetMode="External" Id="rId243" /><Relationship Type="http://schemas.openxmlformats.org/officeDocument/2006/relationships/hyperlink" Target="https://sejour.cdiscount.com/package?s_pid=428319" TargetMode="External" Id="rId244" /><Relationship Type="http://schemas.openxmlformats.org/officeDocument/2006/relationships/hyperlink" Target="https://sejour.cdiscount.com/package?s_pid=483714" TargetMode="External" Id="rId245" /><Relationship Type="http://schemas.openxmlformats.org/officeDocument/2006/relationships/hyperlink" Target="https://sejour.cdiscount.com/package?s_pid=176430" TargetMode="External" Id="rId246" /><Relationship Type="http://schemas.openxmlformats.org/officeDocument/2006/relationships/hyperlink" Target="https://www.awin1.com/awclick.php?gid=343397&amp;mid=14021&amp;awinaffid=2748398&amp;linkid=2681295&amp;clickref=" TargetMode="External" Id="rId247" /><Relationship Type="http://schemas.openxmlformats.org/officeDocument/2006/relationships/hyperlink" Target="https://sejour.cdiscount.com/package?s_pid=252863" TargetMode="External" Id="rId248" /><Relationship Type="http://schemas.openxmlformats.org/officeDocument/2006/relationships/hyperlink" Target="https://sejour.cdiscount.com/package?s_pid=176430" TargetMode="External" Id="rId249" /><Relationship Type="http://schemas.openxmlformats.org/officeDocument/2006/relationships/hyperlink" Target="https://sejour.cdiscount.com/package?s_pid=320093" TargetMode="External" Id="rId250" /><Relationship Type="http://schemas.openxmlformats.org/officeDocument/2006/relationships/hyperlink" Target="https://sejour.cdiscount.com/package?s_pid=487363" TargetMode="External" Id="rId251" /><Relationship Type="http://schemas.openxmlformats.org/officeDocument/2006/relationships/hyperlink" Target="https://sejour.cdiscount.com/package?s_pid=17860" TargetMode="External" Id="rId252" /><Relationship Type="http://schemas.openxmlformats.org/officeDocument/2006/relationships/hyperlink" Target="https://sejour.cdiscount.com/package?s_pid=320093" TargetMode="External" Id="rId253" /><Relationship Type="http://schemas.openxmlformats.org/officeDocument/2006/relationships/hyperlink" Target="https://sejour.cdiscount.com/package?s_pid=32962" TargetMode="External" Id="rId254" /><Relationship Type="http://schemas.openxmlformats.org/officeDocument/2006/relationships/hyperlink" Target="https://sejour.cdiscount.com/package?s_pid=483714" TargetMode="External" Id="rId255" /><Relationship Type="http://schemas.openxmlformats.org/officeDocument/2006/relationships/hyperlink" Target="https://sejour.cdiscount.com/package?s_pid=481304" TargetMode="External" Id="rId256" /><Relationship Type="http://schemas.openxmlformats.org/officeDocument/2006/relationships/hyperlink" Target="https://sejour.cdiscount.com/package?s_pid=363687" TargetMode="External" Id="rId257" /><Relationship Type="http://schemas.openxmlformats.org/officeDocument/2006/relationships/hyperlink" Target="https://sejour.cdiscount.com/package?s_pid=324388" TargetMode="External" Id="rId258" /><Relationship Type="http://schemas.openxmlformats.org/officeDocument/2006/relationships/hyperlink" Target="https://sejour.cdiscount.com/package?s_pid=487363" TargetMode="External" Id="rId259" /><Relationship Type="http://schemas.openxmlformats.org/officeDocument/2006/relationships/hyperlink" Target="https://sejour.cdiscount.com/package?s_pid=330794" TargetMode="External" Id="rId260" /><Relationship Type="http://schemas.openxmlformats.org/officeDocument/2006/relationships/hyperlink" Target="https://sejour.cdiscount.com/package?s_pid=481304" TargetMode="External" Id="rId261" /><Relationship Type="http://schemas.openxmlformats.org/officeDocument/2006/relationships/hyperlink" Target="https://sejour.cdiscount.com/package?s_pid=330794" TargetMode="External" Id="rId262" /><Relationship Type="http://schemas.openxmlformats.org/officeDocument/2006/relationships/hyperlink" Target="https://sejour.cdiscount.com/package?s_pid=483714" TargetMode="External" Id="rId263" /><Relationship Type="http://schemas.openxmlformats.org/officeDocument/2006/relationships/hyperlink" Target="https://sejour.cdiscount.com/package?s_pid=176430" TargetMode="External" Id="rId264" /><Relationship Type="http://schemas.openxmlformats.org/officeDocument/2006/relationships/hyperlink" Target="https://sejour.cdiscount.com/package?s_pid=252863" TargetMode="External" Id="rId265" /><Relationship Type="http://schemas.openxmlformats.org/officeDocument/2006/relationships/hyperlink" Target="https://sejour.cdiscount.com/package?s_pid=17860" TargetMode="External" Id="rId266" /><Relationship Type="http://schemas.openxmlformats.org/officeDocument/2006/relationships/hyperlink" Target="https://sejour.cdiscount.com/package?s_pid=481304" TargetMode="External" Id="rId267" /><Relationship Type="http://schemas.openxmlformats.org/officeDocument/2006/relationships/hyperlink" Target="https://sejour.cdiscount.com/package?s_pid=32962" TargetMode="External" Id="rId268" /><Relationship Type="http://schemas.openxmlformats.org/officeDocument/2006/relationships/hyperlink" Target="https://sejour.cdiscount.com/package?s_pid=363687" TargetMode="External" Id="rId269" /><Relationship Type="http://schemas.openxmlformats.org/officeDocument/2006/relationships/hyperlink" Target="https://sejour.cdiscount.com/package?s_pid=330794" TargetMode="External" Id="rId270" /><Relationship Type="http://schemas.openxmlformats.org/officeDocument/2006/relationships/hyperlink" Target="https://sejour.cdiscount.com/package?s_pid=363687" TargetMode="External" Id="rId271" /><Relationship Type="http://schemas.openxmlformats.org/officeDocument/2006/relationships/hyperlink" Target="https://sejour.cdiscount.com/package?s_pid=483714" TargetMode="External" Id="rId272" /><Relationship Type="http://schemas.openxmlformats.org/officeDocument/2006/relationships/hyperlink" Target="https://sejour.cdiscount.com/package?s_pid=32962" TargetMode="External" Id="rId273" /><Relationship Type="http://schemas.openxmlformats.org/officeDocument/2006/relationships/hyperlink" Target="https://sejour.cdiscount.com/package?s_pid=428319" TargetMode="External" Id="rId274" /><Relationship Type="http://schemas.openxmlformats.org/officeDocument/2006/relationships/hyperlink" Target="https://sejour.cdiscount.com/package?s_pid=487363" TargetMode="External" Id="rId275" /><Relationship Type="http://schemas.openxmlformats.org/officeDocument/2006/relationships/hyperlink" Target="https://sejour.cdiscount.com/package?s_pid=252863" TargetMode="External" Id="rId276" /><Relationship Type="http://schemas.openxmlformats.org/officeDocument/2006/relationships/hyperlink" Target="https://sejour.cdiscount.com/package?s_pid=324388" TargetMode="External" Id="rId277" /><Relationship Type="http://schemas.openxmlformats.org/officeDocument/2006/relationships/hyperlink" Target="https://sejour.cdiscount.com/package?s_pid=32962" TargetMode="External" Id="rId278" /><Relationship Type="http://schemas.openxmlformats.org/officeDocument/2006/relationships/hyperlink" Target="https://www.cdiscount.com/voyages/vol/fl-dep-fr/dep-nce/nce-add.html" TargetMode="External" Id="rId279" /><Relationship Type="http://schemas.openxmlformats.org/officeDocument/2006/relationships/hyperlink" Target="https://www.cdiscount.com/voyages/vol/fl-dep-fr/dep-nce/nce-ace.html" TargetMode="External" Id="rId280" /><Relationship Type="http://schemas.openxmlformats.org/officeDocument/2006/relationships/hyperlink" Target="https://www.cdiscount.com/voyages/vol/fl-dep-fr/dep-lys/lys-abj.html" TargetMode="External" Id="rId281" /><Relationship Type="http://schemas.openxmlformats.org/officeDocument/2006/relationships/hyperlink" Target="https://www.cdiscount.com/voyages/vol/fl-dep-fr/dep-lys/lys-sxb.html" TargetMode="External" Id="rId282" /><Relationship Type="http://schemas.openxmlformats.org/officeDocument/2006/relationships/hyperlink" Target="https://www.cdiscount.com/voyages/vol/fl-dep-fr/dep-par/par-run.html" TargetMode="External" Id="rId283" /><Relationship Type="http://schemas.openxmlformats.org/officeDocument/2006/relationships/hyperlink" Target="https://www.cdiscount.com/voyages/vol/fl-dep-fr/dep-lys/lys-sxb.html" TargetMode="External" Id="rId284" /><Relationship Type="http://schemas.openxmlformats.org/officeDocument/2006/relationships/hyperlink" Target="https://www.cdiscount.com/voyages/vol/fl-dep-fr/dep-nce/nce-ace.html" TargetMode="External" Id="rId285" /><Relationship Type="http://schemas.openxmlformats.org/officeDocument/2006/relationships/hyperlink" Target="https://www.cdiscount.com/voyages/vol/fl-dep-fr/dep-par/par-ptp.html" TargetMode="External" Id="rId286" /><Relationship Type="http://schemas.openxmlformats.org/officeDocument/2006/relationships/hyperlink" Target="https://www.cdiscount.com/voyages/vol/fl-dep-fr/dep-nce/nce-abj.html" TargetMode="External" Id="rId287" /><Relationship Type="http://schemas.openxmlformats.org/officeDocument/2006/relationships/hyperlink" Target="https://www.cdiscount.com/voyages/vol/fl-dep-fr/dep-par/par-nce.html" TargetMode="External" Id="rId288" /><Relationship Type="http://schemas.openxmlformats.org/officeDocument/2006/relationships/hyperlink" Target="https://www.cdiscount.com/voyages/vol/fl-dep-fr/dep-par/par-bkk.html" TargetMode="External" Id="rId289" /><Relationship Type="http://schemas.openxmlformats.org/officeDocument/2006/relationships/hyperlink" Target="https://www.cdiscount.com/voyages/vol/fl-dep-fr/dep-par/par-rak.html" TargetMode="External" Id="rId290" /><Relationship Type="http://schemas.openxmlformats.org/officeDocument/2006/relationships/hyperlink" Target="https://www.cdiscount.com/voyages/vol/fl-dep-fr/dep-par/par-bcn.html" TargetMode="External" Id="rId291" /><Relationship Type="http://schemas.openxmlformats.org/officeDocument/2006/relationships/hyperlink" Target="https://www.cdiscount.com/voyages/vol/fl-dep-fr/dep-par/par-cas.html" TargetMode="External" Id="rId292" /><Relationship Type="http://schemas.openxmlformats.org/officeDocument/2006/relationships/hyperlink" Target="https://www.cdiscount.com/voyages/vol/fl-dep-fr/dep-mrs/mrs-aae.html" TargetMode="External" Id="rId293" /><Relationship Type="http://schemas.openxmlformats.org/officeDocument/2006/relationships/hyperlink" Target="https://www.cdiscount.com/voyages/vol/fl-dep-fr/dep-par/par-alg.html" TargetMode="External" Id="rId294" /><Relationship Type="http://schemas.openxmlformats.org/officeDocument/2006/relationships/hyperlink" Target="https://www.cdiscount.com/voyages/vol/fl-dep-fr/dep-par/par-tun.html" TargetMode="External" Id="rId295" /><Relationship Type="http://schemas.openxmlformats.org/officeDocument/2006/relationships/hyperlink" Target="https://www.cdiscount.com/voyages/vol/fl-dep-fr/dep-par/par-tun.html" TargetMode="External" Id="rId296" /><Relationship Type="http://schemas.openxmlformats.org/officeDocument/2006/relationships/hyperlink" Target="https://www.cdiscount.com/voyages/vol/fl-dep-fr/dep-par/par-dps.html" TargetMode="External" Id="rId297" /><Relationship Type="http://schemas.openxmlformats.org/officeDocument/2006/relationships/hyperlink" Target="https://www.cdiscount.com/voyages/vol/fl-dep-fr/dep-par/par-dkr.html" TargetMode="External" Id="rId298" /><Relationship Type="http://schemas.openxmlformats.org/officeDocument/2006/relationships/hyperlink" Target="https://www.cdiscount.com/voyages/vol/fl-dep-fr/dep-par/par-sha.html" TargetMode="External" Id="rId299" /><Relationship Type="http://schemas.openxmlformats.org/officeDocument/2006/relationships/hyperlink" Target="https://www.cdiscount.com/voyages/vol/fl-dep-fr/dep-lys/lys-aae.html" TargetMode="External" Id="rId300" /><Relationship Type="http://schemas.openxmlformats.org/officeDocument/2006/relationships/hyperlink" Target="https://www.cdiscount.com/voyages/vol/fl-dep-fr/dep-par/par-tyo.html" TargetMode="External" Id="rId301" /><Relationship Type="http://schemas.openxmlformats.org/officeDocument/2006/relationships/hyperlink" Target="https://www.cdiscount.com/voyages/vol/fl-dep-fr/dep-nce/nce-ace.html" TargetMode="External" Id="rId302" /><Relationship Type="http://schemas.openxmlformats.org/officeDocument/2006/relationships/hyperlink" Target="https://www.cdiscount.com/voyages/vol/fl-dep-fr/dep-par/par-fdf.html" TargetMode="External" Id="rId303" /><Relationship Type="http://schemas.openxmlformats.org/officeDocument/2006/relationships/hyperlink" Target="https://www.cdiscount.com/voyages/vol/fl-dep-fr/dep-par/par-ymq.html" TargetMode="External" Id="rId304" /><Relationship Type="http://schemas.openxmlformats.org/officeDocument/2006/relationships/hyperlink" Target="https://www.cdiscount.com/voyages/vol/fl-dep-fr/dep-par/par-mrs.html" TargetMode="External" Id="rId305" /><Relationship Type="http://schemas.openxmlformats.org/officeDocument/2006/relationships/hyperlink" Target="https://www.cdiscount.com/voyages/vol/fl-dep-fr/dep-par/par-dkr.html" TargetMode="External" Id="rId306" /><Relationship Type="http://schemas.openxmlformats.org/officeDocument/2006/relationships/hyperlink" Target="https://www.cdiscount.com/voyages/vol/fl-dep-fr/dep-mrs/mrs-abj.html" TargetMode="External" Id="rId307" /><Relationship Type="http://schemas.openxmlformats.org/officeDocument/2006/relationships/hyperlink" Target="https://www.cdiscount.com/voyages/vol/fl-dep-fr/dep-par/par-run.html" TargetMode="External" Id="rId308" /><Relationship Type="http://schemas.openxmlformats.org/officeDocument/2006/relationships/hyperlink" Target="https://www.cdiscount.com/voyages/vol/fl-dep-fr/dep-mrs/mrs-aae.html" TargetMode="External" Id="rId309" /><Relationship Type="http://schemas.openxmlformats.org/officeDocument/2006/relationships/hyperlink" Target="https://www.cdiscount.com/voyages/vol/fl-dep-fr/dep-par/par-ptp.html" TargetMode="External" Id="rId310" /><Relationship Type="http://schemas.openxmlformats.org/officeDocument/2006/relationships/hyperlink" Target="https://www.cdiscount.com/voyages/vol/fl-dep-fr/dep-par/par-fdf.html" TargetMode="External" Id="rId311" /><Relationship Type="http://schemas.openxmlformats.org/officeDocument/2006/relationships/hyperlink" Target="https://www.cdiscount.com/voyages/vol/fl-dep-fr/dep-par/par-puj.html" TargetMode="External" Id="rId312" /><Relationship Type="http://schemas.openxmlformats.org/officeDocument/2006/relationships/hyperlink" Target="https://www.cdiscount.com/voyages/vol/fl-dep-fr/dep-mrs/mrs-acc.html" TargetMode="External" Id="rId313" /><Relationship Type="http://schemas.openxmlformats.org/officeDocument/2006/relationships/hyperlink" Target="https://www.cdiscount.com/voyages/vol/fl-dep-fr/dep-par/par-rak.html" TargetMode="External" Id="rId314" /><Relationship Type="http://schemas.openxmlformats.org/officeDocument/2006/relationships/hyperlink" Target="https://www.cdiscount.com/voyages/vol/fl-dep-fr/dep-par/par-cun.html" TargetMode="External" Id="rId315" /><Relationship Type="http://schemas.openxmlformats.org/officeDocument/2006/relationships/hyperlink" Target="https://www.cdiscount.com/voyages/vol/fl-dep-fr/dep-par/par-opo.html" TargetMode="External" Id="rId316" /><Relationship Type="http://schemas.openxmlformats.org/officeDocument/2006/relationships/hyperlink" Target="https://www.cdiscount.com/voyages/vol/fl-dep-fr/dep-par/par-tyo.html" TargetMode="External" Id="rId317" /><Relationship Type="http://schemas.openxmlformats.org/officeDocument/2006/relationships/hyperlink" Target="https://www.cdiscount.com/voyages/vol/fl-dep-fr/dep-nce/nce-add.html" TargetMode="External" Id="rId318" /><Relationship Type="http://schemas.openxmlformats.org/officeDocument/2006/relationships/hyperlink" Target="https://www.cdiscount.com/voyages/vol/fl-dep-fr/dep-par/par-tci.html" TargetMode="External" Id="rId319" /><Relationship Type="http://schemas.openxmlformats.org/officeDocument/2006/relationships/hyperlink" Target="https://www.cdiscount.com/voyages/vol/fl-dep-fr/dep-par/par-lis.html" TargetMode="External" Id="rId320" /><Relationship Type="http://schemas.openxmlformats.org/officeDocument/2006/relationships/hyperlink" Target="https://www.cdiscount.com/voyages/vol/fl-dep-fr/dep-par/par-rom.html" TargetMode="External" Id="rId321" /><Relationship Type="http://schemas.openxmlformats.org/officeDocument/2006/relationships/hyperlink" Target="https://www.cdiscount.com/voyages/vol/fl-dep-fr/dep-par/par-alg.html" TargetMode="External" Id="rId322" /><Relationship Type="http://schemas.openxmlformats.org/officeDocument/2006/relationships/hyperlink" Target="https://www.cdiscount.com/voyages/vol/fl-dep-fr/dep-par/par-cas.html" TargetMode="External" Id="rId323" /><Relationship Type="http://schemas.openxmlformats.org/officeDocument/2006/relationships/hyperlink" Target="https://www.cdiscount.com/voyages/vol/fl-dep-fr/dep-par/par-vce.html" TargetMode="External" Id="rId324" /><Relationship Type="http://schemas.openxmlformats.org/officeDocument/2006/relationships/hyperlink" Target="https://www.cdiscount.com/voyages/vol/fl-dep-fr/dep-par/par-tun.html" TargetMode="External" Id="rId325" /><Relationship Type="http://schemas.openxmlformats.org/officeDocument/2006/relationships/hyperlink" Target="https://www.cdiscount.com/voyages/vol/fl-dep-fr/dep-lys/lys-sxb.html" TargetMode="External" Id="rId326" /><Relationship Type="http://schemas.openxmlformats.org/officeDocument/2006/relationships/hyperlink" Target="https://www.cdiscount.com/voyages/vol/fl-dep-fr/dep-par/par-mrs.html" TargetMode="External" Id="rId327" /><Relationship Type="http://schemas.openxmlformats.org/officeDocument/2006/relationships/hyperlink" Target="https://www.cdiscount.com/voyages/vol/fl-dep-fr/dep-par/par-dps.html" TargetMode="External" Id="rId328" /><Relationship Type="http://schemas.openxmlformats.org/officeDocument/2006/relationships/hyperlink" Target="https://www.cdiscount.com/voyages/vol/fl-dep-fr/dep-par/par-cas.html" TargetMode="External" Id="rId329" /><Relationship Type="http://schemas.openxmlformats.org/officeDocument/2006/relationships/hyperlink" Target="https://www.cdiscount.com/voyages/vol/fl-dep-fr/dep-lys/lys-aae.html" TargetMode="External" Id="rId330" /><Relationship Type="http://schemas.openxmlformats.org/officeDocument/2006/relationships/hyperlink" Target="https://www.cdiscount.com/voyages/vol/fl-dep-fr/dep-par/par-nyc.html" TargetMode="External" Id="rId331" /><Relationship Type="http://schemas.openxmlformats.org/officeDocument/2006/relationships/hyperlink" Target="https://www.cdiscount.com/voyages/vol/fl-dep-fr/dep-par/par-mia.html" TargetMode="External" Id="rId332" /><Relationship Type="http://schemas.openxmlformats.org/officeDocument/2006/relationships/hyperlink" Target="https://www.cdiscount.com/voyages/vol/fl-dep-fr/dep-par/par-mrs.html" TargetMode="External" Id="rId333" /><Relationship Type="http://schemas.openxmlformats.org/officeDocument/2006/relationships/hyperlink" Target="https://www.cdiscount.com/voyages/vol/fl-dep-fr/dep-mrs/mrs-abj.html" TargetMode="External" Id="rId334" /><Relationship Type="http://schemas.openxmlformats.org/officeDocument/2006/relationships/hyperlink" Target="https://www.cdiscount.com/voyages/vol/fl-dep-fr/dep-par/par-bkk.html" TargetMode="External" Id="rId335" /><Relationship Type="http://schemas.openxmlformats.org/officeDocument/2006/relationships/hyperlink" Target="https://www.cdiscount.com/voyages/vol/fl-dep-fr/dep-nce/nce-add.html" TargetMode="External" Id="rId336" /><Relationship Type="http://schemas.openxmlformats.org/officeDocument/2006/relationships/hyperlink" Target="https://www.cdiscount.com/voyages/vol/fl-dep-fr/dep-lys/lys-abj.html" TargetMode="External" Id="rId337" /><Relationship Type="http://schemas.openxmlformats.org/officeDocument/2006/relationships/hyperlink" Target="https://www.cdiscount.com/voyages/vol/fl-dep-fr/dep-par/par-sha.html" TargetMode="External" Id="rId338" /><Relationship Type="http://schemas.openxmlformats.org/officeDocument/2006/relationships/hyperlink" Target="https://www.cdiscount.com/voyages/vol/fl-dep-fr/dep-par/par-lon.html" TargetMode="External" Id="rId339" /><Relationship Type="http://schemas.openxmlformats.org/officeDocument/2006/relationships/hyperlink" Target="https://www.cdiscount.com/voyages/vol/fl-dep-fr/dep-par/par-vce.html" TargetMode="External" Id="rId340" /><Relationship Type="http://schemas.openxmlformats.org/officeDocument/2006/relationships/hyperlink" Target="https://www.cdiscount.com/voyages/vol/fl-dep-fr/dep-par/par-nce.html" TargetMode="External" Id="rId341" /><Relationship Type="http://schemas.openxmlformats.org/officeDocument/2006/relationships/hyperlink" Target="https://www.cdiscount.com/voyages/vol/fl-dep-fr/dep-par/par-nce.html" TargetMode="External" Id="rId342" /><Relationship Type="http://schemas.openxmlformats.org/officeDocument/2006/relationships/hyperlink" Target="https://www.cdiscount.com/voyages/vol/fl-dep-fr/dep-lys/lys-abj.html" TargetMode="External" Id="rId343" /><Relationship Type="http://schemas.openxmlformats.org/officeDocument/2006/relationships/hyperlink" Target="https://www.cdiscount.com/voyages/vol/fl-dep-fr/dep-par/par-cun.html" TargetMode="External" Id="rId344" /><Relationship Type="http://schemas.openxmlformats.org/officeDocument/2006/relationships/hyperlink" Target="https://www.cdiscount.com/voyages/vol/fl-dep-fr/dep-par/par-alg.html" TargetMode="External" Id="rId345" /><Relationship Type="http://schemas.openxmlformats.org/officeDocument/2006/relationships/hyperlink" Target="https://www.cdiscount.com/voyages/vol/fl-dep-fr/dep-par/par-ath.html" TargetMode="External" Id="rId346" /><Relationship Type="http://schemas.openxmlformats.org/officeDocument/2006/relationships/hyperlink" Target="https://www.cdiscount.com/voyages/vol/fl-dep-fr/dep-par/par-lon.html" TargetMode="External" Id="rId347" /><Relationship Type="http://schemas.openxmlformats.org/officeDocument/2006/relationships/hyperlink" Target="https://www.cdiscount.com/voyages/vol/fl-dep-fr/dep-par/par-lax.html" TargetMode="External" Id="rId348" /><Relationship Type="http://schemas.openxmlformats.org/officeDocument/2006/relationships/hyperlink" Target="https://www.cdiscount.com/voyages/vol/fl-dep-fr/dep-par/par-opo.html" TargetMode="External" Id="rId349" /><Relationship Type="http://schemas.openxmlformats.org/officeDocument/2006/relationships/hyperlink" Target="https://www.cdiscount.com/voyages/vol/fl-dep-fr/dep-par/par-ptp.html" TargetMode="External" Id="rId350" /><Relationship Type="http://schemas.openxmlformats.org/officeDocument/2006/relationships/hyperlink" Target="https://www.cdiscount.com/voyages/vol/fl-dep-fr/dep-par/par-tci.html" TargetMode="External" Id="rId351" /><Relationship Type="http://schemas.openxmlformats.org/officeDocument/2006/relationships/hyperlink" Target="https://www.cdiscount.com/voyages/vol/fl-dep-fr/dep-par/par-dkr.html" TargetMode="External" Id="rId352" /><Relationship Type="http://schemas.openxmlformats.org/officeDocument/2006/relationships/hyperlink" Target="https://www.cdiscount.com/voyages/vol/fl-dep-fr/dep-par/par-bkk.html" TargetMode="External" Id="rId353" /><Relationship Type="http://schemas.openxmlformats.org/officeDocument/2006/relationships/hyperlink" Target="https://www.cdiscount.com/voyages/vol/fl-dep-fr/dep-par/par-lax.html" TargetMode="External" Id="rId354" /><Relationship Type="http://schemas.openxmlformats.org/officeDocument/2006/relationships/hyperlink" Target="https://www.cdiscount.com/voyages/vol/fl-dep-fr/dep-nce/nce-abj.html" TargetMode="External" Id="rId355" /><Relationship Type="http://schemas.openxmlformats.org/officeDocument/2006/relationships/hyperlink" Target="https://www.cdiscount.com/voyages/vol/fl-dep-fr/dep-mrs/mrs-aae.html" TargetMode="External" Id="rId356" /><Relationship Type="http://schemas.openxmlformats.org/officeDocument/2006/relationships/hyperlink" Target="https://www.cdiscount.com/voyages/vol/fl-dep-fr/dep-par/par-ist.html" TargetMode="External" Id="rId357" /><Relationship Type="http://schemas.openxmlformats.org/officeDocument/2006/relationships/hyperlink" Target="https://www.cdiscount.com/voyages/vol/fl-dep-fr/dep-par/par-opo.html" TargetMode="External" Id="rId358" /><Relationship Type="http://schemas.openxmlformats.org/officeDocument/2006/relationships/hyperlink" Target="https://www.cdiscount.com/voyages/vol/fl-dep-fr/dep-par/par-fdf.html" TargetMode="External" Id="rId359" /><Relationship Type="http://schemas.openxmlformats.org/officeDocument/2006/relationships/hyperlink" Target="https://www.cdiscount.com/voyages/vol/fl-dep-fr/dep-par/par-tci.html" TargetMode="External" Id="rId360" /><Relationship Type="http://schemas.openxmlformats.org/officeDocument/2006/relationships/hyperlink" Target="https://www.cdiscount.com/voyages/vol/fl-dep-fr/dep-mrs/mrs-acc.html" TargetMode="External" Id="rId361" /><Relationship Type="http://schemas.openxmlformats.org/officeDocument/2006/relationships/hyperlink" Target="https://www.cdiscount.com/voyages/vol/fl-dep-fr/dep-par/par-mia.html" TargetMode="External" Id="rId362" /><Relationship Type="http://schemas.openxmlformats.org/officeDocument/2006/relationships/hyperlink" Target="https://www.cdiscount.com/voyages/vol/fl-dep-fr/dep-par/par-sao.html" TargetMode="External" Id="rId363" /><Relationship Type="http://schemas.openxmlformats.org/officeDocument/2006/relationships/hyperlink" Target="https://www.cdiscount.com/voyages/vol/fl-dep-fr/dep-par/par-ist.html" TargetMode="External" Id="rId364" /><Relationship Type="http://schemas.openxmlformats.org/officeDocument/2006/relationships/hyperlink" Target="https://www.cdiscount.com/voyages/vol/fl-dep-fr/dep-par/par-rom.html" TargetMode="External" Id="rId365" /><Relationship Type="http://schemas.openxmlformats.org/officeDocument/2006/relationships/hyperlink" Target="https://www.cdiscount.com/voyages/vol/fl-dep-fr/dep-par/par-bcn.html" TargetMode="External" Id="rId366" /><Relationship Type="http://schemas.openxmlformats.org/officeDocument/2006/relationships/hyperlink" Target="https://www.cdiscount.com/voyages/vol/fl-dep-fr/dep-par/par-rom.html" TargetMode="External" Id="rId367" /><Relationship Type="http://schemas.openxmlformats.org/officeDocument/2006/relationships/hyperlink" Target="https://www.cdiscount.com/voyages/vol/fl-dep-fr/dep-par/par-sao.html" TargetMode="External" Id="rId368" /><Relationship Type="http://schemas.openxmlformats.org/officeDocument/2006/relationships/hyperlink" Target="https://www.cdiscount.com/voyages/vol/fl-dep-fr/dep-par/par-lax.html" TargetMode="External" Id="rId369" /><Relationship Type="http://schemas.openxmlformats.org/officeDocument/2006/relationships/hyperlink" Target="https://www.cdiscount.com/voyages/vol/fl-dep-fr/dep-par/par-ist.html" TargetMode="External" Id="rId370" /><Relationship Type="http://schemas.openxmlformats.org/officeDocument/2006/relationships/hyperlink" Target="https://www.cdiscount.com/voyages/vol/fl-dep-fr/dep-par/par-bcn.html" TargetMode="External" Id="rId371" /><Relationship Type="http://schemas.openxmlformats.org/officeDocument/2006/relationships/hyperlink" Target="https://www.cdiscount.com/voyages/vol/fl-dep-fr/dep-par/par-lis.html" TargetMode="External" Id="rId372" /><Relationship Type="http://schemas.openxmlformats.org/officeDocument/2006/relationships/hyperlink" Target="https://www.cdiscount.com/voyages/vol/fl-dep-fr/dep-par/par-ymq.html" TargetMode="External" Id="rId373" /><Relationship Type="http://schemas.openxmlformats.org/officeDocument/2006/relationships/hyperlink" Target="https://www.cdiscount.com/voyages/vol/fl-dep-fr/dep-par/par-lon.html" TargetMode="External" Id="rId374" /><Relationship Type="http://schemas.openxmlformats.org/officeDocument/2006/relationships/hyperlink" Target="https://www.cdiscount.com/voyages/vol/fl-dep-fr/dep-par/par-puj.html" TargetMode="External" Id="rId375" /><Relationship Type="http://schemas.openxmlformats.org/officeDocument/2006/relationships/hyperlink" Target="https://www.cdiscount.com/voyages/vol/fl-dep-fr/dep-par/par-rak.html" TargetMode="External" Id="rId376" /><Relationship Type="http://schemas.openxmlformats.org/officeDocument/2006/relationships/hyperlink" Target="https://www.cdiscount.com/voyages/vol/fl-dep-fr/dep-par/par-nyc.html" TargetMode="External" Id="rId377" /><Relationship Type="http://schemas.openxmlformats.org/officeDocument/2006/relationships/hyperlink" Target="https://www.cdiscount.com/voyages/vol/fl-dep-fr/dep-par/par-tyo.html" TargetMode="External" Id="rId378" /><Relationship Type="http://schemas.openxmlformats.org/officeDocument/2006/relationships/hyperlink" Target="https://www.cdiscount.com/voyages/vol/fl-dep-fr/dep-par/par-ath.html" TargetMode="External" Id="rId379" /><Relationship Type="http://schemas.openxmlformats.org/officeDocument/2006/relationships/hyperlink" Target="https://www.cdiscount.com/voyages/vol/fl-dep-fr/dep-par/par-sha.html" TargetMode="External" Id="rId380" /><Relationship Type="http://schemas.openxmlformats.org/officeDocument/2006/relationships/hyperlink" Target="https://www.cdiscount.com/voyages/vol/fl-dep-fr/dep-par/par-lis.html" TargetMode="External" Id="rId381" /><Relationship Type="http://schemas.openxmlformats.org/officeDocument/2006/relationships/hyperlink" Target="https://www.cdiscount.com/voyages/vol/fl-dep-fr/dep-par/par-ymq.html" TargetMode="External" Id="rId382" /><Relationship Type="http://schemas.openxmlformats.org/officeDocument/2006/relationships/hyperlink" Target="https://www.cdiscount.com/voyages/vol/fl-dep-fr/dep-par/par-puj.html" TargetMode="External" Id="rId383" /><Relationship Type="http://schemas.openxmlformats.org/officeDocument/2006/relationships/hyperlink" Target="https://www.cdiscount.com/voyages/vol/fl-dep-fr/dep-par/par-dps.html" TargetMode="External" Id="rId384" /><Relationship Type="http://schemas.openxmlformats.org/officeDocument/2006/relationships/hyperlink" Target="https://www.cdiscount.com/voyages/vol/fl-dep-fr/dep-par/par-run.html" TargetMode="External" Id="rId385" /><Relationship Type="http://schemas.openxmlformats.org/officeDocument/2006/relationships/hyperlink" Target="https://www.cdiscount.com/voyages/vol/fl-dep-fr/dep-par/par-mia.html" TargetMode="External" Id="rId386" /><Relationship Type="http://schemas.openxmlformats.org/officeDocument/2006/relationships/hyperlink" Target="https://www.cdiscount.com/voyages/vol/fl-dep-fr/dep-par/par-nyc.html" TargetMode="External" Id="rId387" /><Relationship Type="http://schemas.openxmlformats.org/officeDocument/2006/relationships/hyperlink" Target="https://www.cdiscount.com/voyages/vol/fl-dep-fr/dep-nce/nce-abj.html" TargetMode="External" Id="rId388" /><Relationship Type="http://schemas.openxmlformats.org/officeDocument/2006/relationships/hyperlink" Target="https://www.cdiscount.com/voyages/vol/fl-dep-fr/dep-lys/lys-aae.html" TargetMode="External" Id="rId389" /><Relationship Type="http://schemas.openxmlformats.org/officeDocument/2006/relationships/hyperlink" Target="https://www.cdiscount.com/voyages/vol/fl-dep-fr/dep-par/par-cun.html" TargetMode="External" Id="rId390" /><Relationship Type="http://schemas.openxmlformats.org/officeDocument/2006/relationships/hyperlink" Target="https://www.cdiscount.com/voyages/vol/fl-dep-fr/dep-mrs/mrs-acc.html" TargetMode="External" Id="rId391" /><Relationship Type="http://schemas.openxmlformats.org/officeDocument/2006/relationships/hyperlink" Target="https://www.cdiscount.com/voyages/vol/fl-dep-fr/dep-par/par-vce.html" TargetMode="External" Id="rId392" /><Relationship Type="http://schemas.openxmlformats.org/officeDocument/2006/relationships/hyperlink" Target="https://www.cdiscount.com/voyages/vol/fl-dep-fr/dep-par/par-ath.html" TargetMode="External" Id="rId393" /><Relationship Type="http://schemas.openxmlformats.org/officeDocument/2006/relationships/hyperlink" Target="https://www.cdiscount.com/voyages/vol/fl-dep-fr/dep-mrs/mrs-abj.html" TargetMode="External" Id="rId394" /><Relationship Type="http://schemas.openxmlformats.org/officeDocument/2006/relationships/hyperlink" Target="https://www.cdiscount.com/voyages/vol/fl-dep-fr/dep-par/par-sao.html" TargetMode="External" Id="rId395" /><Relationship Type="http://schemas.openxmlformats.org/officeDocument/2006/relationships/hyperlink" Target="https://www.cdiscount.com/voyages/vol/fl-dep-fr/dep-par/par-run.html" TargetMode="External" Id="rId396" /><Relationship Type="http://schemas.openxmlformats.org/officeDocument/2006/relationships/hyperlink" Target="https://www.cdiscount.com/voyages/vol/fl-dep-fr/dep-par/par-ptp.html" TargetMode="External" Id="rId397" /><Relationship Type="http://schemas.openxmlformats.org/officeDocument/2006/relationships/hyperlink" Target="https://www.cdiscount.com/voyages/vol/fl-dep-fr/dep-par/par-fdf.html" TargetMode="External" Id="rId398" /><Relationship Type="http://schemas.openxmlformats.org/officeDocument/2006/relationships/hyperlink" Target="https://www.cdiscount.com/voyages/vol/fl-dep-fr/dep-nce/nce-ace.html" TargetMode="External" Id="rId399" /><Relationship Type="http://schemas.openxmlformats.org/officeDocument/2006/relationships/hyperlink" Target="https://www.cdiscount.com/voyages/vol/fl-dep-fr/dep-par/par-nce.html" TargetMode="External" Id="rId400" /><Relationship Type="http://schemas.openxmlformats.org/officeDocument/2006/relationships/hyperlink" Target="https://www.cdiscount.com/voyages/vol/fl-dep-fr/dep-mrs/mrs-acc.html" TargetMode="External" Id="rId401" /><Relationship Type="http://schemas.openxmlformats.org/officeDocument/2006/relationships/hyperlink" Target="https://www.cdiscount.com/voyages/vol/fl-dep-fr/dep-mrs/mrs-aae.html" TargetMode="External" Id="rId402" /><Relationship Type="http://schemas.openxmlformats.org/officeDocument/2006/relationships/hyperlink" Target="https://www.cdiscount.com/voyages/vol/fl-dep-fr/dep-par/par-lon.html" TargetMode="External" Id="rId403" /><Relationship Type="http://schemas.openxmlformats.org/officeDocument/2006/relationships/hyperlink" Target="https://www.cdiscount.com/voyages/vol/fl-dep-fr/dep-par/par-mrs.html" TargetMode="External" Id="rId404" /><Relationship Type="http://schemas.openxmlformats.org/officeDocument/2006/relationships/hyperlink" Target="https://www.cdiscount.com/voyages/vol/fl-dep-fr/dep-nce/nce-abj.html" TargetMode="External" Id="rId405" /><Relationship Type="http://schemas.openxmlformats.org/officeDocument/2006/relationships/hyperlink" Target="https://www.cdiscount.com/voyages/vol/fl-dep-fr/dep-par/par-ymq.html" TargetMode="External" Id="rId406" /><Relationship Type="http://schemas.openxmlformats.org/officeDocument/2006/relationships/hyperlink" Target="https://www.cdiscount.com/voyages/vol/fl-dep-fr/dep-par/par-puj.html" TargetMode="External" Id="rId407" /><Relationship Type="http://schemas.openxmlformats.org/officeDocument/2006/relationships/hyperlink" Target="https://www.cdiscount.com/voyages/vol/fl-dep-fr/dep-par/par-sao.html" TargetMode="External" Id="rId408" /><Relationship Type="http://schemas.openxmlformats.org/officeDocument/2006/relationships/hyperlink" Target="https://www.cdiscount.com/voyages/vol/fl-dep-fr/dep-par/par-nyc.html" TargetMode="External" Id="rId409" /><Relationship Type="http://schemas.openxmlformats.org/officeDocument/2006/relationships/hyperlink" Target="https://www.cdiscount.com/voyages/vol/fl-dep-fr/dep-lys/lys-abj.html" TargetMode="External" Id="rId410" /><Relationship Type="http://schemas.openxmlformats.org/officeDocument/2006/relationships/hyperlink" Target="https://www.cdiscount.com/voyages/vol/fl-dep-fr/dep-par/par-bcn.html" TargetMode="External" Id="rId411" /><Relationship Type="http://schemas.openxmlformats.org/officeDocument/2006/relationships/hyperlink" Target="https://www.cdiscount.com/voyages/vol/fl-dep-fr/dep-lys/lys-sxb.html" TargetMode="External" Id="rId412" /><Relationship Type="http://schemas.openxmlformats.org/officeDocument/2006/relationships/hyperlink" Target="https://www.cdiscount.com/voyages/vol/fl-dep-fr/dep-par/par-tci.html" TargetMode="External" Id="rId413" /><Relationship Type="http://schemas.openxmlformats.org/officeDocument/2006/relationships/hyperlink" Target="https://www.cdiscount.com/voyages/vol/fl-dep-fr/dep-par/par-mia.html" TargetMode="External" Id="rId414" /><Relationship Type="http://schemas.openxmlformats.org/officeDocument/2006/relationships/hyperlink" Target="https://www.cdiscount.com/voyages/vol/fl-dep-fr/dep-lys/lys-aae.html" TargetMode="External" Id="rId415" /><Relationship Type="http://schemas.openxmlformats.org/officeDocument/2006/relationships/hyperlink" Target="https://www.cdiscount.com/voyages/vol/fl-dep-fr/dep-nce/nce-add.html" TargetMode="External" Id="rId416" /><Relationship Type="http://schemas.openxmlformats.org/officeDocument/2006/relationships/hyperlink" Target="https://www.cdiscount.com/voyages/vol/fl-dep-fr/dep-mrs/mrs-abj.html" TargetMode="External" Id="rId417" /><Relationship Type="http://schemas.openxmlformats.org/officeDocument/2006/relationships/hyperlink" Target="https://www.cdiscount.com/voyages/vol/fl-dep-fr/dep-par/par-cun.html" TargetMode="External" Id="rId418" /><Relationship Type="http://schemas.openxmlformats.org/officeDocument/2006/relationships/hyperlink" Target="https://www.cdiscount.com/voyages/vol/fl-dep-fr/dep-par/par-lis.html" TargetMode="External" Id="rId419" /><Relationship Type="http://schemas.openxmlformats.org/officeDocument/2006/relationships/hyperlink" Target="https://www.cdiscount.com/voyages/vol/fl-dep-fr/dep-par/par-ath.html" TargetMode="External" Id="rId420" /><Relationship Type="http://schemas.openxmlformats.org/officeDocument/2006/relationships/hyperlink" Target="https://www.cdiscount.com/voyages/vol/fl-dep-fr/dep-par/par-opo.html" TargetMode="External" Id="rId421" /><Relationship Type="http://schemas.openxmlformats.org/officeDocument/2006/relationships/hyperlink" Target="https://www.cdiscount.com/voyages/vol/fl-dep-fr/dep-par/par-lax.html" TargetMode="External" Id="rId422" /><Relationship Type="http://schemas.openxmlformats.org/officeDocument/2006/relationships/hyperlink" Target="https://www.cdiscount.com/voyages/vol/fl-dep-fr/dep-par/par-ist.html" TargetMode="External" Id="rId423" /><Relationship Type="http://schemas.openxmlformats.org/officeDocument/2006/relationships/hyperlink" Target="https://www.cdiscount.com/voyages/vol/fl-dep-fr/dep-par/par-vce.html" TargetMode="External" Id="rId424" /><Relationship Type="http://schemas.openxmlformats.org/officeDocument/2006/relationships/hyperlink" Target="https://www.cdiscount.com/voyages/vol/fl-dep-fr/dep-par/par-rom.html" TargetMode="External" Id="rId425" /><Relationship Type="http://schemas.openxmlformats.org/officeDocument/2006/relationships/hyperlink" Target="https://www.awin1.com/awclick.php?gid=343397&amp;mid=14021&amp;awinaffid=2748398&amp;linkid=2681295&amp;clickref=" TargetMode="External" Id="rId426" /><Relationship Type="http://schemas.openxmlformats.org/officeDocument/2006/relationships/hyperlink" Target="https://sejour.cdiscount.com/package?s_pid=17860" TargetMode="External" Id="rId427" /><Relationship Type="http://schemas.openxmlformats.org/officeDocument/2006/relationships/hyperlink" Target="https://www.awin1.com/awclick.php?gid=449948&amp;mid=19624&amp;awinaffid=2748398&amp;linkid=4526168&amp;clickref=" TargetMode="External" Id="rId428" /><Relationship Type="http://schemas.openxmlformats.org/officeDocument/2006/relationships/hyperlink" Target="https://sejour.cdiscount.com/package?s_pid=32962" TargetMode="External" Id="rId429" /><Relationship Type="http://schemas.openxmlformats.org/officeDocument/2006/relationships/hyperlink" Target="https://sejour.cdiscount.com/package?s_pid=481304" TargetMode="External" Id="rId430" /><Relationship Type="http://schemas.openxmlformats.org/officeDocument/2006/relationships/hyperlink" Target="https://sejour.cdiscount.com/package?s_pid=363687" TargetMode="External" Id="rId431" /><Relationship Type="http://schemas.openxmlformats.org/officeDocument/2006/relationships/hyperlink" Target="https://www.awin1.com/awclick.php?gid=449948&amp;mid=19624&amp;awinaffid=2748398&amp;linkid=4651001&amp;clickref=" TargetMode="External" Id="rId432" /><Relationship Type="http://schemas.openxmlformats.org/officeDocument/2006/relationships/hyperlink" Target="https://sejour.cdiscount.com/package?s_pid=428319" TargetMode="External" Id="rId433" /><Relationship Type="http://schemas.openxmlformats.org/officeDocument/2006/relationships/hyperlink" Target="https://sejour.cdiscount.com/package?s_pid=330794" TargetMode="External" Id="rId434" /><Relationship Type="http://schemas.openxmlformats.org/officeDocument/2006/relationships/hyperlink" Target="https://sejour.cdiscount.com/package?s_pid=483714" TargetMode="External" Id="rId435" /><Relationship Type="http://schemas.openxmlformats.org/officeDocument/2006/relationships/hyperlink" Target="https://sejour.cdiscount.com/package?s_pid=487363" TargetMode="External" Id="rId436" /><Relationship Type="http://schemas.openxmlformats.org/officeDocument/2006/relationships/hyperlink" Target="https://sejour.cdiscount.com/package?s_pid=176430" TargetMode="External" Id="rId437" /><Relationship Type="http://schemas.openxmlformats.org/officeDocument/2006/relationships/hyperlink" Target="https://sejour.cdiscount.com/package?s_pid=320093" TargetMode="External" Id="rId438" /><Relationship Type="http://schemas.openxmlformats.org/officeDocument/2006/relationships/hyperlink" Target="https://sejour.cdiscount.com/package?s_pid=324388" TargetMode="External" Id="rId439" /><Relationship Type="http://schemas.openxmlformats.org/officeDocument/2006/relationships/hyperlink" Target="https://sejour.cdiscount.com/package?s_pid=252863" TargetMode="External" Id="rId440" /><Relationship Type="http://schemas.openxmlformats.org/officeDocument/2006/relationships/hyperlink" Target="https://sejour.cdiscount.com/package?s_pid=176430" TargetMode="External" Id="rId441" /><Relationship Type="http://schemas.openxmlformats.org/officeDocument/2006/relationships/hyperlink" Target="https://sejour.cdiscount.com/package?s_pid=487363" TargetMode="External" Id="rId442" /><Relationship Type="http://schemas.openxmlformats.org/officeDocument/2006/relationships/hyperlink" Target="https://sejour.cdiscount.com/package?s_pid=428319" TargetMode="External" Id="rId443" /><Relationship Type="http://schemas.openxmlformats.org/officeDocument/2006/relationships/hyperlink" Target="https://www.awin1.com/awclick.php?gid=449948&amp;mid=19624&amp;awinaffid=2748398&amp;linkid=4651001&amp;clickref=" TargetMode="External" Id="rId444" /><Relationship Type="http://schemas.openxmlformats.org/officeDocument/2006/relationships/hyperlink" Target="https://www.awin1.com/awclick.php?gid=449948&amp;mid=19624&amp;awinaffid=2748398&amp;linkid=4526168&amp;clickref=" TargetMode="External" Id="rId445" /><Relationship Type="http://schemas.openxmlformats.org/officeDocument/2006/relationships/hyperlink" Target="https://sejour.cdiscount.com/package?s_pid=252863" TargetMode="External" Id="rId446" /><Relationship Type="http://schemas.openxmlformats.org/officeDocument/2006/relationships/hyperlink" Target="https://action.metaffiliation.com/trk.php?mclic=P5104675874B11CS1UE412f3c01304638V4" TargetMode="External" Id="rId447" /><Relationship Type="http://schemas.openxmlformats.org/officeDocument/2006/relationships/hyperlink" Target="https://action.metaffiliation.com/trk.php?mclic=P5104675874B1295S1UD4135bd0757643V4" TargetMode="External" Id="rId448" /><Relationship Type="http://schemas.openxmlformats.org/officeDocument/2006/relationships/hyperlink" Target="https://action.metaffiliation.com/trk.php?mclic=P5104675874B1295S1UD4135bd0759227V4" TargetMode="External" Id="rId449" /><Relationship Type="http://schemas.openxmlformats.org/officeDocument/2006/relationships/hyperlink" Target="https://action.metaffiliation.com/trk.php?mclic=P5104675874B1295S1UD4135bd0809626V4" TargetMode="External" Id="rId450" /><Relationship Type="http://schemas.openxmlformats.org/officeDocument/2006/relationships/hyperlink" Target="https://action.metaffiliation.com/trk.php?mclic=P5104675874B1295S1UD4135bd0791071V4" TargetMode="External" Id="rId451" /><Relationship Type="http://schemas.openxmlformats.org/officeDocument/2006/relationships/hyperlink" Target="https://action.metaffiliation.com/trk.php?mclic=P5104675874B1295S1UD4135bd0795692V4" TargetMode="External" Id="rId452" /><Relationship Type="http://schemas.openxmlformats.org/officeDocument/2006/relationships/hyperlink" Target="https://action.metaffiliation.com/trk.php?mclic=P5104675874B1295S1UD4135bd0802549V4" TargetMode="External" Id="rId453" /><Relationship Type="http://schemas.openxmlformats.org/officeDocument/2006/relationships/hyperlink" Target="https://action.metaffiliation.com/trk.php?mclic=P5104675874B1295S1UD4135bd0620537V4" TargetMode="External" Id="rId454" /><Relationship Type="http://schemas.openxmlformats.org/officeDocument/2006/relationships/hyperlink" Target="https://action.metaffiliation.com/trk.php?mclic=P5104675874B1295S1UD4135bd0776637V4" TargetMode="External" Id="rId455" /><Relationship Type="http://schemas.openxmlformats.org/officeDocument/2006/relationships/hyperlink" Target="https://action.metaffiliation.com/trk.php?mclic=P5104675874B1295S1UD4135bd0773918V4" TargetMode="External" Id="rId456" /><Relationship Type="http://schemas.openxmlformats.org/officeDocument/2006/relationships/hyperlink" Target="https://action.metaffiliation.com/trk.php?mclic=P5104675874B11CS1UE412f3c01242523V4" TargetMode="External" Id="rId457" /><Relationship Type="http://schemas.openxmlformats.org/officeDocument/2006/relationships/hyperlink" Target="https://action.metaffiliation.com/trk.php?mclic=P5104675874B11CS1UD412f3c0678764V4" TargetMode="External" Id="rId458" /><Relationship Type="http://schemas.openxmlformats.org/officeDocument/2006/relationships/hyperlink" Target="https://action.metaffiliation.com/trk.php?mclic=P5104675874B1295S1UD4135bd0809626V4" TargetMode="External" Id="rId459" /><Relationship Type="http://schemas.openxmlformats.org/officeDocument/2006/relationships/hyperlink" Target="https://action.metaffiliation.com/trk.php?mclic=P5104675874B11CS1UE412f3c01263251V4" TargetMode="External" Id="rId460" /><Relationship Type="http://schemas.openxmlformats.org/officeDocument/2006/relationships/hyperlink" Target="https://action.metaffiliation.com/trk.php?mclic=P5104675874B1295S1UD4135bd0802549V4" TargetMode="External" Id="rId461" /><Relationship Type="http://schemas.openxmlformats.org/officeDocument/2006/relationships/hyperlink" Target="https://action.metaffiliation.com/trk.php?mclic=P5104675874B1295S1UD4135bd0699282V4" TargetMode="External" Id="rId462" /><Relationship Type="http://schemas.openxmlformats.org/officeDocument/2006/relationships/hyperlink" Target="https://action.metaffiliation.com/trk.php?mclic=P5104675874B11CS1UE412f3c01258070V4" TargetMode="External" Id="rId463" /><Relationship Type="http://schemas.openxmlformats.org/officeDocument/2006/relationships/hyperlink" Target="https://action.metaffiliation.com/trk.php?mclic=P5104675874B1295S1UD4135bd0817051V4" TargetMode="External" Id="rId464" /><Relationship Type="http://schemas.openxmlformats.org/officeDocument/2006/relationships/hyperlink" Target="https://action.metaffiliation.com/trk.php?mclic=P5104675874B11CS1UE412f3c01304638V4" TargetMode="External" Id="rId465" /><Relationship Type="http://schemas.openxmlformats.org/officeDocument/2006/relationships/hyperlink" Target="https://action.metaffiliation.com/trk.php?mclic=P5104675874B11CS1UD412f3c0776593V4" TargetMode="External" Id="rId466" /><Relationship Type="http://schemas.openxmlformats.org/officeDocument/2006/relationships/hyperlink" Target="https://action.metaffiliation.com/trk.php?mclic=P5104675874B11CS1UE412f3c01242577V4" TargetMode="External" Id="rId467" /><Relationship Type="http://schemas.openxmlformats.org/officeDocument/2006/relationships/hyperlink" Target="https://action.metaffiliation.com/trk.php?mclic=P5104675874B1295S1UD4135bd0818792V4" TargetMode="External" Id="rId468" /><Relationship Type="http://schemas.openxmlformats.org/officeDocument/2006/relationships/hyperlink" Target="https://action.metaffiliation.com/trk.php?mclic=P5104675874B11CS1UD412f3c0678764V4" TargetMode="External" Id="rId469" /><Relationship Type="http://schemas.openxmlformats.org/officeDocument/2006/relationships/hyperlink" Target="https://action.metaffiliation.com/trk.php?mclic=P5104675874B1295S1UD4135bd0809637V4" TargetMode="External" Id="rId470" /><Relationship Type="http://schemas.openxmlformats.org/officeDocument/2006/relationships/hyperlink" Target="https://action.metaffiliation.com/trk.php?mclic=P5104675874B11CS1UE412f3c01320461V4" TargetMode="External" Id="rId471" /><Relationship Type="http://schemas.openxmlformats.org/officeDocument/2006/relationships/hyperlink" Target="https://action.metaffiliation.com/trk.php?mclic=P5104675874B11CS1UE412f3c01270185V4" TargetMode="External" Id="rId472" /><Relationship Type="http://schemas.openxmlformats.org/officeDocument/2006/relationships/hyperlink" Target="https://action.metaffiliation.com/trk.php?mclic=P5104675874B11CS1UE412f3c01322565V4" TargetMode="External" Id="rId473" /><Relationship Type="http://schemas.openxmlformats.org/officeDocument/2006/relationships/hyperlink" Target="https://action.metaffiliation.com/trk.php?mclic=P5104675874B11CS1UE412f3c01309053V4" TargetMode="External" Id="rId474" /><Relationship Type="http://schemas.openxmlformats.org/officeDocument/2006/relationships/hyperlink" Target="https://action.metaffiliation.com/trk.php?mclic=P5104675874B11CS1UE412f3c01309053V4" TargetMode="External" Id="rId475" /><Relationship Type="http://schemas.openxmlformats.org/officeDocument/2006/relationships/hyperlink" Target="https://action.metaffiliation.com/trk.php?mclic=P5104675874B11CS1UE412f3c01322566V4" TargetMode="External" Id="rId476" /><Relationship Type="http://schemas.openxmlformats.org/officeDocument/2006/relationships/hyperlink" Target="https://action.metaffiliation.com/trk.php?mclic=P5104675874B11CS1UE412f3c01304553V4" TargetMode="External" Id="rId477" /><Relationship Type="http://schemas.openxmlformats.org/officeDocument/2006/relationships/hyperlink" Target="https://action.metaffiliation.com/trk.php?mclic=P5104675874B11CS1UE412f3c01311541V4" TargetMode="External" Id="rId478" /><Relationship Type="http://schemas.openxmlformats.org/officeDocument/2006/relationships/hyperlink" Target="https://action.metaffiliation.com/trk.php?mclic=P5104675874B11CS1UE412f3c01311541V4" TargetMode="External" Id="rId479" /><Relationship Type="http://schemas.openxmlformats.org/officeDocument/2006/relationships/hyperlink" Target="https://action.metaffiliation.com/trk.php?mclic=P5104675874B11CS1UE412f3c01311541V4" TargetMode="External" Id="rId480" /><Relationship Type="http://schemas.openxmlformats.org/officeDocument/2006/relationships/hyperlink" Target="https://action.metaffiliation.com/trk.php?mclic=P5104675874B11CS1UE412f3c01311540V4" TargetMode="External" Id="rId481" /><Relationship Type="http://schemas.openxmlformats.org/officeDocument/2006/relationships/hyperlink" Target="https://action.metaffiliation.com/trk.php?mclic=P5104675874B11CS1UE412f3c01304553V4" TargetMode="External" Id="rId482" /><Relationship Type="http://schemas.openxmlformats.org/officeDocument/2006/relationships/hyperlink" Target="https://action.metaffiliation.com/trk.php?mclic=P5104675874B11CS1UE412f3c01309053V4" TargetMode="External" Id="rId483" /><Relationship Type="http://schemas.openxmlformats.org/officeDocument/2006/relationships/hyperlink" Target="https://action.metaffiliation.com/trk.php?mclic=P5104675874B1295S1UD4135bd0620537V4" TargetMode="External" Id="rId484" /><Relationship Type="http://schemas.openxmlformats.org/officeDocument/2006/relationships/hyperlink" Target="https://action.metaffiliation.com/trk.php?mclic=P5104675874B11CS1UE412f3c01322565V4" TargetMode="External" Id="rId485" /><Relationship Type="http://schemas.openxmlformats.org/officeDocument/2006/relationships/hyperlink" Target="https://action.metaffiliation.com/trk.php?mclic=P5104675874B11CS1UE412f3c01320461V4" TargetMode="External" Id="rId486" /><Relationship Type="http://schemas.openxmlformats.org/officeDocument/2006/relationships/hyperlink" Target="https://action.metaffiliation.com/trk.php?mclic=P5104675874B1295S1UD4135bd0776637V4" TargetMode="External" Id="rId487" /><Relationship Type="http://schemas.openxmlformats.org/officeDocument/2006/relationships/hyperlink" Target="https://action.metaffiliation.com/trk.php?mclic=P5104675874B11CS1UE412f3c01270185V4" TargetMode="External" Id="rId488" /><Relationship Type="http://schemas.openxmlformats.org/officeDocument/2006/relationships/hyperlink" Target="https://action.metaffiliation.com/trk.php?mclic=P5104675874B11CS1UD412f3c0776593V4" TargetMode="External" Id="rId489" /><Relationship Type="http://schemas.openxmlformats.org/officeDocument/2006/relationships/hyperlink" Target="https://action.metaffiliation.com/trk.php?mclic=P5104675874B1295S1UD4135bd0810325V4" TargetMode="External" Id="rId490" /><Relationship Type="http://schemas.openxmlformats.org/officeDocument/2006/relationships/hyperlink" Target="https://action.metaffiliation.com/trk.php?mclic=P5104675874B11CS1UE412f3c01311540V4" TargetMode="External" Id="rId491" /><Relationship Type="http://schemas.openxmlformats.org/officeDocument/2006/relationships/hyperlink" Target="https://action.metaffiliation.com/trk.php?mclic=P5104675874B11CS1UE412f3c01311540V4" TargetMode="External" Id="rId492" /><Relationship Type="http://schemas.openxmlformats.org/officeDocument/2006/relationships/hyperlink" Target="https://action.metaffiliation.com/trk.php?mclic=P5104675874B11CS1UE412f3c01322566V4" TargetMode="External" Id="rId493" /><Relationship Type="http://schemas.openxmlformats.org/officeDocument/2006/relationships/hyperlink" Target="https://action.metaffiliation.com/trk.php?mclic=P5104675874B11CS1UE412f3c01270185V4" TargetMode="External" Id="rId494" /><Relationship Type="http://schemas.openxmlformats.org/officeDocument/2006/relationships/hyperlink" Target="https://action.metaffiliation.com/trk.php?mclic=P5104675874B11CS1UE412f3c01258070V4" TargetMode="External" Id="rId495" /><Relationship Type="http://schemas.openxmlformats.org/officeDocument/2006/relationships/hyperlink" Target="https://action.metaffiliation.com/trk.php?mclic=P5104675874B11CS1UE412f3c01242577V4" TargetMode="External" Id="rId496" /><Relationship Type="http://schemas.openxmlformats.org/officeDocument/2006/relationships/hyperlink" Target="https://action.metaffiliation.com/trk.php?mclic=P5104675874B11CS1UE412f3c01258070V4" TargetMode="External" Id="rId497" /><Relationship Type="http://schemas.openxmlformats.org/officeDocument/2006/relationships/hyperlink" Target="https://action.metaffiliation.com/trk.php?mclic=P5104675874B11CS1UD412f3c0776593V4" TargetMode="External" Id="rId498" /><Relationship Type="http://schemas.openxmlformats.org/officeDocument/2006/relationships/hyperlink" Target="https://action.metaffiliation.com/trk.php?mclic=P5104675874B11CS1UE412f3c01242523V4" TargetMode="External" Id="rId499" /><Relationship Type="http://schemas.openxmlformats.org/officeDocument/2006/relationships/hyperlink" Target="https://action.metaffiliation.com/trk.php?mclic=P5104675874B11CS1UE412f3c01263251V4" TargetMode="External" Id="rId500" /><Relationship Type="http://schemas.openxmlformats.org/officeDocument/2006/relationships/hyperlink" Target="https://action.metaffiliation.com/trk.php?mclic=P5104675874B1295S1UD4135bd0812610V4" TargetMode="External" Id="rId501" /><Relationship Type="http://schemas.openxmlformats.org/officeDocument/2006/relationships/hyperlink" Target="https://action.metaffiliation.com/trk.php?mclic=P5104675874B1295S1UD4135bd0781032V4" TargetMode="External" Id="rId502" /><Relationship Type="http://schemas.openxmlformats.org/officeDocument/2006/relationships/hyperlink" Target="https://action.metaffiliation.com/trk.php?mclic=P5104675874B1295S1UD4135bd0817102V4" TargetMode="External" Id="rId503" /><Relationship Type="http://schemas.openxmlformats.org/officeDocument/2006/relationships/hyperlink" Target="https://action.metaffiliation.com/trk.php?mclic=P5104675874B1295S1UD4135bd0757643V4" TargetMode="External" Id="rId504" /><Relationship Type="http://schemas.openxmlformats.org/officeDocument/2006/relationships/hyperlink" Target="https://action.metaffiliation.com/trk.php?mclic=P5104675874B1295S1UD4135bd0802549V4" TargetMode="External" Id="rId505" /><Relationship Type="http://schemas.openxmlformats.org/officeDocument/2006/relationships/hyperlink" Target="https://action.metaffiliation.com/trk.php?mclic=P5104675874B1295S1UD4135bd0809674V4" TargetMode="External" Id="rId506" /><Relationship Type="http://schemas.openxmlformats.org/officeDocument/2006/relationships/hyperlink" Target="https://action.metaffiliation.com/trk.php?mclic=P5104675874B1295S1UD4135bd0699282V4" TargetMode="External" Id="rId507" /><Relationship Type="http://schemas.openxmlformats.org/officeDocument/2006/relationships/hyperlink" Target="https://action.metaffiliation.com/trk.php?mclic=P5104675874B1295S1UD4135bd0817102V4" TargetMode="External" Id="rId508" /><Relationship Type="http://schemas.openxmlformats.org/officeDocument/2006/relationships/hyperlink" Target="https://action.metaffiliation.com/trk.php?mclic=P5104675874B1295S1UD4135bd0809674V4" TargetMode="External" Id="rId509" /><Relationship Type="http://schemas.openxmlformats.org/officeDocument/2006/relationships/hyperlink" Target="https://action.metaffiliation.com/trk.php?mclic=P5104675874B1295S1UD4135bd0809626V4" TargetMode="External" Id="rId510" /><Relationship Type="http://schemas.openxmlformats.org/officeDocument/2006/relationships/hyperlink" Target="https://action.metaffiliation.com/trk.php?mclic=P5104675874B1295S1UD4135bd0809626V4" TargetMode="External" Id="rId511" /><Relationship Type="http://schemas.openxmlformats.org/officeDocument/2006/relationships/hyperlink" Target="https://action.metaffiliation.com/trk.php?mclic=P5104675874B1295S1UD4135bd0802549V4" TargetMode="External" Id="rId512" /><Relationship Type="http://schemas.openxmlformats.org/officeDocument/2006/relationships/hyperlink" Target="https://action.metaffiliation.com/trk.php?mclic=P5104675874B1295S1UD4135bd0796534V4" TargetMode="External" Id="rId513" /><Relationship Type="http://schemas.openxmlformats.org/officeDocument/2006/relationships/hyperlink" Target="https://action.metaffiliation.com/trk.php?mclic=P5104675874B1295S1UD4135bd0810325V4" TargetMode="External" Id="rId514" /><Relationship Type="http://schemas.openxmlformats.org/officeDocument/2006/relationships/hyperlink" Target="https://action.metaffiliation.com/trk.php?mclic=P5104675874B1295S1UD4135bd0784036V4" TargetMode="External" Id="rId515" /><Relationship Type="http://schemas.openxmlformats.org/officeDocument/2006/relationships/hyperlink" Target="https://action.metaffiliation.com/trk.php?mclic=P5104675874B1295S1UD4135bd0790510V4" TargetMode="External" Id="rId516" /><Relationship Type="http://schemas.openxmlformats.org/officeDocument/2006/relationships/hyperlink" Target="https://action.metaffiliation.com/trk.php?mclic=P5104675874B1295S1UD4135bd0781032V4" TargetMode="External" Id="rId517" /><Relationship Type="http://schemas.openxmlformats.org/officeDocument/2006/relationships/hyperlink" Target="https://action.metaffiliation.com/trk.php?mclic=P5104675874B1295S1UD4135bd0789500V4" TargetMode="External" Id="rId518" /><Relationship Type="http://schemas.openxmlformats.org/officeDocument/2006/relationships/hyperlink" Target="https://action.metaffiliation.com/trk.php?mclic=P5104675874B1295S1UD4135bd0784036V4" TargetMode="External" Id="rId519" /><Relationship Type="http://schemas.openxmlformats.org/officeDocument/2006/relationships/hyperlink" Target="https://action.metaffiliation.com/trk.php?mclic=P5104675874B1295S1UD4135bd0781032V4" TargetMode="External" Id="rId520" /><Relationship Type="http://schemas.openxmlformats.org/officeDocument/2006/relationships/hyperlink" Target="https://action.metaffiliation.com/trk.php?mclic=P5104675874B1295S1UD4135bd0818792V4" TargetMode="External" Id="rId521" /><Relationship Type="http://schemas.openxmlformats.org/officeDocument/2006/relationships/hyperlink" Target="https://action.metaffiliation.com/trk.php?mclic=P5104675874B1295S1UD4135bd0812610V4" TargetMode="External" Id="rId522" /><Relationship Type="http://schemas.openxmlformats.org/officeDocument/2006/relationships/hyperlink" Target="https://action.metaffiliation.com/trk.php?mclic=P5104675874B1295S1UD4135bd0749011V4" TargetMode="External" Id="rId523" /><Relationship Type="http://schemas.openxmlformats.org/officeDocument/2006/relationships/hyperlink" Target="https://action.metaffiliation.com/trk.php?mclic=P5104675874B1295S1UD4135bd0749011V4" TargetMode="External" Id="rId524" /><Relationship Type="http://schemas.openxmlformats.org/officeDocument/2006/relationships/hyperlink" Target="https://action.metaffiliation.com/trk.php?mclic=P5104675874B1295S1UD4135bd0796534V4" TargetMode="External" Id="rId525" /><Relationship Type="http://schemas.openxmlformats.org/officeDocument/2006/relationships/hyperlink" Target="https://action.metaffiliation.com/trk.php?mclic=P5104675874B1295S1UD4135bd0809674V4" TargetMode="External" Id="rId526" /><Relationship Type="http://schemas.openxmlformats.org/officeDocument/2006/relationships/hyperlink" Target="https://action.metaffiliation.com/trk.php?mclic=P5104675874B1295S1UD4135bd0816184V4" TargetMode="External" Id="rId527" /><Relationship Type="http://schemas.openxmlformats.org/officeDocument/2006/relationships/hyperlink" Target="https://action.metaffiliation.com/trk.php?mclic=P5104675874B1295S1UD4135bd0810325V4" TargetMode="External" Id="rId528" /><Relationship Type="http://schemas.openxmlformats.org/officeDocument/2006/relationships/hyperlink" Target="https://action.metaffiliation.com/trk.php?mclic=P5104675874B1295S1UD4135bd0817051V4" TargetMode="External" Id="rId529" /><Relationship Type="http://schemas.openxmlformats.org/officeDocument/2006/relationships/hyperlink" Target="https://action.metaffiliation.com/trk.php?mclic=P5104675874B1295S1UD4135bd0782899V4" TargetMode="External" Id="rId530" /><Relationship Type="http://schemas.openxmlformats.org/officeDocument/2006/relationships/hyperlink" Target="https://action.metaffiliation.com/trk.php?mclic=P5104675874B1295S1UD4135bd0790510V4" TargetMode="External" Id="rId531" /><Relationship Type="http://schemas.openxmlformats.org/officeDocument/2006/relationships/hyperlink" Target="https://action.metaffiliation.com/trk.php?mclic=P5104675874B1295S1UD4135bd0791071V4" TargetMode="External" Id="rId532" /><Relationship Type="http://schemas.openxmlformats.org/officeDocument/2006/relationships/hyperlink" Target="https://action.metaffiliation.com/trk.php?mclic=P5104675874B1295S1UD4135bd0818792V4" TargetMode="External" Id="rId533" /><Relationship Type="http://schemas.openxmlformats.org/officeDocument/2006/relationships/hyperlink" Target="https://action.metaffiliation.com/trk.php?mclic=P5104675874B1295S1UD4135bd0797184V4" TargetMode="External" Id="rId534" /><Relationship Type="http://schemas.openxmlformats.org/officeDocument/2006/relationships/hyperlink" Target="https://action.metaffiliation.com/trk.php?mclic=P5104675874B1295S1UD4135bd0817051V4" TargetMode="External" Id="rId535" /><Relationship Type="http://schemas.openxmlformats.org/officeDocument/2006/relationships/hyperlink" Target="https://action.metaffiliation.com/trk.php?mclic=P5104675874B1295S1UD4135bd0791071V4" TargetMode="External" Id="rId536" /><Relationship Type="http://schemas.openxmlformats.org/officeDocument/2006/relationships/hyperlink" Target="https://action.metaffiliation.com/trk.php?mclic=P5104675874B1295S1UD4135bd0816184V4" TargetMode="External" Id="rId537" /><Relationship Type="http://schemas.openxmlformats.org/officeDocument/2006/relationships/hyperlink" Target="https://action.metaffiliation.com/trk.php?mclic=P5104675874B1295S1UD4135bd0810325V4" TargetMode="External" Id="rId538" /><Relationship Type="http://schemas.openxmlformats.org/officeDocument/2006/relationships/hyperlink" Target="https://action.metaffiliation.com/trk.php?mclic=P5104675874B1295S1UD4135bd0802548V4" TargetMode="External" Id="rId539" /><Relationship Type="http://schemas.openxmlformats.org/officeDocument/2006/relationships/hyperlink" Target="https://action.metaffiliation.com/trk.php?mclic=P5104675874B1295S1UD4135bd0812610V4" TargetMode="External" Id="rId540" /><Relationship Type="http://schemas.openxmlformats.org/officeDocument/2006/relationships/hyperlink" Target="https://action.metaffiliation.com/trk.php?mclic=P5104675874B1295S1UD4135bd0802548V4" TargetMode="External" Id="rId541" /><Relationship Type="http://schemas.openxmlformats.org/officeDocument/2006/relationships/hyperlink" Target="https://action.metaffiliation.com/trk.php?mclic=P5104675874B1295S1UD4135bd0789500V4" TargetMode="External" Id="rId542" /><Relationship Type="http://schemas.openxmlformats.org/officeDocument/2006/relationships/hyperlink" Target="https://action.metaffiliation.com/trk.php?mclic=P5104675874B1295S1UD4135bd0809637V4" TargetMode="External" Id="rId543" /><Relationship Type="http://schemas.openxmlformats.org/officeDocument/2006/relationships/hyperlink" Target="https://action.metaffiliation.com/trk.php?mclic=P5104675874B1295S1UD4135bd0782899V4" TargetMode="External" Id="rId544" /><Relationship Type="http://schemas.openxmlformats.org/officeDocument/2006/relationships/hyperlink" Target="https://action.metaffiliation.com/trk.php?mclic=P5104675874B11CS1UE412f3c01242577V4" TargetMode="External" Id="rId545" /><Relationship Type="http://schemas.openxmlformats.org/officeDocument/2006/relationships/hyperlink" Target="https://action.metaffiliation.com/trk.php?mclic=P5104675874B1295S1UD4135bd0759227V4" TargetMode="External" Id="rId546" /><Relationship Type="http://schemas.openxmlformats.org/officeDocument/2006/relationships/hyperlink" Target="https://action.metaffiliation.com/trk.php?mclic=P5104675874B1295S1UD4135bd0757643V4" TargetMode="External" Id="rId547" /><Relationship Type="http://schemas.openxmlformats.org/officeDocument/2006/relationships/hyperlink" Target="https://action.metaffiliation.com/trk.php?mclic=P5104675874B1295S1UD4135bd0789500V4" TargetMode="External" Id="rId548" /><Relationship Type="http://schemas.openxmlformats.org/officeDocument/2006/relationships/hyperlink" Target="https://action.metaffiliation.com/trk.php?mclic=P5104675874B1295S1UD4135bd0797184V4" TargetMode="External" Id="rId549" /><Relationship Type="http://schemas.openxmlformats.org/officeDocument/2006/relationships/hyperlink" Target="https://action.metaffiliation.com/trk.php?mclic=P5104675874B1295S1UD4135bd0810325V4" TargetMode="External" Id="rId550" /><Relationship Type="http://schemas.openxmlformats.org/officeDocument/2006/relationships/hyperlink" Target="https://action.metaffiliation.com/trk.php?mclic=P5104675874B1295S1UD4135bd0784036V4" TargetMode="External" Id="rId551" /><Relationship Type="http://schemas.openxmlformats.org/officeDocument/2006/relationships/hyperlink" Target="https://action.metaffiliation.com/trk.php?mclic=P5104675874B1295S1UD4135bd0795692V4" TargetMode="External" Id="rId552" /><Relationship Type="http://schemas.openxmlformats.org/officeDocument/2006/relationships/hyperlink" Target="https://action.metaffiliation.com/trk.php?mclic=P5104675874B1295S1UD4135bd0620537V4" TargetMode="External" Id="rId553" /><Relationship Type="http://schemas.openxmlformats.org/officeDocument/2006/relationships/hyperlink" Target="https://action.metaffiliation.com/trk.php?mclic=P5104675874B1295S1UD4135bd0759227V4" TargetMode="External" Id="rId554" /><Relationship Type="http://schemas.openxmlformats.org/officeDocument/2006/relationships/hyperlink" Target="https://action.metaffiliation.com/trk.php?mclic=P5104675874B1295S1UD4135bd0797184V4" TargetMode="External" Id="rId555" /><Relationship Type="http://schemas.openxmlformats.org/officeDocument/2006/relationships/hyperlink" Target="https://action.metaffiliation.com/trk.php?mclic=P5104675874B1295S1UD4135bd0809637V4" TargetMode="External" Id="rId556" /><Relationship Type="http://schemas.openxmlformats.org/officeDocument/2006/relationships/hyperlink" Target="https://action.metaffiliation.com/trk.php?mclic=P5104675874B1295S1UD4135bd0810325V4" TargetMode="External" Id="rId557" /><Relationship Type="http://schemas.openxmlformats.org/officeDocument/2006/relationships/hyperlink" Target="https://action.metaffiliation.com/trk.php?mclic=P5104675874B1295S1UD4135bd0782899V4" TargetMode="External" Id="rId558" /><Relationship Type="http://schemas.openxmlformats.org/officeDocument/2006/relationships/hyperlink" Target="https://action.metaffiliation.com/trk.php?mclic=P5104675874B1295S1UD4135bd0773918V4" TargetMode="External" Id="rId559" /><Relationship Type="http://schemas.openxmlformats.org/officeDocument/2006/relationships/hyperlink" Target="https://action.metaffiliation.com/trk.php?mclic=P5104675874B1295S1UD4135bd0699282V4" TargetMode="External" Id="rId560" /><Relationship Type="http://schemas.openxmlformats.org/officeDocument/2006/relationships/hyperlink" Target="https://action.metaffiliation.com/trk.php?mclic=P5104675874B1295S1UD4135bd0790510V4" TargetMode="External" Id="rId561" /><Relationship Type="http://schemas.openxmlformats.org/officeDocument/2006/relationships/hyperlink" Target="https://action.metaffiliation.com/trk.php?mclic=P5104675874B1295S1UD4135bd0816184V4" TargetMode="External" Id="rId562" /><Relationship Type="http://schemas.openxmlformats.org/officeDocument/2006/relationships/hyperlink" Target="https://action.metaffiliation.com/trk.php?mclic=P5104675874B1295S1UD4135bd0810325V4" TargetMode="External" Id="rId563" /><Relationship Type="http://schemas.openxmlformats.org/officeDocument/2006/relationships/hyperlink" Target="https://action.metaffiliation.com/trk.php?mclic=P5104675874B1295S1UD4135bd0781032V4" TargetMode="External" Id="rId564" /><Relationship Type="http://schemas.openxmlformats.org/officeDocument/2006/relationships/hyperlink" Target="https://action.metaffiliation.com/trk.php?mclic=P5104675874B1295S1UD4135bd0749011V4" TargetMode="External" Id="rId565" /><Relationship Type="http://schemas.openxmlformats.org/officeDocument/2006/relationships/hyperlink" Target="https://action.metaffiliation.com/trk.php?mclic=P5104675874B1295S1UD4135bd0809637V4" TargetMode="External" Id="rId566" /><Relationship Type="http://schemas.openxmlformats.org/officeDocument/2006/relationships/hyperlink" Target="https://action.metaffiliation.com/trk.php?mclic=P5104675874B1295S1UD4135bd0817102V4" TargetMode="External" Id="rId567" /><Relationship Type="http://schemas.openxmlformats.org/officeDocument/2006/relationships/hyperlink" Target="https://action.metaffiliation.com/trk.php?mclic=P5104675874B11CS1UE412f3c01258070V4" TargetMode="External" Id="rId568" /><Relationship Type="http://schemas.openxmlformats.org/officeDocument/2006/relationships/hyperlink" Target="https://action.metaffiliation.com/trk.php?mclic=P5104675874B1295S1UD4135bd0802548V4" TargetMode="External" Id="rId569" /><Relationship Type="http://schemas.openxmlformats.org/officeDocument/2006/relationships/hyperlink" Target="https://action.metaffiliation.com/trk.php?mclic=P5104675874B11CS1UE412f3c01309053V4" TargetMode="External" Id="rId570" /><Relationship Type="http://schemas.openxmlformats.org/officeDocument/2006/relationships/hyperlink" Target="https://action.metaffiliation.com/trk.php?mclic=P5104675874B1295S1UD4135bd0816184V4" TargetMode="External" Id="rId571" /><Relationship Type="http://schemas.openxmlformats.org/officeDocument/2006/relationships/hyperlink" Target="https://action.metaffiliation.com/trk.php?mclic=P5104675874B1295S1UD4135bd0817051V4" TargetMode="External" Id="rId572" /><Relationship Type="http://schemas.openxmlformats.org/officeDocument/2006/relationships/hyperlink" Target="https://action.metaffiliation.com/trk.php?mclic=P5104675874B1295S1UD4135bd0789500V4" TargetMode="External" Id="rId573" /><Relationship Type="http://schemas.openxmlformats.org/officeDocument/2006/relationships/hyperlink" Target="https://action.metaffiliation.com/trk.php?mclic=P5104675874B1295S1UD4135bd0809674V4" TargetMode="External" Id="rId574" /><Relationship Type="http://schemas.openxmlformats.org/officeDocument/2006/relationships/hyperlink" Target="https://action.metaffiliation.com/trk.php?mclic=P5104675874B1295S1UD4135bd0809637V4" TargetMode="External" Id="rId575" /><Relationship Type="http://schemas.openxmlformats.org/officeDocument/2006/relationships/hyperlink" Target="https://action.metaffiliation.com/trk.php?mclic=P5104675874B11CS1UE412f3c01304638V4" TargetMode="External" Id="rId576" /><Relationship Type="http://schemas.openxmlformats.org/officeDocument/2006/relationships/hyperlink" Target="https://action.metaffiliation.com/trk.php?mclic=P5104675874B11CS1UE412f3c01311540V4" TargetMode="External" Id="rId577" /><Relationship Type="http://schemas.openxmlformats.org/officeDocument/2006/relationships/hyperlink" Target="https://action.metaffiliation.com/trk.php?mclic=P5104675874B1295S1UD4135bd0699282V4" TargetMode="External" Id="rId578" /><Relationship Type="http://schemas.openxmlformats.org/officeDocument/2006/relationships/hyperlink" Target="https://action.metaffiliation.com/trk.php?mclic=P5104675874B11CS1UE412f3c01270185V4" TargetMode="External" Id="rId579" /><Relationship Type="http://schemas.openxmlformats.org/officeDocument/2006/relationships/hyperlink" Target="https://action.metaffiliation.com/trk.php?mclic=P5104675874B1295S1UD4135bd0817102V4" TargetMode="External" Id="rId580" /><Relationship Type="http://schemas.openxmlformats.org/officeDocument/2006/relationships/hyperlink" Target="https://action.metaffiliation.com/trk.php?mclic=P5104675874B1295S1UD4135bd0757643V4" TargetMode="External" Id="rId581" /><Relationship Type="http://schemas.openxmlformats.org/officeDocument/2006/relationships/hyperlink" Target="https://action.metaffiliation.com/trk.php?mclic=P5104675874B1295S1UD4135bd0773918V4" TargetMode="External" Id="rId582" /><Relationship Type="http://schemas.openxmlformats.org/officeDocument/2006/relationships/hyperlink" Target="https://action.metaffiliation.com/trk.php?mclic=P5104675874B1295S1UD4135bd0749011V4" TargetMode="External" Id="rId583" /><Relationship Type="http://schemas.openxmlformats.org/officeDocument/2006/relationships/hyperlink" Target="https://action.metaffiliation.com/trk.php?mclic=P5104675874B1295S1UD4135bd0796534V4" TargetMode="External" Id="rId584" /><Relationship Type="http://schemas.openxmlformats.org/officeDocument/2006/relationships/hyperlink" Target="https://action.metaffiliation.com/trk.php?mclic=P5104675874B1295S1UD4135bd0812610V4" TargetMode="External" Id="rId585" /><Relationship Type="http://schemas.openxmlformats.org/officeDocument/2006/relationships/hyperlink" Target="https://action.metaffiliation.com/trk.php?mclic=P5104675874B1295S1UD4135bd0620537V4" TargetMode="External" Id="rId586" /><Relationship Type="http://schemas.openxmlformats.org/officeDocument/2006/relationships/hyperlink" Target="https://action.metaffiliation.com/trk.php?mclic=P5104675874B11CS1UE412f3c01311541V4" TargetMode="External" Id="rId587" /><Relationship Type="http://schemas.openxmlformats.org/officeDocument/2006/relationships/hyperlink" Target="https://action.metaffiliation.com/trk.php?mclic=P5104675874B1295S1UD4135bd0791071V4" TargetMode="External" Id="rId588" /><Relationship Type="http://schemas.openxmlformats.org/officeDocument/2006/relationships/hyperlink" Target="https://action.metaffiliation.com/trk.php?mclic=P5104675874B1295S1UD4135bd0809626V4" TargetMode="External" Id="rId589" /><Relationship Type="http://schemas.openxmlformats.org/officeDocument/2006/relationships/hyperlink" Target="https://action.metaffiliation.com/trk.php?mclic=P5104675874B1295S1UD4135bd0797184V4" TargetMode="External" Id="rId590" /><Relationship Type="http://schemas.openxmlformats.org/officeDocument/2006/relationships/hyperlink" Target="https://action.metaffiliation.com/trk.php?mclic=P5104675874B11CS1UD412f3c0776593V4" TargetMode="External" Id="rId591" /><Relationship Type="http://schemas.openxmlformats.org/officeDocument/2006/relationships/hyperlink" Target="https://action.metaffiliation.com/trk.php?mclic=P5104675874B1295S1UD4135bd0759227V4" TargetMode="External" Id="rId592" /><Relationship Type="http://schemas.openxmlformats.org/officeDocument/2006/relationships/hyperlink" Target="https://action.metaffiliation.com/trk.php?mclic=P5104675874B1295S1UD4135bd0782899V4" TargetMode="External" Id="rId593" /><Relationship Type="http://schemas.openxmlformats.org/officeDocument/2006/relationships/hyperlink" Target="https://action.metaffiliation.com/trk.php?mclic=P5104675874B1295S1UD4135bd0776637V4" TargetMode="External" Id="rId594" /><Relationship Type="http://schemas.openxmlformats.org/officeDocument/2006/relationships/hyperlink" Target="https://action.metaffiliation.com/trk.php?mclic=P5104675874B1295S1UD4135bd0790510V4" TargetMode="External" Id="rId595" /><Relationship Type="http://schemas.openxmlformats.org/officeDocument/2006/relationships/hyperlink" Target="https://action.metaffiliation.com/trk.php?mclic=P5104675874B1295S1UD4135bd0818792V4" TargetMode="External" Id="rId596" /><Relationship Type="http://schemas.openxmlformats.org/officeDocument/2006/relationships/hyperlink" Target="https://action.metaffiliation.com/trk.php?mclic=P5104675874B11CS1UE412f3c01263251V4" TargetMode="External" Id="rId597" /><Relationship Type="http://schemas.openxmlformats.org/officeDocument/2006/relationships/hyperlink" Target="https://action.metaffiliation.com/trk.php?mclic=P5104675874B1295S1UD4135bd0816184V4" TargetMode="External" Id="rId598" /><Relationship Type="http://schemas.openxmlformats.org/officeDocument/2006/relationships/hyperlink" Target="https://action.metaffiliation.com/trk.php?mclic=P5104675874B1295S1UD4135bd0802549V4" TargetMode="External" Id="rId599" /><Relationship Type="http://schemas.openxmlformats.org/officeDocument/2006/relationships/hyperlink" Target="https://action.metaffiliation.com/trk.php?mclic=P5104675874B11CS1UE412f3c01242523V4" TargetMode="External" Id="rId600" /><Relationship Type="http://schemas.openxmlformats.org/officeDocument/2006/relationships/hyperlink" Target="https://action.metaffiliation.com/trk.php?mclic=P5104675874B1295S1UD4135bd0810325V4" TargetMode="External" Id="rId601" /><Relationship Type="http://schemas.openxmlformats.org/officeDocument/2006/relationships/hyperlink" Target="https://action.metaffiliation.com/trk.php?mclic=P5104675874B1295S1UD4135bd0795692V4" TargetMode="External" Id="rId602" /><Relationship Type="http://schemas.openxmlformats.org/officeDocument/2006/relationships/hyperlink" Target="https://action.metaffiliation.com/trk.php?mclic=P5104675874B1295S1UD4135bd0817051V4" TargetMode="External" Id="rId603" /><Relationship Type="http://schemas.openxmlformats.org/officeDocument/2006/relationships/hyperlink" Target="https://www.awin1.com/awclick.php?gid=449948&amp;mid=19624&amp;awinaffid=2748398&amp;linkid=4651001&amp;clickref=" TargetMode="External" Id="rId604" /><Relationship Type="http://schemas.openxmlformats.org/officeDocument/2006/relationships/hyperlink" Target="https://www.awin1.com/awclick.php?gid=449948&amp;mid=19624&amp;awinaffid=2748398&amp;linkid=4526168&amp;clickref=" TargetMode="External" Id="rId605" /><Relationship Type="http://schemas.openxmlformats.org/officeDocument/2006/relationships/hyperlink" Target="https://www.awin1.com/awclick.php?gid=449948&amp;mid=19624&amp;awinaffid=2748398&amp;linkid=4651001&amp;clickref=" TargetMode="External" Id="rId606" /><Relationship Type="http://schemas.openxmlformats.org/officeDocument/2006/relationships/hyperlink" Target="https://qonto.com/fr/compte-professionnel?utm_source=lemrock&amp;utm_medium=cpc&amp;utm_campaign=fr_fr_acq_push-ads_display_lemrock_web_nonbrand_cs_compte-pro" TargetMode="External" Id="rId607" /><Relationship Type="http://schemas.openxmlformats.org/officeDocument/2006/relationships/hyperlink" Target="https://qonto.com/fr/creation?utm_source=lemrock&amp;utm_medium=cpc&amp;utm_campaign=fr_fr_acq_push-ads_display_lemrock_web_nonbrand_cs_creation-entreprise" TargetMode="External" Id="rId608" /><Relationship Type="http://schemas.openxmlformats.org/officeDocument/2006/relationships/hyperlink" Target="https://qonto.com/fr/invoicing/free-software?utm_source=lemrock&amp;utm_medium=cpc&amp;utm_campaign=fr_fr_acq_push-ads_display_lemrock_web_nonbrand_cs_facturation" TargetMode="External" Id="rId609" /><Relationship Type="http://schemas.openxmlformats.org/officeDocument/2006/relationships/hyperlink" Target="https://www.basket4ballers.com/fr/259-survetements" TargetMode="External" Id="rId610" /><Relationship Type="http://schemas.openxmlformats.org/officeDocument/2006/relationships/hyperlink" Target="https://www.basket4ballers.com/fr/43_b4b" TargetMode="External" Id="rId611" /><Relationship Type="http://schemas.openxmlformats.org/officeDocument/2006/relationships/hyperlink" Target="https://www.basket4ballers.com/fr/139-equipe-de-france-de-basket-ball" TargetMode="External" Id="rId612" /><Relationship Type="http://schemas.openxmlformats.org/officeDocument/2006/relationships/hyperlink" Target="https://www.basket4ballers.com/fr/basket-sneakers/19376-adidas-yung-1-legend-ivy.html?utm_source=lemrock&amp;utm_medium=cpc&amp;utm_campaign=lemrock#/74-tailles-38" TargetMode="External" Id="rId613" /><Relationship Type="http://schemas.openxmlformats.org/officeDocument/2006/relationships/hyperlink" Target="https://www.basket4ballers.com/fr/210-casquettes-et-bonnets" TargetMode="External" Id="rId614" /><Relationship Type="http://schemas.openxmlformats.org/officeDocument/2006/relationships/hyperlink" Target="https://www.basket4ballers.com/fr/basket-sneakers/11188-puma-platform-elements.html?utm_source=lemrock&amp;utm_medium=cpc&amp;utm_campaign=lemrock#/158-tailles-37" TargetMode="External" Id="rId615" /><Relationship Type="http://schemas.openxmlformats.org/officeDocument/2006/relationships/hyperlink" Target="https://www.basket4ballers.com/fr/accessoires-basketball/21904-nike-skills-nike-skills-orablawhi-nki08879.html?utm_source=lemrock&amp;utm_medium=cpc&amp;utm_campaign=lemrock#/205-tailles-taille_3" TargetMode="External" Id="rId616" /><Relationship Type="http://schemas.openxmlformats.org/officeDocument/2006/relationships/hyperlink" Target="https://www.basket4ballers.com/fr/494-paris-basketball" TargetMode="External" Id="rId617" /><Relationship Type="http://schemas.openxmlformats.org/officeDocument/2006/relationships/hyperlink" Target="https://www.basket4ballers.com/fr/vetements-lifestyle/18397-ensemble-jordan-enfant-diamond-fleece-black.html?utm_source=lemrock&amp;utm_medium=cpc&amp;utm_campaign=lemrock#/417-tailles-6_mois" TargetMode="External" Id="rId618" /><Relationship Type="http://schemas.openxmlformats.org/officeDocument/2006/relationships/hyperlink" Target="https://www.basket4ballers.com/fr/coudieres-et-genouilleres/16861-hexforce-hexpad-extended-leg-sleeves-black-6446r-bk.html?utm_source=lemrock&amp;utm_medium=cpc&amp;utm_campaign=lemrock#/69-tailles-m" TargetMode="External" Id="rId619" /><Relationship Type="http://schemas.openxmlformats.org/officeDocument/2006/relationships/hyperlink" Target="https://www.basket4ballers.com/fr/452-promotions-vetements-de-basket" TargetMode="External" Id="rId620" /><Relationship Type="http://schemas.openxmlformats.org/officeDocument/2006/relationships/hyperlink" Target="https://www.basket4ballers.com/fr/basket-sneakers/21504-nike-air-force-1-07-wheat-cj9179-200.html?utm_source=lemrock&amp;utm_medium=cpc&amp;utm_campaign=lemrock#/97-tailles-405" TargetMode="External" Id="rId621" /><Relationship Type="http://schemas.openxmlformats.org/officeDocument/2006/relationships/hyperlink" Target="https://www.basket4ballers.com/fr/accessoires-basketball/18697-sac-air-jordan-pivot-duffle-red.html?utm_source=lemrock&amp;utm_medium=cpc&amp;utm_campaign=lemrock#/91-tailles-taille_unique" TargetMode="External" Id="rId622" /><Relationship Type="http://schemas.openxmlformats.org/officeDocument/2006/relationships/hyperlink" Target="https://www.basket4ballers.com/fr/coudieres-et-genouilleres/16861-hexforce-hexpad-extended-leg-sleeves-black-6446r-bk.html?utm_source=lemrock&amp;utm_medium=cpc&amp;utm_campaign=lemrock#/69-tailles-m" TargetMode="External" Id="rId623" /><Relationship Type="http://schemas.openxmlformats.org/officeDocument/2006/relationships/hyperlink" Target="https://www.basket4ballers.com/fr/jordan-basketball/13462-jordan-jumpman-wristband-gym-red-bla-jkn01605os.html?utm_source=lemrock&amp;utm_medium=cpc&amp;utm_campaign=lemrock#/91-tailles-taille_unique" TargetMode="External" Id="rId624" /><Relationship Type="http://schemas.openxmlformats.org/officeDocument/2006/relationships/hyperlink" Target="https://www.basket4ballers.com/fr/accessoires-basketball/21904-nike-skills-nike-skills-orablawhi-nki08879.html?utm_source=lemrock&amp;utm_medium=cpc&amp;utm_campaign=lemrock#/205-tailles-taille_3" TargetMode="External" Id="rId625" /><Relationship Type="http://schemas.openxmlformats.org/officeDocument/2006/relationships/hyperlink" Target="https://www.basket4ballers.com/fr/coudieres-et-genouilleres/20553-nike-pro-elite-sleeve-20-nike-pro-elite-sleeve-20-blawhi-n0003146027.html?utm_source=lemrock&amp;utm_medium=cpc&amp;utm_campaign=lemrock#/250-tailles-l_xl" TargetMode="External" Id="rId626" /><Relationship Type="http://schemas.openxmlformats.org/officeDocument/2006/relationships/hyperlink" Target="https://www.basket4ballers.com/fr/chemises-baseball/22238-chicago-white-sox-mlb-nike-official-replica-alternate-jerseypro-black-t770rxbarxxva.html?utm_source=lemrock&amp;utm_medium=cpc&amp;utm_campaign=lemrock#/69-tailles-m" TargetMode="External" Id="rId627" /><Relationship Type="http://schemas.openxmlformats.org/officeDocument/2006/relationships/hyperlink" Target="https://www.basket4ballers.com/fr/vetements-lifestyle/20868-jdb-jumpman-logo-fleece-po-956326-geh.html?utm_source=lemrock&amp;utm_medium=cpc&amp;utm_campaign=lemrock#/397-tailles-8_10_ans" TargetMode="External" Id="rId628" /><Relationship Type="http://schemas.openxmlformats.org/officeDocument/2006/relationships/hyperlink" Target="https://www.basket4ballers.com/fr/vetements/20025-short-de-compression.html?utm_source=lemrock&amp;utm_medium=cpc&amp;utm_campaign=lemrock#/68-tailles-s" TargetMode="External" Id="rId629" /><Relationship Type="http://schemas.openxmlformats.org/officeDocument/2006/relationships/hyperlink" Target="https://www.basket4ballers.com/fr/accessoires-basketball/19742-nike-big-mouth-bottle-20-22-oz-nike-big-mouth-bottle-20-blubluwhi-n0000042408.html?utm_source=lemrock&amp;utm_medium=cpc&amp;utm_campaign=lemrock#/91-tailles-taille_unique" TargetMode="External" Id="rId630" /><Relationship Type="http://schemas.openxmlformats.org/officeDocument/2006/relationships/hyperlink" Target="https://www.basket4ballers.com/fr/vetements/20025-short-de-compression.html?utm_source=lemrock&amp;utm_medium=cpc&amp;utm_campaign=lemrock#/68-tailles-s" TargetMode="External" Id="rId631" /><Relationship Type="http://schemas.openxmlformats.org/officeDocument/2006/relationships/hyperlink" Target="https://www.basket4ballers.com/fr/vetements-lifestyle/21440-t-shirt-jdb-mjss-crew-ss-tee-short-set-656955-g6p.html?utm_source=lemrock&amp;utm_medium=cpc&amp;utm_campaign=lemrock#/391-tailles-12_mois" TargetMode="External" Id="rId632" /><Relationship Type="http://schemas.openxmlformats.org/officeDocument/2006/relationships/hyperlink" Target="https://www.basket4ballers.com/fr/basket-sneakers/11188-puma-platform-elements.html?utm_source=lemrock&amp;utm_medium=cpc&amp;utm_campaign=lemrock#/158-tailles-37" TargetMode="External" Id="rId633" /><Relationship Type="http://schemas.openxmlformats.org/officeDocument/2006/relationships/hyperlink" Target="https://www.basket4ballers.com/fr/vetements/20025-short-de-compression.html?utm_source=lemrock&amp;utm_medium=cpc&amp;utm_campaign=lemrock#/68-tailles-s" TargetMode="External" Id="rId634" /><Relationship Type="http://schemas.openxmlformats.org/officeDocument/2006/relationships/hyperlink" Target="https://www.basket4ballers.com/fr/coudieres-et-genouilleres/20553-nike-pro-elite-sleeve-20-nike-pro-elite-sleeve-20-blawhi-n0003146027.html?utm_source=lemrock&amp;utm_medium=cpc&amp;utm_campaign=lemrock#/250-tailles-l_xl" TargetMode="External" Id="rId635" /><Relationship Type="http://schemas.openxmlformats.org/officeDocument/2006/relationships/hyperlink" Target="https://www.basket4ballers.com/fr/10-vetements" TargetMode="External" Id="rId636" /><Relationship Type="http://schemas.openxmlformats.org/officeDocument/2006/relationships/hyperlink" Target="https://www.basket4ballers.com/fr/207-chaussettes" TargetMode="External" Id="rId637" /><Relationship Type="http://schemas.openxmlformats.org/officeDocument/2006/relationships/hyperlink" Target="https://www.basket4ballers.com/fr/jordan-basketball/13462-jordan-jumpman-wristband-gym-red-bla-jkn01605os.html?utm_source=lemrock&amp;utm_medium=cpc&amp;utm_campaign=lemrock#/91-tailles-taille_unique" TargetMode="External" Id="rId638" /><Relationship Type="http://schemas.openxmlformats.org/officeDocument/2006/relationships/hyperlink" Target="https://www.basket4ballers.com/fr/456-promotions-accessoires-de-basket" TargetMode="External" Id="rId639" /><Relationship Type="http://schemas.openxmlformats.org/officeDocument/2006/relationships/hyperlink" Target="https://www.basket4ballers.com/fr/accessoires-basketball/17433-nike-headband-nba-black-black-nkn02001os.html?utm_source=lemrock&amp;utm_medium=cpc&amp;utm_campaign=lemrock#/91-tailles-taille_unique" TargetMode="External" Id="rId640" /><Relationship Type="http://schemas.openxmlformats.org/officeDocument/2006/relationships/hyperlink" Target="https://www.basket4ballers.com/fr/jordan-basketball/13464-jordan-shooter-sleeves-black-white-jks04010.html?utm_source=lemrock&amp;utm_medium=cpc&amp;utm_campaign=lemrock#/250-tailles-l_xl" TargetMode="External" Id="rId641" /><Relationship Type="http://schemas.openxmlformats.org/officeDocument/2006/relationships/hyperlink" Target="https://www.basket4ballers.com/fr/vetements/16867-short-de-protection-mc-david-hex-short-black.html?utm_source=lemrock&amp;utm_medium=cpc&amp;utm_campaign=lemrock#/69-tailles-m" TargetMode="External" Id="rId642" /><Relationship Type="http://schemas.openxmlformats.org/officeDocument/2006/relationships/hyperlink" Target="https://www.basket4ballers.com/fr/accessoires-basketball/19742-nike-big-mouth-bottle-20-22-oz-nike-big-mouth-bottle-20-blubluwhi-n0000042408.html?utm_source=lemrock&amp;utm_medium=cpc&amp;utm_campaign=lemrock#/91-tailles-taille_unique" TargetMode="External" Id="rId643" /><Relationship Type="http://schemas.openxmlformats.org/officeDocument/2006/relationships/hyperlink" Target="https://www.basket4ballers.com/fr/3242-fc-barcelona" TargetMode="External" Id="rId644" /><Relationship Type="http://schemas.openxmlformats.org/officeDocument/2006/relationships/hyperlink" Target="https://www.basket4ballers.com/fr/vetements-lifestyle/20874-pantalon-jdb-jumpman-logo-fleece-pant-856327-geh.html?utm_source=lemrock&amp;utm_medium=cpc&amp;utm_campaign=lemrock#/396-tailles-6_7_ans_116_122_cm" TargetMode="External" Id="rId645" /><Relationship Type="http://schemas.openxmlformats.org/officeDocument/2006/relationships/hyperlink" Target="https://www.basket4ballers.com/fr/vetements/16867-short-de-protection-mc-david-hex-short-black.html?utm_source=lemrock&amp;utm_medium=cpc&amp;utm_campaign=lemrock#/69-tailles-m" TargetMode="External" Id="rId646" /><Relationship Type="http://schemas.openxmlformats.org/officeDocument/2006/relationships/hyperlink" Target="https://www.basket4ballers.com/fr/vetements-lifestyle/21440-t-shirt-jdb-mjss-crew-ss-tee-short-set-656955-g6p.html?utm_source=lemrock&amp;utm_medium=cpc&amp;utm_campaign=lemrock#/391-tailles-12_mois" TargetMode="External" Id="rId647" /><Relationship Type="http://schemas.openxmlformats.org/officeDocument/2006/relationships/hyperlink" Target="https://www.basket4ballers.com/fr/jordan-basketball/13461-jordan-jumpman-headband-white-black-jkn00101os.html?utm_source=lemrock&amp;utm_medium=cpc&amp;utm_campaign=lemrock#/91-tailles-taille_unique" TargetMode="External" Id="rId648" /><Relationship Type="http://schemas.openxmlformats.org/officeDocument/2006/relationships/hyperlink" Target="https://www.basket4ballers.com/fr/basketball/17121-nike-air-max-infuriate-ii-premium-white-vast-grey-night-purple-aj1933-140.html?utm_source=lemrock&amp;utm_medium=cpc&amp;utm_campaign=lemrock#/129-tailles-385" TargetMode="External" Id="rId649" /><Relationship Type="http://schemas.openxmlformats.org/officeDocument/2006/relationships/hyperlink" Target="https://www.basket4ballers.com/fr/jordan-basketball/16920-chaussettes-jordan-ultimate-flight-quarter-20-basketball-socks-black-white-sx5855-011.html?utm_source=lemrock&amp;utm_medium=cpc&amp;utm_campaign=lemrock#/128-tailles-34_38" TargetMode="External" Id="rId650" /><Relationship Type="http://schemas.openxmlformats.org/officeDocument/2006/relationships/hyperlink" Target="https://www.basket4ballers.com/fr/jordan-basketball/13462-jordan-jumpman-wristband-gym-red-bla-jkn01605os.html?utm_source=lemrock&amp;utm_medium=cpc&amp;utm_campaign=lemrock#/91-tailles-taille_unique" TargetMode="External" Id="rId651" /><Relationship Type="http://schemas.openxmlformats.org/officeDocument/2006/relationships/hyperlink" Target="https://www.basket4ballers.com/fr/258-sous-vetements-techniques" TargetMode="External" Id="rId652" /><Relationship Type="http://schemas.openxmlformats.org/officeDocument/2006/relationships/hyperlink" Target="https://www.basket4ballers.com/fr/jordan-basketball/13461-jordan-jumpman-headband-white-black-jkn00101os.html?utm_source=lemrock&amp;utm_medium=cpc&amp;utm_campaign=lemrock#/91-tailles-taille_unique" TargetMode="External" Id="rId653" /><Relationship Type="http://schemas.openxmlformats.org/officeDocument/2006/relationships/hyperlink" Target="https://www.basket4ballers.com/fr/oklahoma-city-thunder/19727-casquette-snapback-nba-okc-thunder-the-league-new-era.html?utm_source=lemrock&amp;utm_medium=cpc&amp;utm_campaign=lemrock#/91-tailles-taille_unique" TargetMode="External" Id="rId654" /><Relationship Type="http://schemas.openxmlformats.org/officeDocument/2006/relationships/hyperlink" Target="https://www.basket4ballers.com/fr/4-equipements" TargetMode="External" Id="rId655" /><Relationship Type="http://schemas.openxmlformats.org/officeDocument/2006/relationships/hyperlink" Target="https://www.basket4ballers.com/fr/chaussettes/17682-chaussettes-nike-elite-black-white-sx7587-010.html?utm_source=lemrock&amp;utm_medium=cpc&amp;utm_campaign=lemrock#/62-tailles-38_42" TargetMode="External" Id="rId656" /><Relationship Type="http://schemas.openxmlformats.org/officeDocument/2006/relationships/hyperlink" Target="https://www.basket4ballers.com/fr/jordan-enfant/22600-hbr-dna-jrdn-jersy-romper-556169-023.html?utm_source=lemrock&amp;utm_medium=cpc&amp;utm_campaign=lemrock#/420-tailles-3_mois" TargetMode="External" Id="rId657" /><Relationship Type="http://schemas.openxmlformats.org/officeDocument/2006/relationships/hyperlink" Target="https://www.basket4ballers.com/fr/accessoires-basketball/18697-sac-air-jordan-pivot-duffle-red.html?utm_source=lemrock&amp;utm_medium=cpc&amp;utm_campaign=lemrock#/91-tailles-taille_unique" TargetMode="External" Id="rId658" /><Relationship Type="http://schemas.openxmlformats.org/officeDocument/2006/relationships/hyperlink" Target="https://www.basket4ballers.com/fr/coudieres-et-genouilleres/16861-hexforce-hexpad-extended-leg-sleeves-black-6446r-bk.html?utm_source=lemrock&amp;utm_medium=cpc&amp;utm_campaign=lemrock#/69-tailles-m" TargetMode="External" Id="rId659" /><Relationship Type="http://schemas.openxmlformats.org/officeDocument/2006/relationships/hyperlink" Target="https://www.basket4ballers.com/fr/accessoires-basketball/17433-nike-headband-nba-black-black-nkn02001os.html?utm_source=lemrock&amp;utm_medium=cpc&amp;utm_campaign=lemrock#/91-tailles-taille_unique" TargetMode="External" Id="rId660" /><Relationship Type="http://schemas.openxmlformats.org/officeDocument/2006/relationships/hyperlink" Target="https://www.basket4ballers.com/fr/jordan-enfant/22600-hbr-dna-jrdn-jersy-romper-556169-023.html?utm_source=lemrock&amp;utm_medium=cpc&amp;utm_campaign=lemrock#/420-tailles-3_mois" TargetMode="External" Id="rId661" /><Relationship Type="http://schemas.openxmlformats.org/officeDocument/2006/relationships/hyperlink" Target="https://www.basket4ballers.com/fr/accessoires-basketball/19742-nike-big-mouth-bottle-20-22-oz-nike-big-mouth-bottle-20-blubluwhi-n0000042408.html?utm_source=lemrock&amp;utm_medium=cpc&amp;utm_campaign=lemrock#/91-tailles-taille_unique" TargetMode="External" Id="rId662" /><Relationship Type="http://schemas.openxmlformats.org/officeDocument/2006/relationships/hyperlink" Target="https://www.basket4ballers.com/fr/chicago-bulls/15766-warm-up-nba-chicago-bulls-1992-93-mitchellness-authentic-red.html?utm_source=lemrock&amp;utm_medium=cpc&amp;utm_campaign=lemrock#/69-tailles-m" TargetMode="External" Id="rId663" /><Relationship Type="http://schemas.openxmlformats.org/officeDocument/2006/relationships/hyperlink" Target="https://www.basket4ballers.com/fr/basket-sneakers/19376-adidas-yung-1-legend-ivy.html?utm_source=lemrock&amp;utm_medium=cpc&amp;utm_campaign=lemrock#/74-tailles-38" TargetMode="External" Id="rId664" /><Relationship Type="http://schemas.openxmlformats.org/officeDocument/2006/relationships/hyperlink" Target="https://www.basket4ballers.com/fr/vetements-lifestyle/20868-jdb-jumpman-logo-fleece-po-956326-geh.html#/397-tailles-8_10_ans" TargetMode="External" Id="rId665" /><Relationship Type="http://schemas.openxmlformats.org/officeDocument/2006/relationships/hyperlink" Target="https://www.basket4ballers.com/fr/chicago-bulls/15766-warm-up-nba-chicago-bulls-1992-93-mitchellness-authentic-red.html#/69-tailles-m" TargetMode="External" Id="rId666" /><Relationship Type="http://schemas.openxmlformats.org/officeDocument/2006/relationships/hyperlink" Target="https://www.basket4ballers.com/fr/t-shirts/20044-t-shirt-nike-dri-fit-white-at0515-100.html#/72-tailles-xxl" TargetMode="External" Id="rId667" /><Relationship Type="http://schemas.openxmlformats.org/officeDocument/2006/relationships/hyperlink" Target="https://www.basket4ballers.com/fr/t-shirts/20044-t-shirt-nike-dri-fit-white-at0515-100.html?utm_source=lemrock&amp;utm_medium=cpc&amp;utm_campaign=lemrock#/72-tailles-xxl" TargetMode="External" Id="rId668" /><Relationship Type="http://schemas.openxmlformats.org/officeDocument/2006/relationships/hyperlink" Target="https://www.basket4ballers.com/fr/oklahoma-city-thunder/19727-casquette-snapback-nba-okc-thunder-the-league-new-era.html?utm_source=lemrock&amp;utm_medium=cpc&amp;utm_campaign=lemrock#/91-tailles-taille_unique" TargetMode="External" Id="rId669" /><Relationship Type="http://schemas.openxmlformats.org/officeDocument/2006/relationships/hyperlink" Target="https://www.basket4ballers.com/fr/chaussettes/17682-chaussettes-nike-elite-black-white-sx7587-010.html?utm_source=lemrock&amp;utm_medium=cpc&amp;utm_campaign=lemrock#/62-tailles-38_42" TargetMode="External" Id="rId670" /><Relationship Type="http://schemas.openxmlformats.org/officeDocument/2006/relationships/hyperlink" Target="https://www.basket4ballers.com/fr/philadelphia-76ers/15728-short-nba-philadelphia-76ers-swingman-mitchellness-red.html#/68-tailles-s" TargetMode="External" Id="rId671" /><Relationship Type="http://schemas.openxmlformats.org/officeDocument/2006/relationships/hyperlink" Target="https://www.basket4ballers.com/fr/vetements-lifestyle/18397-ensemble-jordan-enfant-diamond-fleece-black.html?utm_source=lemrock&amp;utm_medium=cpc&amp;utm_campaign=lemrock#/417-tailles-6_mois" TargetMode="External" Id="rId672" /><Relationship Type="http://schemas.openxmlformats.org/officeDocument/2006/relationships/hyperlink" Target="https://www.basket4ballers.com/fr/basket-sneakers/11188-puma-platform-elements.html?utm_source=lemrock&amp;utm_medium=cpc&amp;utm_campaign=lemrock#/158-tailles-37" TargetMode="External" Id="rId673" /><Relationship Type="http://schemas.openxmlformats.org/officeDocument/2006/relationships/hyperlink" Target="https://www.basket4ballers.com/fr/basket-sneakers/11188-puma-platform-elements.html?utm_source=lemrock&amp;utm_medium=cpc&amp;utm_campaign=lemrock#/158-tailles-37" TargetMode="External" Id="rId674" /><Relationship Type="http://schemas.openxmlformats.org/officeDocument/2006/relationships/hyperlink" Target="https://www.basket4ballers.com/fr/chicago-bulls/15766-warm-up-nba-chicago-bulls-1992-93-mitchellness-authentic-red.html#/69-tailles-m" TargetMode="External" Id="rId675" /><Relationship Type="http://schemas.openxmlformats.org/officeDocument/2006/relationships/hyperlink" Target="https://www.basket4ballers.com/fr/t-shirts/20044-t-shirt-nike-dri-fit-white-at0515-100.html?utm_source=lemrock&amp;utm_medium=cpc&amp;utm_campaign=lemrock#/72-tailles-xxl" TargetMode="External" Id="rId676" /><Relationship Type="http://schemas.openxmlformats.org/officeDocument/2006/relationships/hyperlink" Target="https://www.basket4ballers.com/fr/vetements-lifestyle/20868-jdb-jumpman-logo-fleece-po-956326-geh.html?utm_source=lemrock&amp;utm_medium=cpc&amp;utm_campaign=lemrock#/397-tailles-8_10_ans" TargetMode="External" Id="rId677" /><Relationship Type="http://schemas.openxmlformats.org/officeDocument/2006/relationships/hyperlink" Target="https://www.basket4ballers.com/fr/coudieres-et-genouilleres/16861-hexforce-hexpad-extended-leg-sleeves-black-6446r-bk.html?utm_source=lemrock&amp;utm_medium=cpc&amp;utm_campaign=lemrock#/69-tailles-m" TargetMode="External" Id="rId678" /><Relationship Type="http://schemas.openxmlformats.org/officeDocument/2006/relationships/hyperlink" Target="https://www.basket4ballers.com/fr/basket-sneakers/19376-adidas-yung-1-legend-ivy.html?utm_source=lemrock&amp;utm_medium=cpc&amp;utm_campaign=lemrock#/74-tailles-38" TargetMode="External" Id="rId679" /><Relationship Type="http://schemas.openxmlformats.org/officeDocument/2006/relationships/hyperlink" Target="https://www.basket4ballers.com/fr/jordan-basketball/16920-chaussettes-jordan-ultimate-flight-quarter-20-basketball-socks-black-white-sx5855-011.html?utm_source=lemrock&amp;utm_medium=cpc&amp;utm_campaign=lemrock#/128-tailles-34_38" TargetMode="External" Id="rId680" /><Relationship Type="http://schemas.openxmlformats.org/officeDocument/2006/relationships/hyperlink" Target="https://www.basket4ballers.com/fr/vetements-lifestyle/20868-jdb-jumpman-logo-fleece-po-956326-geh.html#/397-tailles-8_10_ans" TargetMode="External" Id="rId681" /><Relationship Type="http://schemas.openxmlformats.org/officeDocument/2006/relationships/hyperlink" Target="https://www.basket4ballers.com/fr/vetements-lifestyle/21440-t-shirt-jdb-mjss-crew-ss-tee-short-set-656955-g6p.html?utm_source=lemrock&amp;utm_medium=cpc&amp;utm_campaign=lemrock#/391-tailles-12_mois" TargetMode="External" Id="rId682" /><Relationship Type="http://schemas.openxmlformats.org/officeDocument/2006/relationships/hyperlink" Target="https://www.basket4ballers.com/fr/t-shirts/20044-t-shirt-nike-dri-fit-white-at0515-100.html#/72-tailles-xxl" TargetMode="External" Id="rId683" /><Relationship Type="http://schemas.openxmlformats.org/officeDocument/2006/relationships/hyperlink" Target="https://www.basket4ballers.com/fr/philadelphia-76ers/15728-short-nba-philadelphia-76ers-swingman-mitchellness-red.html?utm_source=lemrock&amp;utm_medium=cpc&amp;utm_campaign=lemrock#/68-tailles-s" TargetMode="External" Id="rId684" /><Relationship Type="http://schemas.openxmlformats.org/officeDocument/2006/relationships/hyperlink" Target="https://www.basket4ballers.com/fr/469-a-ja-wilson" TargetMode="External" Id="rId685" /><Relationship Type="http://schemas.openxmlformats.org/officeDocument/2006/relationships/hyperlink" Target="https://www.basket4ballers.com/fr/vetements-lifestyle/18397-ensemble-jordan-enfant-diamond-fleece-black.html?utm_source=lemrock&amp;utm_medium=cpc&amp;utm_campaign=lemrock#/417-tailles-6_mois" TargetMode="External" Id="rId686" /><Relationship Type="http://schemas.openxmlformats.org/officeDocument/2006/relationships/hyperlink" Target="https://www.basket4ballers.com/fr/jordan-basketball/13461-jordan-jumpman-headband-white-black-jkn00101os.html?utm_source=lemrock&amp;utm_medium=cpc&amp;utm_campaign=lemrock#/91-tailles-taille_unique" TargetMode="External" Id="rId687" /><Relationship Type="http://schemas.openxmlformats.org/officeDocument/2006/relationships/hyperlink" Target="https://www.basket4ballers.com/fr/basket-sneakers/21504-nike-air-force-1-07-wheat-cj9179-200.html?utm_source=lemrock&amp;utm_medium=cpc&amp;utm_campaign=lemrock#/97-tailles-405" TargetMode="External" Id="rId688" /><Relationship Type="http://schemas.openxmlformats.org/officeDocument/2006/relationships/hyperlink" Target="https://www.basket4ballers.com/fr/basketball/17121-nike-air-max-infuriate-ii-premium-white-vast-grey-night-purple-aj1933-140.html?utm_source=lemrock&amp;utm_medium=cpc&amp;utm_campaign=lemrock#/129-tailles-385" TargetMode="External" Id="rId689" /><Relationship Type="http://schemas.openxmlformats.org/officeDocument/2006/relationships/hyperlink" Target="https://www.basket4ballers.com/fr/coudieres-et-genouilleres/20553-nike-pro-elite-sleeve-20-nike-pro-elite-sleeve-20-blawhi-n0003146027.html?utm_source=lemrock&amp;utm_medium=cpc&amp;utm_campaign=lemrock#/250-tailles-l_xl" TargetMode="External" Id="rId690" /><Relationship Type="http://schemas.openxmlformats.org/officeDocument/2006/relationships/hyperlink" Target="https://www.basket4ballers.com/fr/jordan-basketball/13464-jordan-shooter-sleeves-black-white-jks04010.html?utm_source=lemrock&amp;utm_medium=cpc&amp;utm_campaign=lemrock#/250-tailles-l_xl" TargetMode="External" Id="rId691" /><Relationship Type="http://schemas.openxmlformats.org/officeDocument/2006/relationships/hyperlink" Target="https://www.basket4ballers.com/fr/philadelphia-76ers/15728-short-nba-philadelphia-76ers-swingman-mitchellness-red.html#/68-tailles-s" TargetMode="External" Id="rId692" /><Relationship Type="http://schemas.openxmlformats.org/officeDocument/2006/relationships/hyperlink" Target="https://www.basket4ballers.com/fr/equipe-nationale-americaine-de-basket-team-usa/20713-authentic-jersey-nba-michael-jordan-ajy4gs18414-usanavy92mjo-xs-ajy4gs18414-usanavy92mjo.html?utm_source=lemrock&amp;utm_medium=cpc&amp;utm_campaign=lemrock#/68-tailles-s" TargetMode="External" Id="rId693" /><Relationship Type="http://schemas.openxmlformats.org/officeDocument/2006/relationships/hyperlink" Target="https://www.basket4ballers.com/fr/accessoires-basketball/18697-sac-air-jordan-pivot-duffle-red.html?utm_source=lemrock&amp;utm_medium=cpc&amp;utm_campaign=lemrock#/91-tailles-taille_unique" TargetMode="External" Id="rId694" /><Relationship Type="http://schemas.openxmlformats.org/officeDocument/2006/relationships/hyperlink" Target="https://www.basket4ballers.com/fr/basket-sneakers/19376-adidas-yung-1-legend-ivy.html?utm_source=lemrock&amp;utm_medium=cpc&amp;utm_campaign=lemrock#/74-tailles-38" TargetMode="External" Id="rId695" /><Relationship Type="http://schemas.openxmlformats.org/officeDocument/2006/relationships/hyperlink" Target="https://www.basket4ballers.com/fr/385-enfant" TargetMode="External" Id="rId696" /><Relationship Type="http://schemas.openxmlformats.org/officeDocument/2006/relationships/hyperlink" Target="https://www.basket4ballers.com/fr/vetements-lifestyle/21440-t-shirt-jdb-mjss-crew-ss-tee-short-set-656955-g6p.html?utm_source=lemrock&amp;utm_medium=cpc&amp;utm_campaign=lemrock#/391-tailles-12_mois" TargetMode="External" Id="rId697" /><Relationship Type="http://schemas.openxmlformats.org/officeDocument/2006/relationships/hyperlink" Target="https://www.basket4ballers.com/fr/kids/17260-maillot-nba-enfant-swingman-icon-philadelphia-76ers-joel-embiid-nike.html?utm_source=lemrock&amp;utm_medium=cpc&amp;utm_campaign=lemrock#/411-tailles-xl_enfant_1m65_a_1m80" TargetMode="External" Id="rId698" /><Relationship Type="http://schemas.openxmlformats.org/officeDocument/2006/relationships/hyperlink" Target="https://www.basket4ballers.com/fr/vetements/16867-short-de-protection-mc-david-hex-short-black.html?utm_source=lemrock&amp;utm_medium=cpc&amp;utm_campaign=lemrock#/69-tailles-m" TargetMode="External" Id="rId699" /><Relationship Type="http://schemas.openxmlformats.org/officeDocument/2006/relationships/hyperlink" Target="https://www.basket4ballers.com/fr/basket-sneakers/21504-nike-air-force-1-07-wheat-cj9179-200.html?utm_source=lemrock&amp;utm_medium=cpc&amp;utm_campaign=lemrock#/97-tailles-405" TargetMode="External" Id="rId700" /><Relationship Type="http://schemas.openxmlformats.org/officeDocument/2006/relationships/hyperlink" Target="https://www.basket4ballers.com/fr/vetements-lifestyle/18397-ensemble-jordan-enfant-diamond-fleece-black.html?utm_source=lemrock&amp;utm_medium=cpc&amp;utm_campaign=lemrock#/417-tailles-6_mois" TargetMode="External" Id="rId701" /><Relationship Type="http://schemas.openxmlformats.org/officeDocument/2006/relationships/hyperlink" Target="https://www.basket4ballers.com/fr/vetements/20025-short-de-compression.html?utm_source=lemrock&amp;utm_medium=cpc&amp;utm_campaign=lemrock#/68-tailles-s" TargetMode="External" Id="rId702" /><Relationship Type="http://schemas.openxmlformats.org/officeDocument/2006/relationships/hyperlink" Target="https://www.basket4ballers.com/fr/vetements-lifestyle/20874-pantalon-jdb-jumpman-logo-fleece-pant-856327-geh.html?utm_source=lemrock&amp;utm_medium=cpc&amp;utm_campaign=lemrock#/396-tailles-6_7_ans_116_122_cm" TargetMode="External" Id="rId703" /><Relationship Type="http://schemas.openxmlformats.org/officeDocument/2006/relationships/hyperlink" Target="https://www.basket4ballers.com/fr/kids/17260-maillot-nba-enfant-swingman-icon-philadelphia-76ers-joel-embiid-nike.html?utm_source=lemrock&amp;utm_medium=cpc&amp;utm_campaign=lemrock#/411-tailles-xl_enfant_1m65_a_1m80" TargetMode="External" Id="rId704" /><Relationship Type="http://schemas.openxmlformats.org/officeDocument/2006/relationships/hyperlink" Target="https://www.basket4ballers.com/fr/jordan-enfant/22600-hbr-dna-jrdn-jersy-romper-556169-023.html?utm_source=lemrock&amp;utm_medium=cpc&amp;utm_campaign=lemrock#/420-tailles-3_mois" TargetMode="External" Id="rId705" /><Relationship Type="http://schemas.openxmlformats.org/officeDocument/2006/relationships/hyperlink" Target="https://www.basket4ballers.com/fr/99_pop" TargetMode="External" Id="rId706" /><Relationship Type="http://schemas.openxmlformats.org/officeDocument/2006/relationships/hyperlink" Target="https://www.basket4ballers.com/fr/chemises-baseball/22238-chicago-white-sox-mlb-nike-official-replica-alternate-jerseypro-black-t770rxbarxxva.html?utm_source=lemrock&amp;utm_medium=cpc&amp;utm_campaign=lemrock#/69-tailles-m" TargetMode="External" Id="rId707" /><Relationship Type="http://schemas.openxmlformats.org/officeDocument/2006/relationships/hyperlink" Target="https://www.basket4ballers.com/fr/charlotte-hornets/12861-maillot-nba-larry-johnson-charlotte-hornets-1992-93-swingman-mitchellness.html?utm_source=lemrock&amp;utm_medium=cpc&amp;utm_campaign=lemrock#/100-tailles-xs" TargetMode="External" Id="rId708" /><Relationship Type="http://schemas.openxmlformats.org/officeDocument/2006/relationships/hyperlink" Target="https://www.basket4ballers.com/fr/coudieres-et-genouilleres/20553-nike-pro-elite-sleeve-20-nike-pro-elite-sleeve-20-blawhi-n0003146027.html?utm_source=lemrock&amp;utm_medium=cpc&amp;utm_campaign=lemrock#/250-tailles-l_xl" TargetMode="External" Id="rId709" /><Relationship Type="http://schemas.openxmlformats.org/officeDocument/2006/relationships/hyperlink" Target="https://www.basket4ballers.com/fr/chaussettes/17682-chaussettes-nike-elite-black-white-sx7587-010.html?utm_source=lemrock&amp;utm_medium=cpc&amp;utm_campaign=lemrock#/62-tailles-38_42" TargetMode="External" Id="rId710" /><Relationship Type="http://schemas.openxmlformats.org/officeDocument/2006/relationships/hyperlink" Target="https://www.basket4ballers.com/fr/chicago-bulls/15766-warm-up-nba-chicago-bulls-1992-93-mitchellness-authentic-red.html#/69-tailles-m" TargetMode="External" Id="rId711" /><Relationship Type="http://schemas.openxmlformats.org/officeDocument/2006/relationships/hyperlink" Target="https://www.basket4ballers.com/fr/vetements/16867-short-de-protection-mc-david-hex-short-black.html?utm_source=lemrock&amp;utm_medium=cpc&amp;utm_campaign=lemrock#/69-tailles-m" TargetMode="External" Id="rId712" /><Relationship Type="http://schemas.openxmlformats.org/officeDocument/2006/relationships/hyperlink" Target="https://www.basket4ballers.com/fr/equipe-nationale-americaine-de-basket-team-usa/20713-authentic-jersey-nba-michael-jordan-ajy4gs18414-usanavy92mjo-xs-ajy4gs18414-usanavy92mjo.html?utm_source=lemrock&amp;utm_medium=cpc&amp;utm_campaign=lemrock#/68-tailles-s" TargetMode="External" Id="rId713" /><Relationship Type="http://schemas.openxmlformats.org/officeDocument/2006/relationships/hyperlink" Target="https://www.basket4ballers.com/fr/vetements-lifestyle/20868-jdb-jumpman-logo-fleece-po-956326-geh.html#/397-tailles-8_10_ans" TargetMode="External" Id="rId714" /><Relationship Type="http://schemas.openxmlformats.org/officeDocument/2006/relationships/hyperlink" Target="https://www.basket4ballers.com/fr/oklahoma-city-thunder/19727-casquette-snapback-nba-okc-thunder-the-league-new-era.html?utm_source=lemrock&amp;utm_medium=cpc&amp;utm_campaign=lemrock#/91-tailles-taille_unique" TargetMode="External" Id="rId715" /><Relationship Type="http://schemas.openxmlformats.org/officeDocument/2006/relationships/hyperlink" Target="https://www.basket4ballers.com/fr/chicago-bulls/15766-warm-up-nba-chicago-bulls-1992-93-mitchellness-authentic-red.html?utm_source=lemrock&amp;utm_medium=cpc&amp;utm_campaign=lemrock#/69-tailles-m" TargetMode="External" Id="rId716" /><Relationship Type="http://schemas.openxmlformats.org/officeDocument/2006/relationships/hyperlink" Target="https://www.basket4ballers.com/fr/vetements-lifestyle/20874-pantalon-jdb-jumpman-logo-fleece-pant-856327-geh.html?utm_source=lemrock&amp;utm_medium=cpc&amp;utm_campaign=lemrock#/396-tailles-6_7_ans_116_122_cm" TargetMode="External" Id="rId717" /><Relationship Type="http://schemas.openxmlformats.org/officeDocument/2006/relationships/hyperlink" Target="https://www.basket4ballers.com/fr/jordan-basketball/13462-jordan-jumpman-wristband-gym-red-bla-jkn01605os.html?utm_source=lemrock&amp;utm_medium=cpc&amp;utm_campaign=lemrock#/91-tailles-taille_unique" TargetMode="External" Id="rId718" /><Relationship Type="http://schemas.openxmlformats.org/officeDocument/2006/relationships/hyperlink" Target="https://www.basket4ballers.com/fr/basket-sneakers/19376-adidas-yung-1-legend-ivy.html?utm_source=lemrock&amp;utm_medium=cpc&amp;utm_campaign=lemrock#/74-tailles-38" TargetMode="External" Id="rId719" /><Relationship Type="http://schemas.openxmlformats.org/officeDocument/2006/relationships/hyperlink" Target="https://www.basket4ballers.com/fr/accessoires-basketball/21904-nike-skills-nike-skills-orablawhi-nki08879.html?utm_source=lemrock&amp;utm_medium=cpc&amp;utm_campaign=lemrock#/205-tailles-taille_3" TargetMode="External" Id="rId720" /><Relationship Type="http://schemas.openxmlformats.org/officeDocument/2006/relationships/hyperlink" Target="https://www.basket4ballers.com/fr/accessoires-basketball/18697-sac-air-jordan-pivot-duffle-red.html?utm_source=lemrock&amp;utm_medium=cpc&amp;utm_campaign=lemrock#/91-tailles-taille_unique" TargetMode="External" Id="rId721" /><Relationship Type="http://schemas.openxmlformats.org/officeDocument/2006/relationships/hyperlink" Target="https://www.basket4ballers.com/fr/jordan-basketball/13461-jordan-jumpman-headband-white-black-jkn00101os.html?utm_source=lemrock&amp;utm_medium=cpc&amp;utm_campaign=lemrock#/91-tailles-taille_unique" TargetMode="External" Id="rId722" /><Relationship Type="http://schemas.openxmlformats.org/officeDocument/2006/relationships/hyperlink" Target="https://www.basket4ballers.com/fr/basket-sneakers/21504-nike-air-force-1-07-wheat-cj9179-200.html?utm_source=lemrock&amp;utm_medium=cpc&amp;utm_campaign=lemrock#/97-tailles-405" TargetMode="External" Id="rId723" /><Relationship Type="http://schemas.openxmlformats.org/officeDocument/2006/relationships/hyperlink" Target="https://www.basket4ballers.com/fr/vetements-lifestyle/18397-ensemble-jordan-enfant-diamond-fleece-black.html?utm_source=lemrock&amp;utm_medium=cpc&amp;utm_campaign=lemrock#/417-tailles-6_mois" TargetMode="External" Id="rId724" /><Relationship Type="http://schemas.openxmlformats.org/officeDocument/2006/relationships/hyperlink" Target="https://www.basket4ballers.com/fr/vetements-lifestyle/20874-pantalon-jdb-jumpman-logo-fleece-pant-856327-geh.html?utm_source=lemrock&amp;utm_medium=cpc&amp;utm_campaign=lemrock#/396-tailles-6_7_ans_116_122_cm" TargetMode="External" Id="rId725" /><Relationship Type="http://schemas.openxmlformats.org/officeDocument/2006/relationships/hyperlink" Target="https://www.basket4ballers.com/fr/460-sabrina-ionescu" TargetMode="External" Id="rId726" /><Relationship Type="http://schemas.openxmlformats.org/officeDocument/2006/relationships/hyperlink" Target="https://www.basket4ballers.com/fr/281-promotions-maillots-et-vetements-nba" TargetMode="External" Id="rId727" /><Relationship Type="http://schemas.openxmlformats.org/officeDocument/2006/relationships/hyperlink" Target="https://www.basket4ballers.com/fr/261-equipements" TargetMode="External" Id="rId728" /><Relationship Type="http://schemas.openxmlformats.org/officeDocument/2006/relationships/hyperlink" Target="https://www.basket4ballers.com/fr/t-shirts/20044-t-shirt-nike-dri-fit-white-at0515-100.html?utm_source=lemrock&amp;utm_medium=cpc&amp;utm_campaign=lemrock#/72-tailles-xxl" TargetMode="External" Id="rId729" /><Relationship Type="http://schemas.openxmlformats.org/officeDocument/2006/relationships/hyperlink" Target="https://www.basket4ballers.com/fr/accessoires-basketball/17433-nike-headband-nba-black-black-nkn02001os.html?utm_source=lemrock&amp;utm_medium=cpc&amp;utm_campaign=lemrock#/91-tailles-taille_unique" TargetMode="External" Id="rId730" /><Relationship Type="http://schemas.openxmlformats.org/officeDocument/2006/relationships/hyperlink" Target="https://www.basket4ballers.com/fr/equipe-nationale-americaine-de-basket-team-usa/20713-authentic-jersey-nba-michael-jordan-ajy4gs18414-usanavy92mjo-xs-ajy4gs18414-usanavy92mjo.html?utm_source=lemrock&amp;utm_medium=cpc&amp;utm_campaign=lemrock#/68-tailles-s" TargetMode="External" Id="rId731" /><Relationship Type="http://schemas.openxmlformats.org/officeDocument/2006/relationships/hyperlink" Target="https://www.basket4ballers.com/fr/oklahoma-city-thunder/19727-casquette-snapback-nba-okc-thunder-the-league-new-era.html?utm_source=lemrock&amp;utm_medium=cpc&amp;utm_campaign=lemrock#/91-tailles-taille_unique" TargetMode="External" Id="rId732" /><Relationship Type="http://schemas.openxmlformats.org/officeDocument/2006/relationships/hyperlink" Target="https://www.basket4ballers.com/fr/accessoires-basketball/17433-nike-headband-nba-black-black-nkn02001os.html?utm_source=lemrock&amp;utm_medium=cpc&amp;utm_campaign=lemrock#/91-tailles-taille_unique" TargetMode="External" Id="rId733" /><Relationship Type="http://schemas.openxmlformats.org/officeDocument/2006/relationships/hyperlink" Target="https://www.basket4ballers.com/fr/jordan-enfant/22600-hbr-dna-jrdn-jersy-romper-556169-023.html?utm_source=lemrock&amp;utm_medium=cpc&amp;utm_campaign=lemrock#/420-tailles-3_mois" TargetMode="External" Id="rId734" /><Relationship Type="http://schemas.openxmlformats.org/officeDocument/2006/relationships/hyperlink" Target="https://www.basket4ballers.com/fr/jordan-basketball/16920-chaussettes-jordan-ultimate-flight-quarter-20-basketball-socks-black-white-sx5855-011.html?utm_source=lemrock&amp;utm_medium=cpc&amp;utm_campaign=lemrock#/128-tailles-34_38" TargetMode="External" Id="rId735" /><Relationship Type="http://schemas.openxmlformats.org/officeDocument/2006/relationships/hyperlink" Target="https://www.basket4ballers.com/fr/vetements-lifestyle/21440-t-shirt-jdb-mjss-crew-ss-tee-short-set-656955-g6p.html?utm_source=lemrock&amp;utm_medium=cpc&amp;utm_campaign=lemrock#/391-tailles-12_mois" TargetMode="External" Id="rId736" /><Relationship Type="http://schemas.openxmlformats.org/officeDocument/2006/relationships/hyperlink" Target="https://www.basket4ballers.com/fr/vetements-lifestyle/20868-jdb-jumpman-logo-fleece-po-956326-geh.html?utm_source=lemrock&amp;utm_medium=cpc&amp;utm_campaign=lemrock#/397-tailles-8_10_ans" TargetMode="External" Id="rId737" /><Relationship Type="http://schemas.openxmlformats.org/officeDocument/2006/relationships/hyperlink" Target="https://www.basket4ballers.com/fr/jordan-basketball/16920-chaussettes-jordan-ultimate-flight-quarter-20-basketball-socks-black-white-sx5855-011.html?utm_source=lemrock&amp;utm_medium=cpc&amp;utm_campaign=lemrock#/128-tailles-34_38" TargetMode="External" Id="rId738" /><Relationship Type="http://schemas.openxmlformats.org/officeDocument/2006/relationships/hyperlink" Target="https://www.basket4ballers.com/fr/basketball/17121-nike-air-max-infuriate-ii-premium-white-vast-grey-night-purple-aj1933-140.html?utm_source=lemrock&amp;utm_medium=cpc&amp;utm_campaign=lemrock#/129-tailles-385" TargetMode="External" Id="rId739" /><Relationship Type="http://schemas.openxmlformats.org/officeDocument/2006/relationships/hyperlink" Target="https://www.basket4ballers.com/fr/7_mitchell-ness" TargetMode="External" Id="rId740" /><Relationship Type="http://schemas.openxmlformats.org/officeDocument/2006/relationships/hyperlink" Target="https://www.basket4ballers.com/fr/basketball/17121-nike-air-max-infuriate-ii-premium-white-vast-grey-night-purple-aj1933-140.html?utm_source=lemrock&amp;utm_medium=cpc&amp;utm_campaign=lemrock#/129-tailles-385" TargetMode="External" Id="rId741" /><Relationship Type="http://schemas.openxmlformats.org/officeDocument/2006/relationships/hyperlink" Target="https://www.basket4ballers.com/fr/accessoires-basketball/21904-nike-skills-nike-skills-orablawhi-nki08879.html?utm_source=lemrock&amp;utm_medium=cpc&amp;utm_campaign=lemrock#/205-tailles-taille_3" TargetMode="External" Id="rId742" /><Relationship Type="http://schemas.openxmlformats.org/officeDocument/2006/relationships/hyperlink" Target="https://www.basket4ballers.com/fr/basketball/17121-nike-air-max-infuriate-ii-premium-white-vast-grey-night-purple-aj1933-140.html?utm_source=lemrock&amp;utm_medium=cpc&amp;utm_campaign=lemrock#/129-tailles-385" TargetMode="External" Id="rId743" /><Relationship Type="http://schemas.openxmlformats.org/officeDocument/2006/relationships/hyperlink" Target="https://www.basket4ballers.com/fr/t-shirts/20044-t-shirt-nike-dri-fit-white-at0515-100.html#/72-tailles-xxl" TargetMode="External" Id="rId744" /><Relationship Type="http://schemas.openxmlformats.org/officeDocument/2006/relationships/hyperlink" Target="https://www.basket4ballers.com/fr/jordan-basketball/13464-jordan-shooter-sleeves-black-white-jks04010.html?utm_source=lemrock&amp;utm_medium=cpc&amp;utm_campaign=lemrock#/250-tailles-l_xl" TargetMode="External" Id="rId745" /><Relationship Type="http://schemas.openxmlformats.org/officeDocument/2006/relationships/hyperlink" Target="https://www.basket4ballers.com/fr/philadelphia-76ers/15728-short-nba-philadelphia-76ers-swingman-mitchellness-red.html#/68-tailles-s" TargetMode="External" Id="rId746" /><Relationship Type="http://schemas.openxmlformats.org/officeDocument/2006/relationships/hyperlink" Target="https://www.basket4ballers.com/fr/charlotte-hornets/12861-maillot-nba-larry-johnson-charlotte-hornets-1992-93-swingman-mitchellness.html?utm_source=lemrock&amp;utm_medium=cpc&amp;utm_campaign=lemrock#/100-tailles-xs" TargetMode="External" Id="rId747" /><Relationship Type="http://schemas.openxmlformats.org/officeDocument/2006/relationships/hyperlink" Target="https://www.basket4ballers.com/fr/philadelphia-76ers/15728-short-nba-philadelphia-76ers-swingman-mitchellness-red.html?utm_source=lemrock&amp;utm_medium=cpc&amp;utm_campaign=lemrock#/68-tailles-s" TargetMode="External" Id="rId748" /><Relationship Type="http://schemas.openxmlformats.org/officeDocument/2006/relationships/hyperlink" Target="https://www.basket4ballers.com/fr/chicago-bulls/15766-warm-up-nba-chicago-bulls-1992-93-mitchellness-authentic-red.html?utm_source=lemrock&amp;utm_medium=cpc&amp;utm_campaign=lemrock#/69-tailles-m" TargetMode="External" Id="rId749" /><Relationship Type="http://schemas.openxmlformats.org/officeDocument/2006/relationships/hyperlink" Target="https://www.basket4ballers.com/fr/charlotte-hornets/12861-maillot-nba-larry-johnson-charlotte-hornets-1992-93-swingman-mitchellness.html?utm_source=lemrock&amp;utm_medium=cpc&amp;utm_campaign=lemrock#/100-tailles-xs" TargetMode="External" Id="rId750" /><Relationship Type="http://schemas.openxmlformats.org/officeDocument/2006/relationships/hyperlink" Target="https://www.basket4ballers.com/fr/vetements-lifestyle/20868-jdb-jumpman-logo-fleece-po-956326-geh.html#/397-tailles-8_10_ans" TargetMode="External" Id="rId751" /><Relationship Type="http://schemas.openxmlformats.org/officeDocument/2006/relationships/hyperlink" Target="https://www.basket4ballers.com/fr/chemises-baseball/22238-chicago-white-sox-mlb-nike-official-replica-alternate-jerseypro-black-t770rxbarxxva.html?utm_source=lemrock&amp;utm_medium=cpc&amp;utm_campaign=lemrock#/69-tailles-m" TargetMode="External" Id="rId752" /><Relationship Type="http://schemas.openxmlformats.org/officeDocument/2006/relationships/hyperlink" Target="https://www.basket4ballers.com/fr/philadelphia-76ers/15728-short-nba-philadelphia-76ers-swingman-mitchellness-red.html?utm_source=lemrock&amp;utm_medium=cpc&amp;utm_campaign=lemrock#/68-tailles-s" TargetMode="External" Id="rId753" /><Relationship Type="http://schemas.openxmlformats.org/officeDocument/2006/relationships/hyperlink" Target="https://www.basket4ballers.com/fr/chaussettes/17682-chaussettes-nike-elite-black-white-sx7587-010.html?utm_source=lemrock&amp;utm_medium=cpc&amp;utm_campaign=lemrock#/62-tailles-38_42" TargetMode="External" Id="rId754" /><Relationship Type="http://schemas.openxmlformats.org/officeDocument/2006/relationships/hyperlink" Target="https://www.basket4ballers.com/fr/basket-sneakers/11188-puma-platform-elements.html?utm_source=lemrock&amp;utm_medium=cpc&amp;utm_campaign=lemrock#/158-tailles-37" TargetMode="External" Id="rId755" /><Relationship Type="http://schemas.openxmlformats.org/officeDocument/2006/relationships/hyperlink" Target="https://www.basket4ballers.com/fr/basket-sneakers/21504-nike-air-force-1-07-wheat-cj9179-200.html?utm_source=lemrock&amp;utm_medium=cpc&amp;utm_campaign=lemrock#/97-tailles-405" TargetMode="External" Id="rId756" /><Relationship Type="http://schemas.openxmlformats.org/officeDocument/2006/relationships/hyperlink" Target="https://www.basket4ballers.com/fr/vetements-lifestyle/20868-jdb-jumpman-logo-fleece-po-956326-geh.html?utm_source=lemrock&amp;utm_medium=cpc&amp;utm_campaign=lemrock#/397-tailles-8_10_ans" TargetMode="External" Id="rId757" /><Relationship Type="http://schemas.openxmlformats.org/officeDocument/2006/relationships/hyperlink" Target="https://www.basket4ballers.com/fr/jordan-basketball/13464-jordan-shooter-sleeves-black-white-jks04010.html?utm_source=lemrock&amp;utm_medium=cpc&amp;utm_campaign=lemrock#/250-tailles-l_xl" TargetMode="External" Id="rId758" /><Relationship Type="http://schemas.openxmlformats.org/officeDocument/2006/relationships/hyperlink" Target="https://www.basket4ballers.com/fr/kids/17260-maillot-nba-enfant-swingman-icon-philadelphia-76ers-joel-embiid-nike.html?utm_source=lemrock&amp;utm_medium=cpc&amp;utm_campaign=lemrock#/411-tailles-xl_enfant_1m65_a_1m80" TargetMode="External" Id="rId759" /><Relationship Type="http://schemas.openxmlformats.org/officeDocument/2006/relationships/hyperlink" Target="https://www.basket4ballers.com/fr/vetements-lifestyle/20874-pantalon-jdb-jumpman-logo-fleece-pant-856327-geh.html?utm_source=lemrock&amp;utm_medium=cpc&amp;utm_campaign=lemrock#/396-tailles-6_7_ans_116_122_cm" TargetMode="External" Id="rId760" /><Relationship Type="http://schemas.openxmlformats.org/officeDocument/2006/relationships/hyperlink" Target="https://www.basket4ballers.com/fr/philadelphia-76ers/15728-short-nba-philadelphia-76ers-swingman-mitchellness-red.html?utm_source=lemrock&amp;utm_medium=cpc&amp;utm_campaign=lemrock#/68-tailles-s" TargetMode="External" Id="rId761" /><Relationship Type="http://schemas.openxmlformats.org/officeDocument/2006/relationships/hyperlink" Target="https://www.basket4ballers.com/fr/accessoires-basketball/19742-nike-big-mouth-bottle-20-22-oz-nike-big-mouth-bottle-20-blubluwhi-n0000042408.html?utm_source=lemrock&amp;utm_medium=cpc&amp;utm_campaign=lemrock#/91-tailles-taille_unique" TargetMode="External" Id="rId762" /><Relationship Type="http://schemas.openxmlformats.org/officeDocument/2006/relationships/hyperlink" Target="https://www.basket4ballers.com/fr/vetements-lifestyle/20868-jdb-jumpman-logo-fleece-po-956326-geh.html?utm_source=lemrock&amp;utm_medium=cpc&amp;utm_campaign=lemrock#/397-tailles-8_10_ans" TargetMode="External" Id="rId763" /><Relationship Type="http://schemas.openxmlformats.org/officeDocument/2006/relationships/hyperlink" Target="https://www.basket4ballers.com/fr/chicago-bulls/15766-warm-up-nba-chicago-bulls-1992-93-mitchellness-authentic-red.html#/69-tailles-m" TargetMode="External" Id="rId764" /><Relationship Type="http://schemas.openxmlformats.org/officeDocument/2006/relationships/hyperlink" Target="https://www.basket4ballers.com/fr/philadelphia-76ers/15728-short-nba-philadelphia-76ers-swingman-mitchellness-red.html#/68-tailles-s" TargetMode="External" Id="rId765" /><Relationship Type="http://schemas.openxmlformats.org/officeDocument/2006/relationships/hyperlink" Target="https://www.basket4ballers.com/fr/t-shirts/20044-t-shirt-nike-dri-fit-white-at0515-100.html?utm_source=lemrock&amp;utm_medium=cpc&amp;utm_campaign=lemrock#/72-tailles-xxl" TargetMode="External" Id="rId766" /><Relationship Type="http://schemas.openxmlformats.org/officeDocument/2006/relationships/hyperlink" Target="https://www.basket4ballers.com/fr/charlotte-hornets/12861-maillot-nba-larry-johnson-charlotte-hornets-1992-93-swingman-mitchellness.html?utm_source=lemrock&amp;utm_medium=cpc&amp;utm_campaign=lemrock#/100-tailles-xs" TargetMode="External" Id="rId767" /><Relationship Type="http://schemas.openxmlformats.org/officeDocument/2006/relationships/hyperlink" Target="https://www.basket4ballers.com/fr/t-shirts/20044-t-shirt-nike-dri-fit-white-at0515-100.html#/72-tailles-xxl" TargetMode="External" Id="rId768" /><Relationship Type="http://schemas.openxmlformats.org/officeDocument/2006/relationships/hyperlink" Target="https://www.basket4ballers.com/fr/chicago-bulls/15766-warm-up-nba-chicago-bulls-1992-93-mitchellness-authentic-red.html?utm_source=lemrock&amp;utm_medium=cpc&amp;utm_campaign=lemrock#/69-tailles-m" TargetMode="External" Id="rId769" /><Relationship Type="http://schemas.openxmlformats.org/officeDocument/2006/relationships/hyperlink" Target="https://www.basket4ballers.com/fr/jordan-enfant/22600-hbr-dna-jrdn-jersy-romper-556169-023.html?utm_source=lemrock&amp;utm_medium=cpc&amp;utm_campaign=lemrock#/420-tailles-3_mois" TargetMode="External" Id="rId770" /><Relationship Type="http://schemas.openxmlformats.org/officeDocument/2006/relationships/hyperlink" Target="https://www.basket4ballers.com/fr/kids/17260-maillot-nba-enfant-swingman-icon-philadelphia-76ers-joel-embiid-nike.html?utm_source=lemrock&amp;utm_medium=cpc&amp;utm_campaign=lemrock#/411-tailles-xl_enfant_1m65_a_1m80" TargetMode="External" Id="rId771" /><Relationship Type="http://schemas.openxmlformats.org/officeDocument/2006/relationships/hyperlink" Target="https://www.basket4ballers.com/fr/equipe-nationale-americaine-de-basket-team-usa/20713-authentic-jersey-nba-michael-jordan-ajy4gs18414-usanavy92mjo-xs-ajy4gs18414-usanavy92mjo.html?utm_source=lemrock&amp;utm_medium=cpc&amp;utm_campaign=lemrock#/68-tailles-s" TargetMode="External" Id="rId772" /><Relationship Type="http://schemas.openxmlformats.org/officeDocument/2006/relationships/hyperlink" Target="https://www.basket4ballers.com/fr/t-shirts/20044-t-shirt-nike-dri-fit-white-at0515-100.html?utm_source=lemrock&amp;utm_medium=cpc&amp;utm_campaign=lemrock#/72-tailles-xxl" TargetMode="External" Id="rId773" /><Relationship Type="http://schemas.openxmlformats.org/officeDocument/2006/relationships/hyperlink" Target="https://www.basket4ballers.com/fr/chemises-baseball/22238-chicago-white-sox-mlb-nike-official-replica-alternate-jerseypro-black-t770rxbarxxva.html?utm_source=lemrock&amp;utm_medium=cpc&amp;utm_campaign=lemrock#/69-tailles-m" TargetMode="External" Id="rId774" /><Relationship Type="http://schemas.openxmlformats.org/officeDocument/2006/relationships/hyperlink" Target="https://www.basket4ballers.com/fr/212-nba" TargetMode="External" Id="rId775" /><Relationship Type="http://schemas.openxmlformats.org/officeDocument/2006/relationships/hyperlink" Target="https://www.basket4ballers.com/fr/196-sweats" TargetMode="External" Id="rId776" /><Relationship Type="http://schemas.openxmlformats.org/officeDocument/2006/relationships/hyperlink" Target="https://www.basket4ballers.com/fr/282-chemises-baseball" TargetMode="External" Id="rId777" /><Relationship Type="http://schemas.openxmlformats.org/officeDocument/2006/relationships/hyperlink" Target="https://www.basket4ballers.com/fr/121-kevin-durant" TargetMode="External" Id="rId778" /><Relationship Type="http://schemas.openxmlformats.org/officeDocument/2006/relationships/hyperlink" Target="https://www.basket4ballers.com/fr/197-t-shirts" TargetMode="External" Id="rId779" /><Relationship Type="http://schemas.openxmlformats.org/officeDocument/2006/relationships/hyperlink" Target="https://www.basket4ballers.com/fr/268-quai-54" TargetMode="External" Id="rId780" /><Relationship Type="http://schemas.openxmlformats.org/officeDocument/2006/relationships/hyperlink" Target="https://www.basket4ballers.com/fr/206-ballons-de-basket-tailles-wilson-nike" TargetMode="External" Id="rId781" /><Relationship Type="http://schemas.openxmlformats.org/officeDocument/2006/relationships/hyperlink" Target="https://www.basket4ballers.com/fr/195-vestes" TargetMode="External" Id="rId782" /><Relationship Type="http://schemas.openxmlformats.org/officeDocument/2006/relationships/hyperlink" Target="https://www.basket4ballers.com/fr/chicago-bulls/15766-warm-up-nba-chicago-bulls-1992-93-mitchellness-authentic-red.html?utm_source=lemrock&amp;utm_medium=cpc&amp;utm_campaign=lemrock#/69-tailles-m" TargetMode="External" Id="rId783" /><Relationship Type="http://schemas.openxmlformats.org/officeDocument/2006/relationships/hyperlink" Target="https://www.basket4ballers.com/fr/equipe-nationale-americaine-de-basket-team-usa/20713-authentic-jersey-nba-michael-jordan-ajy4gs18414-usanavy92mjo-xs-ajy4gs18414-usanavy92mjo.html?utm_source=lemrock&amp;utm_medium=cpc&amp;utm_campaign=lemrock#/68-tailles-s" TargetMode="External" Id="rId784" /><Relationship Type="http://schemas.openxmlformats.org/officeDocument/2006/relationships/hyperlink" Target="https://www.basket4ballers.com/fr/philadelphia-76ers/15728-short-nba-philadelphia-76ers-swingman-mitchellness-red.html?utm_source=lemrock&amp;utm_medium=cpc&amp;utm_campaign=lemrock#/68-tailles-s" TargetMode="External" Id="rId785" /><Relationship Type="http://schemas.openxmlformats.org/officeDocument/2006/relationships/hyperlink" Target="https://www.basket4ballers.com/fr/208-sacs" TargetMode="External" Id="rId786" /><Relationship Type="http://schemas.openxmlformats.org/officeDocument/2006/relationships/hyperlink" Target="https://www.basket4ballers.com/fr/chemises-baseball/22238-chicago-white-sox-mlb-nike-official-replica-alternate-jerseypro-black-t770rxbarxxva.html?utm_source=lemrock&amp;utm_medium=cpc&amp;utm_campaign=lemrock#/69-tailles-m" TargetMode="External" Id="rId787" /><Relationship Type="http://schemas.openxmlformats.org/officeDocument/2006/relationships/hyperlink" Target="https://www.basket4ballers.com/fr/charlotte-hornets/12861-maillot-nba-larry-johnson-charlotte-hornets-1992-93-swingman-mitchellness.html?utm_source=lemrock&amp;utm_medium=cpc&amp;utm_campaign=lemrock#/100-tailles-xs" TargetMode="External" Id="rId788" /><Relationship Type="http://schemas.openxmlformats.org/officeDocument/2006/relationships/hyperlink" Target="https://www.basket4ballers.com/fr/431-victor-wembanyama" TargetMode="External" Id="rId789" /><Relationship Type="http://schemas.openxmlformats.org/officeDocument/2006/relationships/hyperlink" Target="https://www.basket4ballers.com/fr/kids/17260-maillot-nba-enfant-swingman-icon-philadelphia-76ers-joel-embiid-nike.html?utm_source=lemrock&amp;utm_medium=cpc&amp;utm_campaign=lemrock#/411-tailles-xl_enfant_1m65_a_1m80" TargetMode="External" Id="rId790" /><Relationship Type="http://schemas.openxmlformats.org/officeDocument/2006/relationships/hyperlink" Target="https://www.basket4ballers.com/fr/73_rigorer" TargetMode="External" Id="rId791" /><Relationship Type="http://schemas.openxmlformats.org/officeDocument/2006/relationships/hyperlink" Target="https://www.basket4ballers.com/fr/423-claquettes" TargetMode="External" Id="rId792" /><Relationship Type="http://schemas.openxmlformats.org/officeDocument/2006/relationships/hyperlink" Target="https://www.basket4ballers.com/fr/142-kyrie-irving" TargetMode="External" Id="rId793" /><Relationship Type="http://schemas.openxmlformats.org/officeDocument/2006/relationships/hyperlink" Target="https://www.basket4ballers.com/fr/152-chaussure-basket" TargetMode="External" Id="rId794" /><Relationship Type="http://schemas.openxmlformats.org/officeDocument/2006/relationships/hyperlink" Target="https://www.basket4ballers.com/fr/236-minnesota-timberwolves" TargetMode="External" Id="rId795" /><Relationship Type="http://schemas.openxmlformats.org/officeDocument/2006/relationships/hyperlink" Target="https://www.basket4ballers.com/fr/199-pantalons" TargetMode="External" Id="rId796" /><Relationship Type="http://schemas.openxmlformats.org/officeDocument/2006/relationships/hyperlink" Target="https://www.basket4ballers.com/fr/241-philadelphia-76ers" TargetMode="External" Id="rId797" /><Relationship Type="http://schemas.openxmlformats.org/officeDocument/2006/relationships/hyperlink" Target="https://www.basket4ballers.com/fr/220-boston-celtics" TargetMode="External" Id="rId798" /><Relationship Type="http://schemas.openxmlformats.org/officeDocument/2006/relationships/hyperlink" Target="https://www.basket4ballers.com/fr/3150-chaussures-jordan-triangle" TargetMode="External" Id="rId799" /><Relationship Type="http://schemas.openxmlformats.org/officeDocument/2006/relationships/hyperlink" Target="https://www.basket4ballers.com/fr/1653-chaussures-nike-sabrina-3" TargetMode="External" Id="rId800" /><Relationship Type="http://schemas.openxmlformats.org/officeDocument/2006/relationships/hyperlink" Target="https://www.basket4ballers.com/fr/348-chaussure-basket-enfant" TargetMode="External" Id="rId801" /><Relationship Type="http://schemas.openxmlformats.org/officeDocument/2006/relationships/hyperlink" Target="https://www.basket4ballers.com/fr/211-bandeaux-et-poignets-eponge" TargetMode="External" Id="rId802" /><Relationship Type="http://schemas.openxmlformats.org/officeDocument/2006/relationships/hyperlink" Target="https://www.basket4ballers.com/fr/234-miami-heat" TargetMode="External" Id="rId803" /><Relationship Type="http://schemas.openxmlformats.org/officeDocument/2006/relationships/hyperlink" Target="https://www.basket4ballers.com/fr/1443-chaussures-converse-shai-001" TargetMode="External" Id="rId804" /><Relationship Type="http://schemas.openxmlformats.org/officeDocument/2006/relationships/hyperlink" Target="https://www.basket4ballers.com/fr/120-lebron-james" TargetMode="External" Id="rId805" /><Relationship Type="http://schemas.openxmlformats.org/officeDocument/2006/relationships/hyperlink" Target="https://www.basket4ballers.com/fr/3159-chaussures-adidas-don-issue-8" TargetMode="External" Id="rId806" /><Relationship Type="http://schemas.openxmlformats.org/officeDocument/2006/relationships/hyperlink" Target="https://www.basket4ballers.com/fr/122-kobe-bryant" TargetMode="External" Id="rId807" /><Relationship Type="http://schemas.openxmlformats.org/officeDocument/2006/relationships/hyperlink" Target="https://www.basket4ballers.com/fr/3180-chaussures-nike-sabrina-4" TargetMode="External" Id="rId808" /><Relationship Type="http://schemas.openxmlformats.org/officeDocument/2006/relationships/hyperlink" Target="https://www.basket4ballers.com/fr/409-ja-morant" TargetMode="External" Id="rId809" /><Relationship Type="http://schemas.openxmlformats.org/officeDocument/2006/relationships/hyperlink" Target="https://www.basket4ballers.com/fr/200-shorts" TargetMode="External" Id="rId810" /><Relationship Type="http://schemas.openxmlformats.org/officeDocument/2006/relationships/hyperlink" Target="https://www.basket4ballers.com/fr/209-coudieres-et-genouilleres" TargetMode="External" Id="rId811" /><Relationship Type="http://schemas.openxmlformats.org/officeDocument/2006/relationships/hyperlink" Target="https://www.basket4ballers.com/fr/223-chicago-bulls" TargetMode="External" Id="rId812" /><Relationship Type="http://schemas.openxmlformats.org/officeDocument/2006/relationships/hyperlink" Target="https://www.basket4ballers.com/fr/1260-chaussures-basketball-sabrina-ionescu" TargetMode="External" Id="rId813" /><Relationship Type="http://schemas.openxmlformats.org/officeDocument/2006/relationships/hyperlink" Target="https://www.basket4ballers.com/fr/25_adidas" TargetMode="External" Id="rId814" /><Relationship Type="http://schemas.openxmlformats.org/officeDocument/2006/relationships/hyperlink" Target="https://www.basket4ballers.com/fr/1095-chaussures-lifestyle-jordan" TargetMode="External" Id="rId815" /><Relationship Type="http://schemas.openxmlformats.org/officeDocument/2006/relationships/hyperlink" Target="https://www.basket4ballers.com/fr/7-promo" TargetMode="External" Id="rId816" /><Relationship Type="http://schemas.openxmlformats.org/officeDocument/2006/relationships/hyperlink" Target="https://www.basket4ballers.com/fr/245-san-antonio-spurs" TargetMode="External" Id="rId817" /><Relationship Type="http://schemas.openxmlformats.org/officeDocument/2006/relationships/hyperlink" Target="https://www.basket4ballers.com/fr/238-new-york-knicks" TargetMode="External" Id="rId818" /><Relationship Type="http://schemas.openxmlformats.org/officeDocument/2006/relationships/hyperlink" Target="https://www.basket4ballers.com/fr/232-los-angeles-lakers" TargetMode="External" Id="rId819" /><Relationship Type="http://schemas.openxmlformats.org/officeDocument/2006/relationships/hyperlink" Target="https://www.basket4ballers.com/fr/1704-chaussures-puma-mb05" TargetMode="External" Id="rId820" /><Relationship Type="http://schemas.openxmlformats.org/officeDocument/2006/relationships/hyperlink" Target="https://www.basket4ballers.com/fr/198-maillots-basketball" TargetMode="External" Id="rId821" /><Relationship Type="http://schemas.openxmlformats.org/officeDocument/2006/relationships/hyperlink" Target="https://www.basket4ballers.com/fr/1209-chaussures-basketball-donovan-mitchell" TargetMode="External" Id="rId822" /><Relationship Type="http://schemas.openxmlformats.org/officeDocument/2006/relationships/hyperlink" Target="https://www.basket4ballers.com/fr/1182-chaussures-basketball-a-ja-wilson" TargetMode="External" Id="rId823" /><Relationship Type="http://schemas.openxmlformats.org/officeDocument/2006/relationships/hyperlink" Target="https://www.basket4ballers.com/fr/472-sacs-basketball-nike-elite" TargetMode="External" Id="rId824" /><Relationship Type="http://schemas.openxmlformats.org/officeDocument/2006/relationships/hyperlink" Target="https://www.basket4ballers.com/fr/344-jordan-retro" TargetMode="External" Id="rId825" /><Relationship Type="http://schemas.openxmlformats.org/officeDocument/2006/relationships/hyperlink" Target="https://www.basket4ballers.com/fr/156-basket-sneakers" TargetMode="External" Id="rId826" /><Relationship Type="http://schemas.openxmlformats.org/officeDocument/2006/relationships/hyperlink" Target="https://www.basket4ballers.com/fr/1224-chaussures-basketball-jayson-tatum" TargetMode="External" Id="rId827" /><Relationship Type="http://schemas.openxmlformats.org/officeDocument/2006/relationships/hyperlink" Target="https://www.basket4ballers.com/fr/1_nike" TargetMode="External" Id="rId828" /><Relationship Type="http://schemas.openxmlformats.org/officeDocument/2006/relationships/hyperlink" Target="https://www.basket4ballers.com/fr/84_anta" TargetMode="External" Id="rId829" /><Relationship Type="http://schemas.openxmlformats.org/officeDocument/2006/relationships/hyperlink" Target="https://www.basket4ballers.com/fr/1335-chaussures-adidas-ae-2" TargetMode="External" Id="rId830" /><Relationship Type="http://schemas.openxmlformats.org/officeDocument/2006/relationships/hyperlink" Target="https://www.basket4ballers.com/fr/451-promotions-sneakers-chaussures-lifestyle" TargetMode="External" Id="rId831" /><Relationship Type="http://schemas.openxmlformats.org/officeDocument/2006/relationships/hyperlink" Target="https://www.basket4ballers.com/fr/3155-chaussures-nike-st-charge" TargetMode="External" Id="rId832" /><Relationship Type="http://schemas.openxmlformats.org/officeDocument/2006/relationships/hyperlink" Target="https://www.basket4ballers.com/fr/1269-chaussures-basketball-stephen-curry" TargetMode="External" Id="rId833" /><Relationship Type="http://schemas.openxmlformats.org/officeDocument/2006/relationships/hyperlink" Target="https://www.basket4ballers.com/fr/153-basketball" TargetMode="External" Id="rId834" /><Relationship Type="http://schemas.openxmlformats.org/officeDocument/2006/relationships/hyperlink" Target="https://www.basket4ballers.com/fr/1104-chaussures-basketball-puma" TargetMode="External" Id="rId835" /><Relationship Type="http://schemas.openxmlformats.org/officeDocument/2006/relationships/hyperlink" Target="https://www.basket4ballers.com/fr/1536-chaussures-nike-gt-cut-4" TargetMode="External" Id="rId836" /><Relationship Type="http://schemas.openxmlformats.org/officeDocument/2006/relationships/hyperlink" Target="https://www.basket4ballers.com/fr/1242-chaussures-basketball-kyrie-irving" TargetMode="External" Id="rId837" /><Relationship Type="http://schemas.openxmlformats.org/officeDocument/2006/relationships/hyperlink" Target="https://www.basket4ballers.com/fr/16_puma" TargetMode="External" Id="rId838" /><Relationship Type="http://schemas.openxmlformats.org/officeDocument/2006/relationships/hyperlink" Target="https://www.basket4ballers.com/fr/17_jordan" TargetMode="External" Id="rId839" /><Relationship Type="http://schemas.openxmlformats.org/officeDocument/2006/relationships/hyperlink" Target="https://www.basket4ballers.com/fr/1218-chaussures-basketball-james-harden" TargetMode="External" Id="rId840" /><Relationship Type="http://schemas.openxmlformats.org/officeDocument/2006/relationships/hyperlink" Target="https://www.basket4ballers.com/fr/1206-chaussures-basketball-devin-booker" TargetMode="External" Id="rId841" /><Relationship Type="http://schemas.openxmlformats.org/officeDocument/2006/relationships/hyperlink" Target="https://www.basket4ballers.com/fr/1188-chaussures-basketball-anthony-edwards" TargetMode="External" Id="rId842" /><Relationship Type="http://schemas.openxmlformats.org/officeDocument/2006/relationships/hyperlink" Target="https://www.basket4ballers.com/fr/1092-chaussures-basketball-nike" TargetMode="External" Id="rId843" /><Relationship Type="http://schemas.openxmlformats.org/officeDocument/2006/relationships/hyperlink" Target="https://www.basket4ballers.com/fr/1458-chaussures-jordan-luka-5" TargetMode="External" Id="rId844" /><Relationship Type="http://schemas.openxmlformats.org/officeDocument/2006/relationships/hyperlink" Target="https://www.basket4ballers.com/fr/286-calendrier-des-sorties-release-date" TargetMode="External" Id="rId845" /><Relationship Type="http://schemas.openxmlformats.org/officeDocument/2006/relationships/hyperlink" Target="https://www.basket4ballers.com/fr/1245-chaussures-basketball-lamelo-ball" TargetMode="External" Id="rId846" /><Relationship Type="http://schemas.openxmlformats.org/officeDocument/2006/relationships/hyperlink" Target="https://www.basket4ballers.com/fr/1248-chaussures-basketball-lebron-james" TargetMode="External" Id="rId847" /><Relationship Type="http://schemas.openxmlformats.org/officeDocument/2006/relationships/hyperlink" Target="https://www.basket4ballers.com/fr/1233-chaussures-basketball-kevin-durant" TargetMode="External" Id="rId848" /><Relationship Type="http://schemas.openxmlformats.org/officeDocument/2006/relationships/hyperlink" Target="https://www.basket4ballers.com/fr/1212-chaussures-basketball-giannis-antetokounmpo" TargetMode="External" Id="rId849" /><Relationship Type="http://schemas.openxmlformats.org/officeDocument/2006/relationships/hyperlink" Target="https://www.basket4ballers.com/fr/1122-chaussures-basketball-anta" TargetMode="External" Id="rId850" /><Relationship Type="http://schemas.openxmlformats.org/officeDocument/2006/relationships/hyperlink" Target="https://www.basket4ballers.com/fr/1362-chaussures-adidas-harden-vol-10" TargetMode="External" Id="rId851" /><Relationship Type="http://schemas.openxmlformats.org/officeDocument/2006/relationships/hyperlink" Target="https://www.basket4ballers.com/fr/6-nouveautes" TargetMode="External" Id="rId852" /><Relationship Type="http://schemas.openxmlformats.org/officeDocument/2006/relationships/hyperlink" Target="https://www.basket4ballers.com/fr/2439-chaussures-nike-a-two" TargetMode="External" Id="rId853" /><Relationship Type="http://schemas.openxmlformats.org/officeDocument/2006/relationships/hyperlink" Target="https://www.basket4ballers.com/fr/1611-chaussures-nike-kobe-9-low" TargetMode="External" Id="rId854" /><Relationship Type="http://schemas.openxmlformats.org/officeDocument/2006/relationships/hyperlink" Target="https://www.basket4ballers.com/fr/482-air-jordan-4" TargetMode="External" Id="rId855" /><Relationship Type="http://schemas.openxmlformats.org/officeDocument/2006/relationships/hyperlink" Target="https://www.basket4ballers.com/fr/2811-chaussures-nike-kobe-3-low" TargetMode="External" Id="rId856" /><Relationship Type="http://schemas.openxmlformats.org/officeDocument/2006/relationships/hyperlink" Target="https://www.basket4ballers.com/fr/434-nike-gt-serie" TargetMode="External" Id="rId857" /><Relationship Type="http://schemas.openxmlformats.org/officeDocument/2006/relationships/hyperlink" Target="https://www.basket4ballers.com/fr/267-chaussures-air-jordan-1" TargetMode="External" Id="rId858" /><Relationship Type="http://schemas.openxmlformats.org/officeDocument/2006/relationships/hyperlink" Target="https://www.basket4ballers.com/fr/1215-chaussures-basketball-ja-morant" TargetMode="External" Id="rId859" /><Relationship Type="http://schemas.openxmlformats.org/officeDocument/2006/relationships/hyperlink" Target="https://www.basket4ballers.com/fr/3114-chaussures-nike-kd-19" TargetMode="External" Id="rId860" /><Relationship Type="http://schemas.openxmlformats.org/officeDocument/2006/relationships/hyperlink" Target="https://www.basket4ballers.com/fr/495-enfant-basket" TargetMode="External" Id="rId861" /><Relationship Type="http://schemas.openxmlformats.org/officeDocument/2006/relationships/hyperlink" Target="https://www.basket4ballers.com/fr/2417-chaussures-anta-kai-3" TargetMode="External" Id="rId862" /><Relationship Type="http://schemas.openxmlformats.org/officeDocument/2006/relationships/hyperlink" Target="https://www.basket4ballers.com/fr/1251-chaussures-basketball-luka-doncic" TargetMode="External" Id="rId863" /><Relationship Type="http://schemas.openxmlformats.org/officeDocument/2006/relationships/hyperlink" Target="https://www.basket4ballers.com/fr/450-promotions-chaussures-de-basket" TargetMode="External" Id="rId864" /><Relationship Type="http://schemas.openxmlformats.org/officeDocument/2006/relationships/hyperlink" Target="https://www.basket4ballers.com/fr/1530-chaussures-nike-book-2" TargetMode="External" Id="rId865" /><Relationship Type="http://schemas.openxmlformats.org/officeDocument/2006/relationships/hyperlink" Target="https://www.basket4ballers.com/fr/1098-chaussures-basketball-jordan" TargetMode="External" Id="rId866" /><Relationship Type="http://schemas.openxmlformats.org/officeDocument/2006/relationships/hyperlink" Target="https://www.basket4ballers.com/fr/1677-chaussures-puma-all-pro-nitro-2" TargetMode="External" Id="rId867" /><Relationship Type="http://schemas.openxmlformats.org/officeDocument/2006/relationships/hyperlink" Target="https://www.basket4ballers.com/fr/1110-chaussures-basketball-adidas" TargetMode="External" Id="rId868" /><Relationship Type="http://schemas.openxmlformats.org/officeDocument/2006/relationships/hyperlink" Target="https://www.basket4ballers.com/fr/1569-chaussures-nike-ja-3" TargetMode="External" Id="rId869" /><Relationship Type="http://schemas.openxmlformats.org/officeDocument/2006/relationships/hyperlink" Target="https://www.basket4ballers.com/fr/3170-chaussures-nike-freak-8" TargetMode="External" Id="rId870" /><Relationship Type="http://schemas.openxmlformats.org/officeDocument/2006/relationships/hyperlink" Target="https://courses.fidme.com/offre/7c3ba44a-0e7d-41a8-ad40-68cb34a92960?mtm_campaign=testGEA_lemrock_2026-09_WaterWipes&amp;mtm_kwd=GEA&amp;mtm_medium=paid_GEA_lemrock&amp;mtm_content=camp_WaterWipes" TargetMode="External" Id="rId871" /><Relationship Type="http://schemas.openxmlformats.org/officeDocument/2006/relationships/hyperlink" Target="https://courses.fidme.com/offre/2e515714-a108-4420-92cf-aa76c816b5f1?mtm_campaign=testGEA_lemrock_2026-08&amp;mtm_kwd=GEA&amp;mtm_medium=paid_GEA_lemrock&amp;mtm_content=lor" TargetMode="External" Id="rId872" /><Relationship Type="http://schemas.openxmlformats.org/officeDocument/2006/relationships/hyperlink" Target="https://courses.fidme.com/offre/be20fa17-069a-4ab4-a8f2-9d1d67fb961c?mtm_campaign=testGEA_lemrock_2026-08&amp;mtm_kwd=GEA&amp;mtm_medium=paid_GEA_lemrock&amp;mtm_content=pasquier" TargetMode="External" Id="rId873" /><Relationship Type="http://schemas.openxmlformats.org/officeDocument/2006/relationships/hyperlink" Target="https://courses.fidme.com/offre/30041975-90fd-4c89-98c4-3593e1fbc9bb?mtm_campaign=testGEA_lemrock_2026-08&amp;mtm_kwd=GEA&amp;mtm_medium=paid_GEA_lemrock&amp;mtm_content=barilla" TargetMode="External" Id="rId874" /><Relationship Type="http://schemas.openxmlformats.org/officeDocument/2006/relationships/hyperlink" Target="https://courses.fidme.com/offre/a028a9bb-2236-4a3c-99e9-fa49c266c418?mtm_campaign=testGEA_lemrock_2026-08&amp;mtm_kwd=GEA&amp;mtm_medium=paid_GEA_lemrock&amp;mtm_content=whiskas" TargetMode="External" Id="rId875" /><Relationship Type="http://schemas.openxmlformats.org/officeDocument/2006/relationships/hyperlink" Target="https://courses.fidme.com/offre/7ceb411a-b2c2-49f2-875d-cc17603cfdda?mtm_campaign=testGEA_lemrock_2026-08&amp;mtm_kwd=GEA&amp;mtm_medium=paid_GEA_lemrock&amp;mtm_content=kiri" TargetMode="External" Id="rId876" /><Relationship Type="http://schemas.openxmlformats.org/officeDocument/2006/relationships/hyperlink" Target="https://courses.fidme.com/offre/4764fbf7-a62d-41d8-bdd6-eae1a3560c59?mtm_campaign=testGEA_lemrock_2026-08&amp;mtm_kwd=GEA&amp;mtm_medium=paid_GEA_lemrock&amp;mtm_content=cote-dor" TargetMode="External" Id="rId877" /><Relationship Type="http://schemas.openxmlformats.org/officeDocument/2006/relationships/hyperlink" Target="https://courses.fidme.com/offre/193de4b6-5050-461a-b6a7-59a6e6d94dbd?mtm_campaign=testGEA_lemrock_2026-08&amp;mtm_kwd=GEA&amp;mtm_medium=paid_GEA_lemrock&amp;mtm_content=danone" TargetMode="External" Id="rId878" /><Relationship Type="http://schemas.openxmlformats.org/officeDocument/2006/relationships/hyperlink" Target="https://courses.fidme.com/offre/40ce1ccb-b8a2-4b5e-aff9-8486a80a5782" TargetMode="External" Id="rId879" /><Relationship Type="http://schemas.openxmlformats.org/officeDocument/2006/relationships/hyperlink" Target="https://courses.fidme.com/offre/155bd186-ef48-46e6-995f-7bb777193f43" TargetMode="External" Id="rId880" /><Relationship Type="http://schemas.openxmlformats.org/officeDocument/2006/relationships/hyperlink" Target="https://courses.fidme.com/offre/7e83d325-2e88-40be-8788-de3bda527415?mtm_campaign=testGEA_lemrock_2026-08&amp;mtm_kwd=GEA&amp;mtm_medium=paid_GEA_lemrock&amp;mtm_content=croustipate" TargetMode="External" Id="rId881" /><Relationship Type="http://schemas.openxmlformats.org/officeDocument/2006/relationships/hyperlink" Target="https://courses.fidme.com/offre/4a717306-0fb2-4e52-93c6-b1b93c811211?mtm_campaign=testGEA_lemrock_2026-08&amp;mtm_kwd=GEA&amp;mtm_medium=paid_GEA_lemrock&amp;mtm_content=haribo" TargetMode="External" Id="rId882" /><Relationship Type="http://schemas.openxmlformats.org/officeDocument/2006/relationships/hyperlink" Target="https://courses.fidme.com/offre/5f5ada87-208d-45cd-a5f3-edb6eb40a5cf" TargetMode="External" Id="rId883" /><Relationship Type="http://schemas.openxmlformats.org/officeDocument/2006/relationships/hyperlink" Target="https://courses.fidme.com/offre/a20c91f5-e99a-4e4e-9dd1-5dbbaba4f047?mtm_campaign=testGEA_lemrock_2026-08&amp;mtm_kwd=GEA&amp;mtm_medium=paid_GEA_lemrock&amp;mtm_content=activia" TargetMode="External" Id="rId884" /><Relationship Type="http://schemas.openxmlformats.org/officeDocument/2006/relationships/hyperlink" Target="https://courses.fidme.com/offre/024f9b29-cac9-4f1a-94e5-ed6a84448c3b?mtm_campaign=testGEA_lemrock_2026-08&amp;mtm_kwd=GEA&amp;mtm_medium=paid_GEA_lemrock&amp;mtm_content=poulain" TargetMode="External" Id="rId885" /><Relationship Type="http://schemas.openxmlformats.org/officeDocument/2006/relationships/hyperlink" Target="https://courses.fidme.com/offre/16c49d2a-e2c5-49b0-825f-60ca722bd207?mtm_campaign=testGEA_lemrock_2026-08&amp;mtm_kwd=GEA&amp;mtm_medium=paid_GEA_lemrock&amp;mtm_content=bjorg" TargetMode="External" Id="rId886" /><Relationship Type="http://schemas.openxmlformats.org/officeDocument/2006/relationships/hyperlink" Target="https://courses.fidme.com/offre/a028a9bb-2236-4a3c-99e9-fa49c266c418?mtm_campaign=testGEA_lemrock_2026-08&amp;mtm_kwd=GEA&amp;mtm_medium=paid_GEA_lemrock&amp;mtm_content=whiskas" TargetMode="External" Id="rId887" /><Relationship Type="http://schemas.openxmlformats.org/officeDocument/2006/relationships/hyperlink" Target="https://courses.fidme.com/offre/baee1206-b4c2-4c78-8cbe-7bf3c6f48850" TargetMode="External" Id="rId888" /><Relationship Type="http://schemas.openxmlformats.org/officeDocument/2006/relationships/hyperlink" Target="https://courses.fidme.com/offre/70b2a4e7-4445-403e-a23e-cfbf9bf48341?mtm_campaign=testGEA_lemrock_2026-08&amp;mtm_kwd=GEA&amp;mtm_medium=paid_GEA_lemrock&amp;mtm_content=le-gaulois" TargetMode="External" Id="rId889" /><Relationship Type="http://schemas.openxmlformats.org/officeDocument/2006/relationships/hyperlink" Target="https://courses.fidme.com/offre/c09bab58-9310-4a70-bb4d-e97730d27e20?mtm_campaign=testGEA_lemrock_2026-08&amp;mtm_kwd=GEA&amp;mtm_medium=paid_GEA_lemrock&amp;mtm_content=tropicana" TargetMode="External" Id="rId890" /><Relationship Type="http://schemas.openxmlformats.org/officeDocument/2006/relationships/hyperlink" Target="https://courses.fidme.com/offre/be20fa17-069a-4ab4-a8f2-9d1d67fb961c?mtm_campaign=testGEA_lemrock_2026-08&amp;mtm_kwd=GEA&amp;mtm_medium=paid_GEA_lemrock&amp;mtm_content=pasquier" TargetMode="External" Id="rId891" /><Relationship Type="http://schemas.openxmlformats.org/officeDocument/2006/relationships/hyperlink" Target="https://courses.fidme.com/offre/fb7f6daa-1017-4398-8e27-4748add3caa9" TargetMode="External" Id="rId892" /><Relationship Type="http://schemas.openxmlformats.org/officeDocument/2006/relationships/hyperlink" Target="https://courses.fidme.com/offre/2c9385db-b6a4-4ebc-9761-e651f3f3795e?mtm_campaign=testGEA_lemrock_2026-08&amp;mtm_kwd=GEA&amp;mtm_medium=paid_GEA_lemrock&amp;mtm_content=herta" TargetMode="External" Id="rId893" /><Relationship Type="http://schemas.openxmlformats.org/officeDocument/2006/relationships/hyperlink" Target="https://courses.fidme.com/offre/18fc4b8e-beeb-4b12-9e3c-4f0470bc0192?mtm_campaign=testGEA_lemrock_2026-08&amp;mtm_kwd=GEA&amp;mtm_medium=paid_GEA_lemrock&amp;mtm_content=lutti" TargetMode="External" Id="rId894" /><Relationship Type="http://schemas.openxmlformats.org/officeDocument/2006/relationships/hyperlink" Target="https://courses.fidme.com/offre/042bf7fd-aa48-4463-b0aa-3020c7d1469c" TargetMode="External" Id="rId895" /><Relationship Type="http://schemas.openxmlformats.org/officeDocument/2006/relationships/hyperlink" Target="https://courses.fidme.com/offre/bad7769c-3e84-44c1-a1a8-60a8d75f106f?mtm_campaign=testGEA_lemrock_2026-08&amp;mtm_kwd=GEA&amp;mtm_medium=paid_GEA_lemrock&amp;mtm_content=stabilo" TargetMode="External" Id="rId896" /><Relationship Type="http://schemas.openxmlformats.org/officeDocument/2006/relationships/hyperlink" Target="https://courses.fidme.com/offre/155bd186-ef48-46e6-995f-7bb777193f43" TargetMode="External" Id="rId897" /><Relationship Type="http://schemas.openxmlformats.org/officeDocument/2006/relationships/hyperlink" Target="https://courses.fidme.com/offre/a2b7510e-5c2a-4309-b364-c09a2fbefea6?mtm_campaign=testGEA_lemrock_2026-08&amp;mtm_kwd=GEA&amp;mtm_medium=paid_GEA_lemrock&amp;mtm_content=daunat" TargetMode="External" Id="rId898" /><Relationship Type="http://schemas.openxmlformats.org/officeDocument/2006/relationships/hyperlink" Target="https://courses.fidme.com/offre/fb7f6daa-1017-4398-8e27-4748add3caa9" TargetMode="External" Id="rId899" /><Relationship Type="http://schemas.openxmlformats.org/officeDocument/2006/relationships/hyperlink" Target="https://courses.fidme.com/offre/40ce1ccb-b8a2-4b5e-aff9-8486a80a5782" TargetMode="External" Id="rId900" /><Relationship Type="http://schemas.openxmlformats.org/officeDocument/2006/relationships/hyperlink" Target="https://courses.fidme.com/offre/fe582592-32e0-4e67-b061-add69e804351?mtm_campaign=testGEA_lemrock_2026-08&amp;mtm_kwd=GEA&amp;mtm_medium=paid_GEA_lemrock&amp;mtm_content=bonduelle" TargetMode="External" Id="rId901" /><Relationship Type="http://schemas.openxmlformats.org/officeDocument/2006/relationships/hyperlink" Target="https://courses.fidme.com/offre/5f5ada87-208d-45cd-a5f3-edb6eb40a5cf" TargetMode="External" Id="rId902" /><Relationship Type="http://schemas.openxmlformats.org/officeDocument/2006/relationships/hyperlink" Target="https://courses.fidme.com/offre/c17cbfbe-b038-4ac2-91c7-965cec64d00e?mtm_campaign=testGEA_lemrock_2026-08&amp;mtm_kwd=GEA&amp;mtm_medium=paid_GEA_lemrock&amp;mtm_content=tabasco" TargetMode="External" Id="rId903" /><Relationship Type="http://schemas.openxmlformats.org/officeDocument/2006/relationships/hyperlink" Target="https://courses.fidme.com/offre/fb7f6daa-1017-4398-8e27-4748add3caa9" TargetMode="External" Id="rId904" /><Relationship Type="http://schemas.openxmlformats.org/officeDocument/2006/relationships/hyperlink" Target="https://courses.fidme.com/offre/788c51b4-11e0-4972-9cdf-b7754b8bbfbd" TargetMode="External" Id="rId905" /><Relationship Type="http://schemas.openxmlformats.org/officeDocument/2006/relationships/hyperlink" Target="https://courses.fidme.com/offre/eb7211ab-3091-45ff-9993-84c95ed15399" TargetMode="External" Id="rId906" /><Relationship Type="http://schemas.openxmlformats.org/officeDocument/2006/relationships/hyperlink" Target="https://courses.fidme.com/offre/570770d2-614e-4481-aeae-6ed9f315500b?mtm_campaign=testGEA_lemrock_2026-08&amp;mtm_kwd=GEA&amp;mtm_medium=paid_GEA_lemrock&amp;mtm_content=vico" TargetMode="External" Id="rId907" /><Relationship Type="http://schemas.openxmlformats.org/officeDocument/2006/relationships/hyperlink" Target="https://courses.fidme.com/offre/0982a341-f4e1-415d-8cba-ff150691be70?mtm_campaign=testGEA_lemrock_2026-08&amp;mtm_kwd=GEA&amp;mtm_medium=paid_GEA_lemrock&amp;mtm_content=president" TargetMode="External" Id="rId908" /><Relationship Type="http://schemas.openxmlformats.org/officeDocument/2006/relationships/hyperlink" Target="https://courses.fidme.com/offre/964e7a06-710e-415b-b609-648dbb7aae2d?mtm_campaign=testGEA_lemrock_2026-08&amp;mtm_kwd=GEA&amp;mtm_medium=paid_GEA_lemrock&amp;mtm_content=skip" TargetMode="External" Id="rId909" /><Relationship Type="http://schemas.openxmlformats.org/officeDocument/2006/relationships/hyperlink" Target="https://courses.fidme.com/offre/411a178b-05fe-4287-a387-88d7408dbfc4?mtm_campaign=testGEA_lemrock_2026-08&amp;mtm_kwd=GEA&amp;mtm_medium=paid_GEA_lemrock&amp;mtm_content=colgate" TargetMode="External" Id="rId910" /><Relationship Type="http://schemas.openxmlformats.org/officeDocument/2006/relationships/hyperlink" Target="https://courses.fidme.com/offre/fa6f6359-5639-47d7-91b3-ead284e137a7?mtm_campaign=testGEA_lemrock_2026-08&amp;mtm_kwd=GEA&amp;mtm_medium=paid_GEA_lemrock&amp;mtm_content=starbucks" TargetMode="External" Id="rId911" /><Relationship Type="http://schemas.openxmlformats.org/officeDocument/2006/relationships/hyperlink" Target="https://courses.fidme.com/offre/6cf4f4be-495a-4708-bd3a-6bdd1784e8c8?mtm_campaign=testGEA_lemrock_2026-08&amp;mtm_kwd=GEA&amp;mtm_medium=paid_GEA_lemrock&amp;mtm_content=monster" TargetMode="External" Id="rId912" /><Relationship Type="http://schemas.openxmlformats.org/officeDocument/2006/relationships/hyperlink" Target="https://courses.fidme.com/offre/2f862056-f2d5-48bf-b411-c73e3a97712f?mtm_campaign=testGEA_lemrock_2026-08&amp;mtm_kwd=GEA&amp;mtm_medium=paid_GEA_lemrock&amp;mtm_content=coca-cola" TargetMode="External" Id="rId913" /><Relationship Type="http://schemas.openxmlformats.org/officeDocument/2006/relationships/hyperlink" Target="https://courses.fidme.com/offre/bad7769c-3e84-44c1-a1a8-60a8d75f106f?mtm_campaign=testGEA_lemrock_2026-08&amp;mtm_kwd=GEA&amp;mtm_medium=paid_GEA_lemrock&amp;mtm_content=stabilo" TargetMode="External" Id="rId914" /><Relationship Type="http://schemas.openxmlformats.org/officeDocument/2006/relationships/hyperlink" Target="https://courses.fidme.com/offre/2df659e4-20ff-4fc1-b110-bb9774bca67b" TargetMode="External" Id="rId915" /><Relationship Type="http://schemas.openxmlformats.org/officeDocument/2006/relationships/hyperlink" Target="https://courses.fidme.com/offre/bad7769c-3e84-44c1-a1a8-60a8d75f106f?mtm_campaign=testGEA_lemrock_2026-08&amp;mtm_kwd=GEA&amp;mtm_medium=paid_GEA_lemrock&amp;mtm_content=stabilo" TargetMode="External" Id="rId916" /><Relationship Type="http://schemas.openxmlformats.org/officeDocument/2006/relationships/hyperlink" Target="https://courses.fidme.com/offre/48247382-4106-4c74-9491-d6cf088b4c98?mtm_campaign=testGEA_lemrock_2026-08&amp;mtm_kwd=GEA&amp;mtm_medium=paid_GEA_lemrock&amp;mtm_content=oasis" TargetMode="External" Id="rId917" /><Relationship Type="http://schemas.openxmlformats.org/officeDocument/2006/relationships/hyperlink" Target="https://courses.fidme.com/offre/e9d6b112-8bad-444e-ac50-a9d568185bf3?mtm_campaign=testGEA_lemrock_2026-08&amp;mtm_kwd=GEA&amp;mtm_medium=paid_GEA_lemrock&amp;mtm_content=canada-dry" TargetMode="External" Id="rId918" /><Relationship Type="http://schemas.openxmlformats.org/officeDocument/2006/relationships/hyperlink" Target="https://courses.fidme.com/offre/651dc6f9-d624-46dc-a404-e42f3764da9e" TargetMode="External" Id="rId919" /><Relationship Type="http://schemas.openxmlformats.org/officeDocument/2006/relationships/hyperlink" Target="https://courses.fidme.com/offre/9d959300-80d6-405f-9688-a49cda08010e?mtm_campaign=testGEA_lemrock_2026-08&amp;mtm_kwd=GEA&amp;mtm_medium=paid_GEA_lemrock&amp;mtm_content=lipton" TargetMode="External" Id="rId920" /><Relationship Type="http://schemas.openxmlformats.org/officeDocument/2006/relationships/hyperlink" Target="https://courses.fidme.com/offre/40ce1ccb-b8a2-4b5e-aff9-8486a80a5782" TargetMode="External" Id="rId921" /><Relationship Type="http://schemas.openxmlformats.org/officeDocument/2006/relationships/hyperlink" Target="https://courses.fidme.com/offre/a2b7510e-5c2a-4309-b364-c09a2fbefea6?mtm_campaign=testGEA_lemrock_2026-08&amp;mtm_kwd=GEA&amp;mtm_medium=paid_GEA_lemrock&amp;mtm_content=daunat" TargetMode="External" Id="rId922" /><Relationship Type="http://schemas.openxmlformats.org/officeDocument/2006/relationships/hyperlink" Target="https://courses.fidme.com/offre/e9d6b112-8bad-444e-ac50-a9d568185bf3?mtm_campaign=testGEA_lemrock_2026-08&amp;mtm_kwd=GEA&amp;mtm_medium=paid_GEA_lemrock&amp;mtm_content=canada-dry" TargetMode="External" Id="rId923" /><Relationship Type="http://schemas.openxmlformats.org/officeDocument/2006/relationships/hyperlink" Target="https://courses.fidme.com/offre/9d959300-80d6-405f-9688-a49cda08010e?mtm_campaign=testGEA_lemrock_2026-08&amp;mtm_kwd=GEA&amp;mtm_medium=paid_GEA_lemrock&amp;mtm_content=lipton" TargetMode="External" Id="rId924" /><Relationship Type="http://schemas.openxmlformats.org/officeDocument/2006/relationships/hyperlink" Target="https://courses.fidme.com/offre/7ceb411a-b2c2-49f2-875d-cc17603cfdda?mtm_campaign=testGEA_lemrock_2026-08&amp;mtm_kwd=GEA&amp;mtm_medium=paid_GEA_lemrock&amp;mtm_content=kiri" TargetMode="External" Id="rId925" /><Relationship Type="http://schemas.openxmlformats.org/officeDocument/2006/relationships/hyperlink" Target="https://courses.fidme.com/offre/70b2a4e7-4445-403e-a23e-cfbf9bf48341?mtm_campaign=testGEA_lemrock_2026-08&amp;mtm_kwd=GEA&amp;mtm_medium=paid_GEA_lemrock&amp;mtm_content=le-gaulois" TargetMode="External" Id="rId926" /><Relationship Type="http://schemas.openxmlformats.org/officeDocument/2006/relationships/hyperlink" Target="https://courses.fidme.com/offre/a20c91f5-e99a-4e4e-9dd1-5dbbaba4f047?mtm_campaign=testGEA_lemrock_2026-08&amp;mtm_kwd=GEA&amp;mtm_medium=paid_GEA_lemrock&amp;mtm_content=activia" TargetMode="External" Id="rId927" /><Relationship Type="http://schemas.openxmlformats.org/officeDocument/2006/relationships/hyperlink" Target="https://courses.fidme.com/offre/7e83d325-2e88-40be-8788-de3bda527415?mtm_campaign=testGEA_lemrock_2026-08&amp;mtm_kwd=GEA&amp;mtm_medium=paid_GEA_lemrock&amp;mtm_content=croustipate" TargetMode="External" Id="rId928" /><Relationship Type="http://schemas.openxmlformats.org/officeDocument/2006/relationships/hyperlink" Target="https://courses.fidme.com/offre/16c49d2a-e2c5-49b0-825f-60ca722bd207?mtm_campaign=testGEA_lemrock_2026-08&amp;mtm_kwd=GEA&amp;mtm_medium=paid_GEA_lemrock&amp;mtm_content=bjorg" TargetMode="External" Id="rId929" /><Relationship Type="http://schemas.openxmlformats.org/officeDocument/2006/relationships/hyperlink" Target="https://courses.fidme.com/offre/788c51b4-11e0-4972-9cdf-b7754b8bbfbd" TargetMode="External" Id="rId930" /><Relationship Type="http://schemas.openxmlformats.org/officeDocument/2006/relationships/hyperlink" Target="https://courses.fidme.com/offre/2f862056-f2d5-48bf-b411-c73e3a97712f?mtm_campaign=testGEA_lemrock_2026-08&amp;mtm_kwd=GEA&amp;mtm_medium=paid_GEA_lemrock&amp;mtm_content=coca-cola" TargetMode="External" Id="rId931" /><Relationship Type="http://schemas.openxmlformats.org/officeDocument/2006/relationships/hyperlink" Target="https://courses.fidme.com/offre/5e42e07f-6e68-4f9f-aa01-b8e163d4eee6" TargetMode="External" Id="rId932" /><Relationship Type="http://schemas.openxmlformats.org/officeDocument/2006/relationships/hyperlink" Target="https://courses.fidme.com/offre/0982a341-f4e1-415d-8cba-ff150691be70?mtm_campaign=testGEA_lemrock_2026-08&amp;mtm_kwd=GEA&amp;mtm_medium=paid_GEA_lemrock&amp;mtm_content=president" TargetMode="External" Id="rId933" /><Relationship Type="http://schemas.openxmlformats.org/officeDocument/2006/relationships/hyperlink" Target="https://courses.fidme.com/offre/5f5ada87-208d-45cd-a5f3-edb6eb40a5cf" TargetMode="External" Id="rId934" /><Relationship Type="http://schemas.openxmlformats.org/officeDocument/2006/relationships/hyperlink" Target="https://courses.fidme.com/offre/baee1206-b4c2-4c78-8cbe-7bf3c6f48850" TargetMode="External" Id="rId935" /><Relationship Type="http://schemas.openxmlformats.org/officeDocument/2006/relationships/hyperlink" Target="https://courses.fidme.com/offre/2c9385db-b6a4-4ebc-9761-e651f3f3795e?mtm_campaign=testGEA_lemrock_2026-08&amp;mtm_kwd=GEA&amp;mtm_medium=paid_GEA_lemrock&amp;mtm_content=herta" TargetMode="External" Id="rId936" /><Relationship Type="http://schemas.openxmlformats.org/officeDocument/2006/relationships/hyperlink" Target="https://courses.fidme.com/offre/024f9b29-cac9-4f1a-94e5-ed6a84448c3b?mtm_campaign=testGEA_lemrock_2026-08&amp;mtm_kwd=GEA&amp;mtm_medium=paid_GEA_lemrock&amp;mtm_content=poulain" TargetMode="External" Id="rId937" /><Relationship Type="http://schemas.openxmlformats.org/officeDocument/2006/relationships/hyperlink" Target="https://courses.fidme.com/offre/8fb3900d-2fd8-44eb-825d-1b9f7649a5ed" TargetMode="External" Id="rId938" /><Relationship Type="http://schemas.openxmlformats.org/officeDocument/2006/relationships/hyperlink" Target="https://courses.fidme.com/offre/193de4b6-5050-461a-b6a7-59a6e6d94dbd?mtm_campaign=testGEA_lemrock_2026-08&amp;mtm_kwd=GEA&amp;mtm_medium=paid_GEA_lemrock&amp;mtm_content=danone" TargetMode="External" Id="rId939" /><Relationship Type="http://schemas.openxmlformats.org/officeDocument/2006/relationships/hyperlink" Target="https://courses.fidme.com/offre/fe582592-32e0-4e67-b061-add69e804351?mtm_campaign=testGEA_lemrock_2026-08&amp;mtm_kwd=GEA&amp;mtm_medium=paid_GEA_lemrock&amp;mtm_content=bonduelle" TargetMode="External" Id="rId940" /><Relationship Type="http://schemas.openxmlformats.org/officeDocument/2006/relationships/hyperlink" Target="https://courses.fidme.com/offre/570770d2-614e-4481-aeae-6ed9f315500b?mtm_campaign=testGEA_lemrock_2026-08&amp;mtm_kwd=GEA&amp;mtm_medium=paid_GEA_lemrock&amp;mtm_content=vico" TargetMode="External" Id="rId941" /><Relationship Type="http://schemas.openxmlformats.org/officeDocument/2006/relationships/hyperlink" Target="https://courses.fidme.com/offre/7ceb411a-b2c2-49f2-875d-cc17603cfdda?mtm_campaign=testGEA_lemrock_2026-08&amp;mtm_kwd=GEA&amp;mtm_medium=paid_GEA_lemrock&amp;mtm_content=kiri" TargetMode="External" Id="rId942" /><Relationship Type="http://schemas.openxmlformats.org/officeDocument/2006/relationships/hyperlink" Target="https://courses.fidme.com/offre/6cf4f4be-495a-4708-bd3a-6bdd1784e8c8?mtm_campaign=testGEA_lemrock_2026-08&amp;mtm_kwd=GEA&amp;mtm_medium=paid_GEA_lemrock&amp;mtm_content=monster" TargetMode="External" Id="rId943" /><Relationship Type="http://schemas.openxmlformats.org/officeDocument/2006/relationships/hyperlink" Target="https://courses.fidme.com/offre/2e515714-a108-4420-92cf-aa76c816b5f1?mtm_campaign=testGEA_lemrock_2026-08&amp;mtm_kwd=GEA&amp;mtm_medium=paid_GEA_lemrock&amp;mtm_content=lor" TargetMode="External" Id="rId944" /><Relationship Type="http://schemas.openxmlformats.org/officeDocument/2006/relationships/hyperlink" Target="https://courses.fidme.com/offre/f1643c42-026d-4044-86ff-c411fb78abe2/Lingettes-WaterWipes" TargetMode="External" Id="rId945" /><Relationship Type="http://schemas.openxmlformats.org/officeDocument/2006/relationships/hyperlink" Target="https://courses.fidme.com/offre/0982a341-f4e1-415d-8cba-ff150691be70?mtm_campaign=testGEA_lemrock_2026-08&amp;mtm_kwd=GEA&amp;mtm_medium=paid_GEA_lemrock&amp;mtm_content=president" TargetMode="External" Id="rId946" /><Relationship Type="http://schemas.openxmlformats.org/officeDocument/2006/relationships/hyperlink" Target="https://courses.fidme.com/offre/9d959300-80d6-405f-9688-a49cda08010e?mtm_campaign=testGEA_lemrock_2026-08&amp;mtm_kwd=GEA&amp;mtm_medium=paid_GEA_lemrock&amp;mtm_content=lipton" TargetMode="External" Id="rId947" /><Relationship Type="http://schemas.openxmlformats.org/officeDocument/2006/relationships/hyperlink" Target="https://courses.fidme.com/offre/fa6f6359-5639-47d7-91b3-ead284e137a7?mtm_campaign=testGEA_lemrock_2026-08&amp;mtm_kwd=GEA&amp;mtm_medium=paid_GEA_lemrock&amp;mtm_content=starbucks" TargetMode="External" Id="rId948" /><Relationship Type="http://schemas.openxmlformats.org/officeDocument/2006/relationships/hyperlink" Target="https://courses.fidme.com/offre/570770d2-614e-4481-aeae-6ed9f315500b?mtm_campaign=testGEA_lemrock_2026-08&amp;mtm_kwd=GEA&amp;mtm_medium=paid_GEA_lemrock&amp;mtm_content=vico" TargetMode="External" Id="rId949" /><Relationship Type="http://schemas.openxmlformats.org/officeDocument/2006/relationships/hyperlink" Target="https://courses.fidme.com/offre/a028a9bb-2236-4a3c-99e9-fa49c266c418?mtm_campaign=testGEA_lemrock_2026-08&amp;mtm_kwd=GEA&amp;mtm_medium=paid_GEA_lemrock&amp;mtm_content=whiskas" TargetMode="External" Id="rId950" /><Relationship Type="http://schemas.openxmlformats.org/officeDocument/2006/relationships/hyperlink" Target="https://courses.fidme.com/offre/411a178b-05fe-4287-a387-88d7408dbfc4?mtm_campaign=testGEA_lemrock_2026-08&amp;mtm_kwd=GEA&amp;mtm_medium=paid_GEA_lemrock&amp;mtm_content=colgate" TargetMode="External" Id="rId951" /><Relationship Type="http://schemas.openxmlformats.org/officeDocument/2006/relationships/hyperlink" Target="https://courses.fidme.com/offre/964e7a06-710e-415b-b609-648dbb7aae2d?mtm_campaign=testGEA_lemrock_2026-08&amp;mtm_kwd=GEA&amp;mtm_medium=paid_GEA_lemrock&amp;mtm_content=skip" TargetMode="External" Id="rId952" /><Relationship Type="http://schemas.openxmlformats.org/officeDocument/2006/relationships/hyperlink" Target="https://courses.fidme.com/offre/e9d6b112-8bad-444e-ac50-a9d568185bf3?mtm_campaign=testGEA_lemrock_2026-08&amp;mtm_kwd=GEA&amp;mtm_medium=paid_GEA_lemrock&amp;mtm_content=canada-dry" TargetMode="External" Id="rId953" /><Relationship Type="http://schemas.openxmlformats.org/officeDocument/2006/relationships/hyperlink" Target="https://courses.fidme.com/offre/c09bab58-9310-4a70-bb4d-e97730d27e20?mtm_campaign=testGEA_lemrock_2026-08&amp;mtm_kwd=GEA&amp;mtm_medium=paid_GEA_lemrock&amp;mtm_content=tropicana" TargetMode="External" Id="rId954" /><Relationship Type="http://schemas.openxmlformats.org/officeDocument/2006/relationships/hyperlink" Target="https://courses.fidme.com/offre/c09bab58-9310-4a70-bb4d-e97730d27e20?mtm_campaign=testGEA_lemrock_2026-08&amp;mtm_kwd=GEA&amp;mtm_medium=paid_GEA_lemrock&amp;mtm_content=tropicana" TargetMode="External" Id="rId955" /><Relationship Type="http://schemas.openxmlformats.org/officeDocument/2006/relationships/hyperlink" Target="https://courses.fidme.com/offre/be20fa17-069a-4ab4-a8f2-9d1d67fb961c?mtm_campaign=testGEA_lemrock_2026-08&amp;mtm_kwd=GEA&amp;mtm_medium=paid_GEA_lemrock&amp;mtm_content=pasquier" TargetMode="External" Id="rId956" /><Relationship Type="http://schemas.openxmlformats.org/officeDocument/2006/relationships/hyperlink" Target="https://courses.fidme.com/offre/faed6f54-eb6c-4d82-a62e-e0639b81f47f" TargetMode="External" Id="rId957" /><Relationship Type="http://schemas.openxmlformats.org/officeDocument/2006/relationships/hyperlink" Target="https://courses.fidme.com/offre/7e83d325-2e88-40be-8788-de3bda527415?mtm_campaign=testGEA_lemrock_2026-08&amp;mtm_kwd=GEA&amp;mtm_medium=paid_GEA_lemrock&amp;mtm_content=croustipate" TargetMode="External" Id="rId958" /><Relationship Type="http://schemas.openxmlformats.org/officeDocument/2006/relationships/hyperlink" Target="https://courses.fidme.com/offre/2f862056-f2d5-48bf-b411-c73e3a97712f?mtm_campaign=testGEA_lemrock_2026-08&amp;mtm_kwd=GEA&amp;mtm_medium=paid_GEA_lemrock&amp;mtm_content=coca-cola" TargetMode="External" Id="rId959" /><Relationship Type="http://schemas.openxmlformats.org/officeDocument/2006/relationships/hyperlink" Target="https://courses.fidme.com/offre/c17cbfbe-b038-4ac2-91c7-965cec64d00e?mtm_campaign=testGEA_lemrock_2026-08&amp;mtm_kwd=GEA&amp;mtm_medium=paid_GEA_lemrock&amp;mtm_content=tabasco" TargetMode="External" Id="rId960" /><Relationship Type="http://schemas.openxmlformats.org/officeDocument/2006/relationships/hyperlink" Target="https://courses.fidme.com/offre/024f9b29-cac9-4f1a-94e5-ed6a84448c3b?mtm_campaign=testGEA_lemrock_2026-08&amp;mtm_kwd=GEA&amp;mtm_medium=paid_GEA_lemrock&amp;mtm_content=poulain" TargetMode="External" Id="rId961" /><Relationship Type="http://schemas.openxmlformats.org/officeDocument/2006/relationships/hyperlink" Target="https://courses.fidme.com/offre/fb7f6daa-1017-4398-8e27-4748add3caa9" TargetMode="External" Id="rId962" /><Relationship Type="http://schemas.openxmlformats.org/officeDocument/2006/relationships/hyperlink" Target="https://courses.fidme.com/offre/30041975-90fd-4c89-98c4-3593e1fbc9bb?mtm_campaign=testGEA_lemrock_2026-08&amp;mtm_kwd=GEA&amp;mtm_medium=paid_GEA_lemrock&amp;mtm_content=barilla" TargetMode="External" Id="rId963" /><Relationship Type="http://schemas.openxmlformats.org/officeDocument/2006/relationships/hyperlink" Target="https://courses.fidme.com/offre/a20c91f5-e99a-4e4e-9dd1-5dbbaba4f047?mtm_campaign=testGEA_lemrock_2026-08&amp;mtm_kwd=GEA&amp;mtm_medium=paid_GEA_lemrock&amp;mtm_content=activia" TargetMode="External" Id="rId964" /><Relationship Type="http://schemas.openxmlformats.org/officeDocument/2006/relationships/hyperlink" Target="https://courses.fidme.com/offre/48247382-4106-4c74-9491-d6cf088b4c98?mtm_campaign=testGEA_lemrock_2026-08&amp;mtm_kwd=GEA&amp;mtm_medium=paid_GEA_lemrock&amp;mtm_content=oasis" TargetMode="External" Id="rId965" /><Relationship Type="http://schemas.openxmlformats.org/officeDocument/2006/relationships/hyperlink" Target="https://courses.fidme.com/offre/193de4b6-5050-461a-b6a7-59a6e6d94dbd?mtm_campaign=testGEA_lemrock_2026-08&amp;mtm_kwd=GEA&amp;mtm_medium=paid_GEA_lemrock&amp;mtm_content=danone" TargetMode="External" Id="rId966" /><Relationship Type="http://schemas.openxmlformats.org/officeDocument/2006/relationships/hyperlink" Target="https://courses.fidme.com/offre/9d959300-80d6-405f-9688-a49cda08010e?mtm_campaign=testGEA_lemrock_2026-08&amp;mtm_kwd=GEA&amp;mtm_medium=paid_GEA_lemrock&amp;mtm_content=lipton" TargetMode="External" Id="rId967" /><Relationship Type="http://schemas.openxmlformats.org/officeDocument/2006/relationships/hyperlink" Target="https://courses.fidme.com/offre/a028a9bb-2236-4a3c-99e9-fa49c266c418?mtm_campaign=testGEA_lemrock_2026-08&amp;mtm_kwd=GEA&amp;mtm_medium=paid_GEA_lemrock&amp;mtm_content=whiskas" TargetMode="External" Id="rId968" /><Relationship Type="http://schemas.openxmlformats.org/officeDocument/2006/relationships/hyperlink" Target="https://courses.fidme.com/offre/e9d6b112-8bad-444e-ac50-a9d568185bf3?mtm_campaign=testGEA_lemrock_2026-08&amp;mtm_kwd=GEA&amp;mtm_medium=paid_GEA_lemrock&amp;mtm_content=canada-dry" TargetMode="External" Id="rId969" /><Relationship Type="http://schemas.openxmlformats.org/officeDocument/2006/relationships/hyperlink" Target="https://courses.fidme.com/offre/48247382-4106-4c74-9491-d6cf088b4c98?mtm_campaign=testGEA_lemrock_2026-08&amp;mtm_kwd=GEA&amp;mtm_medium=paid_GEA_lemrock&amp;mtm_content=oasis" TargetMode="External" Id="rId970" /><Relationship Type="http://schemas.openxmlformats.org/officeDocument/2006/relationships/hyperlink" Target="https://courses.fidme.com/offre/4a717306-0fb2-4e52-93c6-b1b93c811211?mtm_campaign=testGEA_lemrock_2026-08&amp;mtm_kwd=GEA&amp;mtm_medium=paid_GEA_lemrock&amp;mtm_content=haribo" TargetMode="External" Id="rId971" /><Relationship Type="http://schemas.openxmlformats.org/officeDocument/2006/relationships/hyperlink" Target="https://courses.fidme.com/offre/a2b7510e-5c2a-4309-b364-c09a2fbefea6?mtm_campaign=testGEA_lemrock_2026-08&amp;mtm_kwd=GEA&amp;mtm_medium=paid_GEA_lemrock&amp;mtm_content=daunat" TargetMode="External" Id="rId972" /><Relationship Type="http://schemas.openxmlformats.org/officeDocument/2006/relationships/hyperlink" Target="https://courses.fidme.com/offre/6cf4f4be-495a-4708-bd3a-6bdd1784e8c8?mtm_campaign=testGEA_lemrock_2026-08&amp;mtm_kwd=GEA&amp;mtm_medium=paid_GEA_lemrock&amp;mtm_content=monster" TargetMode="External" Id="rId973" /><Relationship Type="http://schemas.openxmlformats.org/officeDocument/2006/relationships/hyperlink" Target="https://courses.fidme.com/offre/fa6f6359-5639-47d7-91b3-ead284e137a7?mtm_campaign=testGEA_lemrock_2026-08&amp;mtm_kwd=GEA&amp;mtm_medium=paid_GEA_lemrock&amp;mtm_content=starbucks" TargetMode="External" Id="rId974" /><Relationship Type="http://schemas.openxmlformats.org/officeDocument/2006/relationships/hyperlink" Target="https://courses.fidme.com/offre/bad7769c-3e84-44c1-a1a8-60a8d75f106f?mtm_campaign=testGEA_lemrock_2026-08&amp;mtm_kwd=GEA&amp;mtm_medium=paid_GEA_lemrock&amp;mtm_content=stabilo" TargetMode="External" Id="rId975" /><Relationship Type="http://schemas.openxmlformats.org/officeDocument/2006/relationships/hyperlink" Target="https://courses.fidme.com/offre/16c49d2a-e2c5-49b0-825f-60ca722bd207?mtm_campaign=testGEA_lemrock_2026-08&amp;mtm_kwd=GEA&amp;mtm_medium=paid_GEA_lemrock&amp;mtm_content=bjorg" TargetMode="External" Id="rId976" /><Relationship Type="http://schemas.openxmlformats.org/officeDocument/2006/relationships/hyperlink" Target="https://courses.fidme.com/offre/18fc4b8e-beeb-4b12-9e3c-4f0470bc0192?mtm_campaign=testGEA_lemrock_2026-08&amp;mtm_kwd=GEA&amp;mtm_medium=paid_GEA_lemrock&amp;mtm_content=lutti" TargetMode="External" Id="rId977" /><Relationship Type="http://schemas.openxmlformats.org/officeDocument/2006/relationships/hyperlink" Target="https://courses.fidme.com/offre/70b2a4e7-4445-403e-a23e-cfbf9bf48341?mtm_campaign=testGEA_lemrock_2026-08&amp;mtm_kwd=GEA&amp;mtm_medium=paid_GEA_lemrock&amp;mtm_content=le-gaulois" TargetMode="External" Id="rId978" /><Relationship Type="http://schemas.openxmlformats.org/officeDocument/2006/relationships/hyperlink" Target="https://courses.fidme.com/offre/4764fbf7-a62d-41d8-bdd6-eae1a3560c59?mtm_campaign=testGEA_lemrock_2026-08&amp;mtm_kwd=GEA&amp;mtm_medium=paid_GEA_lemrock&amp;mtm_content=cote-dor" TargetMode="External" Id="rId979" /><Relationship Type="http://schemas.openxmlformats.org/officeDocument/2006/relationships/hyperlink" Target="https://courses.fidme.com/offre/6cf4f4be-495a-4708-bd3a-6bdd1784e8c8?mtm_campaign=testGEA_lemrock_2026-08&amp;mtm_kwd=GEA&amp;mtm_medium=paid_GEA_lemrock&amp;mtm_content=monster" TargetMode="External" Id="rId980" /><Relationship Type="http://schemas.openxmlformats.org/officeDocument/2006/relationships/hyperlink" Target="https://courses.fidme.com/offre/2f862056-f2d5-48bf-b411-c73e3a97712f?mtm_campaign=testGEA_lemrock_2026-08&amp;mtm_kwd=GEA&amp;mtm_medium=paid_GEA_lemrock&amp;mtm_content=coca-cola" TargetMode="External" Id="rId981" /><Relationship Type="http://schemas.openxmlformats.org/officeDocument/2006/relationships/hyperlink" Target="https://courses.fidme.com/offre/788c51b4-11e0-4972-9cdf-b7754b8bbfbd" TargetMode="External" Id="rId982" /><Relationship Type="http://schemas.openxmlformats.org/officeDocument/2006/relationships/hyperlink" Target="https://courses.fidme.com/offre/2e515714-a108-4420-92cf-aa76c816b5f1?mtm_campaign=testGEA_lemrock_2026-08&amp;mtm_kwd=GEA&amp;mtm_medium=paid_GEA_lemrock&amp;mtm_content=lor" TargetMode="External" Id="rId983" /><Relationship Type="http://schemas.openxmlformats.org/officeDocument/2006/relationships/hyperlink" Target="https://courses.fidme.com/offre/411a178b-05fe-4287-a387-88d7408dbfc4?mtm_campaign=testGEA_lemrock_2026-08&amp;mtm_kwd=GEA&amp;mtm_medium=paid_GEA_lemrock&amp;mtm_content=colgate" TargetMode="External" Id="rId984" /><Relationship Type="http://schemas.openxmlformats.org/officeDocument/2006/relationships/hyperlink" Target="https://courses.fidme.com/offre/2c9385db-b6a4-4ebc-9761-e651f3f3795e?mtm_campaign=testGEA_lemrock_2026-08&amp;mtm_kwd=GEA&amp;mtm_medium=paid_GEA_lemrock&amp;mtm_content=herta" TargetMode="External" Id="rId985" /><Relationship Type="http://schemas.openxmlformats.org/officeDocument/2006/relationships/hyperlink" Target="https://courses.fidme.com/offre/155bd186-ef48-46e6-995f-7bb777193f43" TargetMode="External" Id="rId986" /><Relationship Type="http://schemas.openxmlformats.org/officeDocument/2006/relationships/hyperlink" Target="https://courses.fidme.com/offre/347cd800-c364-4c85-a13f-816823a3ff6b" TargetMode="External" Id="rId987" /><Relationship Type="http://schemas.openxmlformats.org/officeDocument/2006/relationships/hyperlink" Target="https://courses.fidme.com/offre/c4d7eb5c-1664-4df2-a1c3-c09c7b119035" TargetMode="External" Id="rId988" /><Relationship Type="http://schemas.openxmlformats.org/officeDocument/2006/relationships/hyperlink" Target="https://courses.fidme.com/offre/643dd0c3-345c-4f5d-b37c-4974051ee5f4" TargetMode="External" Id="rId989" /><Relationship Type="http://schemas.openxmlformats.org/officeDocument/2006/relationships/hyperlink" Target="https://courses.fidme.com/offre/94c6b9dd-2a9a-48e1-9d05-e6a859c7d631" TargetMode="External" Id="rId990" /><Relationship Type="http://schemas.openxmlformats.org/officeDocument/2006/relationships/hyperlink" Target="https://courses.fidme.com/offre/d51fabe7-cb3b-4e97-8993-4132b338218e" TargetMode="External" Id="rId991" /><Relationship Type="http://schemas.openxmlformats.org/officeDocument/2006/relationships/hyperlink" Target="https://courses.fidme.com/offre/941f45f1-df7a-45c7-88df-242fadf1dc34" TargetMode="External" Id="rId992" /><Relationship Type="http://schemas.openxmlformats.org/officeDocument/2006/relationships/hyperlink" Target="https://courses.fidme.com/offre/35a76585-6c6e-4382-9f3c-699092022e92" TargetMode="External" Id="rId993" /><Relationship Type="http://schemas.openxmlformats.org/officeDocument/2006/relationships/hyperlink" Target="https://courses.fidme.com/offre/dcdb0585-e2b8-4464-910d-40082cf2e100" TargetMode="External" Id="rId994" /><Relationship Type="http://schemas.openxmlformats.org/officeDocument/2006/relationships/hyperlink" Target="https://courses.fidme.com/offre/979dc9d7-a4d1-4105-9baf-bb9275e01217" TargetMode="External" Id="rId995" /><Relationship Type="http://schemas.openxmlformats.org/officeDocument/2006/relationships/hyperlink" Target="https://courses.fidme.com/offre/2191f6cc-3a31-406a-9f4d-b1506ac6300d" TargetMode="External" Id="rId996" /><Relationship Type="http://schemas.openxmlformats.org/officeDocument/2006/relationships/hyperlink" Target="https://courses.fidme.com/offre/cb300ea9-26fc-4073-83e0-dab3689a83a6" TargetMode="External" Id="rId997" /><Relationship Type="http://schemas.openxmlformats.org/officeDocument/2006/relationships/hyperlink" Target="https://courses.fidme.com/offre/a0a0482a-0991-48b9-9f30-6f954aa5dbf0" TargetMode="External" Id="rId998" /><Relationship Type="http://schemas.openxmlformats.org/officeDocument/2006/relationships/hyperlink" Target="https://courses.fidme.com/offre/ec2f0743-8018-49f3-94ca-1fda2edb45e5" TargetMode="External" Id="rId999" /><Relationship Type="http://schemas.openxmlformats.org/officeDocument/2006/relationships/hyperlink" Target="https://courses.fidme.com/offre/8f2a4339-788d-4ccc-b28a-17b4b068711a" TargetMode="External" Id="rId1000" /><Relationship Type="http://schemas.openxmlformats.org/officeDocument/2006/relationships/hyperlink" Target="https://courses.fidme.com/offre/c3a677a2-e4e0-4a08-8727-9ac01d85c5d7" TargetMode="External" Id="rId1001" /><Relationship Type="http://schemas.openxmlformats.org/officeDocument/2006/relationships/hyperlink" Target="https://courses.fidme.com/offre/e5b129f0-81df-4a4c-9dae-c045661e2702" TargetMode="External" Id="rId1002" /><Relationship Type="http://schemas.openxmlformats.org/officeDocument/2006/relationships/hyperlink" Target="https://courses.fidme.com/offre/91d31ee7-2439-42d5-91e2-82ce7b204e70" TargetMode="External" Id="rId1003" /><Relationship Type="http://schemas.openxmlformats.org/officeDocument/2006/relationships/hyperlink" Target="https://courses.fidme.com/offre/7cfceccb-ee07-43f8-a840-3d179f4282af" TargetMode="External" Id="rId1004" /><Relationship Type="http://schemas.openxmlformats.org/officeDocument/2006/relationships/hyperlink" Target="https://courses.fidme.com/offre/2e515714-a108-4420-92cf-aa76c816b5f1?mtm_campaign=testGEA_lemrock_2026-08&amp;mtm_kwd=GEA&amp;mtm_medium=paid_GEA_lemrock&amp;mtm_content=lor" TargetMode="External" Id="rId1005" /><Relationship Type="http://schemas.openxmlformats.org/officeDocument/2006/relationships/hyperlink" Target="https://courses.fidme.com/offre/b3380063-379b-4596-b6ca-c2206d289e96" TargetMode="External" Id="rId1006" /><Relationship Type="http://schemas.openxmlformats.org/officeDocument/2006/relationships/hyperlink" Target="https://courses.fidme.com/offre/b678e86b-eca8-4bcc-aee8-7109157cf0ab" TargetMode="External" Id="rId1007" /><Relationship Type="http://schemas.openxmlformats.org/officeDocument/2006/relationships/hyperlink" Target="https://courses.fidme.com/offre/69751611-2713-4201-b447-df561353f1da" TargetMode="External" Id="rId1008" /><Relationship Type="http://schemas.openxmlformats.org/officeDocument/2006/relationships/hyperlink" Target="https://courses.fidme.com/offre/9cf2e0ea-01a4-4c94-bddc-e59baadd33db" TargetMode="External" Id="rId1009" /><Relationship Type="http://schemas.openxmlformats.org/officeDocument/2006/relationships/hyperlink" Target="https://courses.fidme.com/offre/13eb77d8-fde8-4af0-bce6-7cdeb3c4851c" TargetMode="External" Id="rId1010" /><Relationship Type="http://schemas.openxmlformats.org/officeDocument/2006/relationships/hyperlink" Target="https://courses.fidme.com/offre/cde3b3db-4882-46d1-a5a5-76512adbdf5b" TargetMode="External" Id="rId1011" /><Relationship Type="http://schemas.openxmlformats.org/officeDocument/2006/relationships/hyperlink" Target="https://courses.fidme.com/offre/365e852f-10a5-4c24-a208-c9d993282e9b" TargetMode="External" Id="rId1012" /><Relationship Type="http://schemas.openxmlformats.org/officeDocument/2006/relationships/hyperlink" Target="https://courses.fidme.com/offre/67698b6d-a1a9-4a41-a76d-7671dc856641" TargetMode="External" Id="rId1013" /><Relationship Type="http://schemas.openxmlformats.org/officeDocument/2006/relationships/hyperlink" Target="https://courses.fidme.com/offre/1e001f54-26c5-4e29-b935-5517e88c66b0" TargetMode="External" Id="rId1014" /><Relationship Type="http://schemas.openxmlformats.org/officeDocument/2006/relationships/hyperlink" Target="https://courses.fidme.com/offre/ee8b13f8-910d-436b-89dd-616aabcd5785" TargetMode="External" Id="rId1015" /><Relationship Type="http://schemas.openxmlformats.org/officeDocument/2006/relationships/hyperlink" Target="https://courses.fidme.com/offre/0b295937-f8d1-4c8d-ad39-8664dbdefd3f" TargetMode="External" Id="rId1016" /><Relationship Type="http://schemas.openxmlformats.org/officeDocument/2006/relationships/hyperlink" Target="https://courses.fidme.com/offre/f9bebe3e-9b74-4294-8592-657738e17270" TargetMode="External" Id="rId1017" /><Relationship Type="http://schemas.openxmlformats.org/officeDocument/2006/relationships/hyperlink" Target="https://courses.fidme.com/offre/a7ba56b7-0ff8-4935-bc0f-52bf29fccb67" TargetMode="External" Id="rId1018" /><Relationship Type="http://schemas.openxmlformats.org/officeDocument/2006/relationships/hyperlink" Target="https://courses.fidme.com/offre/a43f1cf6-c5f0-45f0-a242-95d97dab3352" TargetMode="External" Id="rId1019" /><Relationship Type="http://schemas.openxmlformats.org/officeDocument/2006/relationships/hyperlink" Target="https://courses.fidme.com/offre/9919edc3-526d-4527-9e93-2e86e4dea341" TargetMode="External" Id="rId1020" /><Relationship Type="http://schemas.openxmlformats.org/officeDocument/2006/relationships/hyperlink" Target="https://courses.fidme.com/offre/3feb35b8-363d-43ad-b308-f243c6b41a87" TargetMode="External" Id="rId1021" /><Relationship Type="http://schemas.openxmlformats.org/officeDocument/2006/relationships/hyperlink" Target="https://courses.fidme.com/offre/b9d3dce9-2bad-44c6-b508-4bd1301a4ab7" TargetMode="External" Id="rId1022" /><Relationship Type="http://schemas.openxmlformats.org/officeDocument/2006/relationships/hyperlink" Target="https://courses.fidme.com/offre/bbb9bc57-a4bc-4e33-a0d7-a81ca03ff507" TargetMode="External" Id="rId1023" /><Relationship Type="http://schemas.openxmlformats.org/officeDocument/2006/relationships/hyperlink" Target="https://courses.fidme.com/offre/de746817-cd59-4a7b-b679-daf97e101451" TargetMode="External" Id="rId1024" /><Relationship Type="http://schemas.openxmlformats.org/officeDocument/2006/relationships/hyperlink" Target="https://courses.fidme.com/offre/8f335cce-a2fd-494b-ad7c-b059eb8ad2fa" TargetMode="External" Id="rId1025" /><Relationship Type="http://schemas.openxmlformats.org/officeDocument/2006/relationships/hyperlink" Target="https://courses.fidme.com/offre/6466e0bc-186c-4234-8fe6-d605c8367891" TargetMode="External" Id="rId1026" /><Relationship Type="http://schemas.openxmlformats.org/officeDocument/2006/relationships/hyperlink" Target="https://courses.fidme.com/offre/a698f616-9414-40e2-bdf5-446c144bd61d" TargetMode="External" Id="rId1027" /><Relationship Type="http://schemas.openxmlformats.org/officeDocument/2006/relationships/hyperlink" Target="https://courses.fidme.com/offre/fc8ba692-11e1-4878-946d-5db6582187ab" TargetMode="External" Id="rId1028" /><Relationship Type="http://schemas.openxmlformats.org/officeDocument/2006/relationships/hyperlink" Target="https://courses.fidme.com/offre/fa3c6e0d-71e1-47b8-aca2-68bad147a579" TargetMode="External" Id="rId1029" /><Relationship Type="http://schemas.openxmlformats.org/officeDocument/2006/relationships/hyperlink" Target="https://courses.fidme.com/offre/4a68be59-b53e-4623-8046-c70193d30d2a" TargetMode="External" Id="rId1030" /><Relationship Type="http://schemas.openxmlformats.org/officeDocument/2006/relationships/hyperlink" Target="https://courses.fidme.com/offre/16c49d2a-e2c5-49b0-825f-60ca722bd207?mtm_campaign=testGEA_lemrock_2026-08&amp;mtm_kwd=GEA&amp;mtm_medium=paid_GEA_lemrock&amp;mtm_content=bjorg" TargetMode="External" Id="rId1031" /><Relationship Type="http://schemas.openxmlformats.org/officeDocument/2006/relationships/hyperlink" Target="https://courses.fidme.com/offre/9d959300-80d6-405f-9688-a49cda08010e?mtm_campaign=testGEA_lemrock_2026-08&amp;mtm_kwd=GEA&amp;mtm_medium=paid_GEA_lemrock&amp;mtm_content=lipton" TargetMode="External" Id="rId1032" /><Relationship Type="http://schemas.openxmlformats.org/officeDocument/2006/relationships/hyperlink" Target="https://courses.fidme.com/offre/024f9b29-cac9-4f1a-94e5-ed6a84448c3b?mtm_campaign=testGEA_lemrock_2026-08&amp;mtm_kwd=GEA&amp;mtm_medium=paid_GEA_lemrock&amp;mtm_content=poulain" TargetMode="External" Id="rId1033" /><Relationship Type="http://schemas.openxmlformats.org/officeDocument/2006/relationships/hyperlink" Target="https://courses.fidme.com/offre/48247382-4106-4c74-9491-d6cf088b4c98?mtm_campaign=testGEA_lemrock_2026-08&amp;mtm_kwd=GEA&amp;mtm_medium=paid_GEA_lemrock&amp;mtm_content=oasis" TargetMode="External" Id="rId1034" /><Relationship Type="http://schemas.openxmlformats.org/officeDocument/2006/relationships/hyperlink" Target="https://courses.fidme.com/offre/2f862056-f2d5-48bf-b411-c73e3a97712f?mtm_campaign=testGEA_lemrock_2026-08&amp;mtm_kwd=GEA&amp;mtm_medium=paid_GEA_lemrock&amp;mtm_content=coca-cola" TargetMode="External" Id="rId1035" /><Relationship Type="http://schemas.openxmlformats.org/officeDocument/2006/relationships/hyperlink" Target="https://courses.fidme.com/offre/c09bab58-9310-4a70-bb4d-e97730d27e20?mtm_campaign=testGEA_lemrock_2026-08&amp;mtm_kwd=GEA&amp;mtm_medium=paid_GEA_lemrock&amp;mtm_content=tropicana" TargetMode="External" Id="rId1036" /><Relationship Type="http://schemas.openxmlformats.org/officeDocument/2006/relationships/hyperlink" Target="https://courses.fidme.com/offre/fa6f6359-5639-47d7-91b3-ead284e137a7?mtm_campaign=testGEA_lemrock_2026-08&amp;mtm_kwd=GEA&amp;mtm_medium=paid_GEA_lemrock&amp;mtm_content=starbucks" TargetMode="External" Id="rId1037" /><Relationship Type="http://schemas.openxmlformats.org/officeDocument/2006/relationships/hyperlink" Target="https://courses.fidme.com/offre/6cf4f4be-495a-4708-bd3a-6bdd1784e8c8?mtm_campaign=testGEA_lemrock_2026-08&amp;mtm_kwd=GEA&amp;mtm_medium=paid_GEA_lemrock&amp;mtm_content=monster" TargetMode="External" Id="rId1038" /><Relationship Type="http://schemas.openxmlformats.org/officeDocument/2006/relationships/hyperlink" Target="https://courses.fidme.com/offre/e9d6b112-8bad-444e-ac50-a9d568185bf3?mtm_campaign=testGEA_lemrock_2026-08&amp;mtm_kwd=GEA&amp;mtm_medium=paid_GEA_lemrock&amp;mtm_content=canada-dry" TargetMode="External" Id="rId1039" /><Relationship Type="http://schemas.openxmlformats.org/officeDocument/2006/relationships/hyperlink" Target="https://www.pourdebon.com/colis-raviolis-boeuf-carotte-4x250g-p16671?utm_source=partenaire&amp;utm_medium=Lemrock&amp;utm_content=Lemrock&amp;utm_campaign=Lemrock" TargetMode="External" Id="rId1040" /><Relationship Type="http://schemas.openxmlformats.org/officeDocument/2006/relationships/hyperlink" Target="https://www.pourdebon.com/huitres-gratinees-au-champagne-et-a-l-orange-4-pieces-p11038?utm_source=partenaire&amp;utm_medium=Lemrock&amp;utm_content=Lemrock&amp;utm_campaign=Lemrock" TargetMode="External" Id="rId1041" /><Relationship Type="http://schemas.openxmlformats.org/officeDocument/2006/relationships/hyperlink" Target="https://www.pourdebon.com/pain-d-epices-au-miel-p4631" TargetMode="External" Id="rId1042" /><Relationship Type="http://schemas.openxmlformats.org/officeDocument/2006/relationships/hyperlink" Target="https://www.pourdebon.com/fromage-blanc-frais-lisse-7-50cl-p203" TargetMode="External" Id="rId1043" /><Relationship Type="http://schemas.openxmlformats.org/officeDocument/2006/relationships/hyperlink" Target="https://www.pourdebon.com/farz-gwiniszh-du-ou-pain-breton-au-sarrasin-p5128" TargetMode="External" Id="rId1044" /><Relationship Type="http://schemas.openxmlformats.org/officeDocument/2006/relationships/hyperlink" Target="https://www.pourdebon.com/roti-de-veau-bio-dans-l-epaule-race-limousine-500g-p2454" TargetMode="External" Id="rId1045" /><Relationship Type="http://schemas.openxmlformats.org/officeDocument/2006/relationships/hyperlink" Target="https://www.pourdebon.com/saveurs-divines-fraise-mara-des-bois-champagne-p608?utm_source=partenaire&amp;utm_medium=Lemrock&amp;utm_content=Lemrock&amp;utm_campaign=Lemrock" TargetMode="External" Id="rId1046" /><Relationship Type="http://schemas.openxmlformats.org/officeDocument/2006/relationships/hyperlink" Target="https://www.pourdebon.com/confit-de-2-magrets-de-canard-p4484?utm_source=partenaire&amp;utm_medium=Lemrock&amp;utm_content=Lemrock&amp;utm_campaign=Lemrock" TargetMode="External" Id="rId1047" /><Relationship Type="http://schemas.openxmlformats.org/officeDocument/2006/relationships/hyperlink" Target="https://www.pourdebon.com/champagne-deneufchatel-brut-tradition-1-x-75-cl-p9473?utm_source=partenaire&amp;utm_medium=Lemrock&amp;utm_content=Lemrock&amp;utm_campaign=Lemrock" TargetMode="External" Id="rId1048" /><Relationship Type="http://schemas.openxmlformats.org/officeDocument/2006/relationships/hyperlink" Target="https://www.pourdebon.com/terrine-de-jambonneau-tranchee-p9700?utm_source=partenaire&amp;utm_medium=Lemrock&amp;utm_content=Lemrock&amp;utm_campaign=Lemrock" TargetMode="External" Id="rId1049" /><Relationship Type="http://schemas.openxmlformats.org/officeDocument/2006/relationships/hyperlink" Target="https://www.pourdebon.com/yaourts-bi-couche-fraise-4-pots-p8685?utm_source=partenaire&amp;utm_medium=Lemrock&amp;utm_content=Lemrock&amp;utm_campaign=Lemrock" TargetMode="External" Id="rId1050" /><Relationship Type="http://schemas.openxmlformats.org/officeDocument/2006/relationships/hyperlink" Target="https://www.pourdebon.com/roule-de-magret-fume-au-foie-gras-p11865?utm_source=partenaire&amp;utm_medium=Lemrock&amp;utm_content=Lemrock&amp;utm_campaign=Lemrock" TargetMode="External" Id="rId1051" /><Relationship Type="http://schemas.openxmlformats.org/officeDocument/2006/relationships/hyperlink" Target="https://www.pourdebon.com/assortiment-festif-pruneaux-et-chocolats-mini-cagette-gourmande-400g-p15148?utm_source=partenaire&amp;utm_medium=Lemrock&amp;utm_content=Lemrock&amp;utm_campaign=Lemrock" TargetMode="External" Id="rId1052" /><Relationship Type="http://schemas.openxmlformats.org/officeDocument/2006/relationships/hyperlink" Target="https://www.pourdebon.com/petit-pot-de-creme-chocolat-p16232?utm_source=partenaire&amp;utm_medium=Lemrock&amp;utm_content=Lemrock&amp;utm_campaign=Lemrock" TargetMode="External" Id="rId1053" /><Relationship Type="http://schemas.openxmlformats.org/officeDocument/2006/relationships/hyperlink" Target="https://www.pourdebon.com/fondant-de-saumon-au-miel-p4429?utm_source=partenaire&amp;utm_medium=Lemrock&amp;utm_content=Lemrock&amp;utm_campaign=Lemrock" TargetMode="External" Id="rId1054" /><Relationship Type="http://schemas.openxmlformats.org/officeDocument/2006/relationships/hyperlink" Target="https://www.pourdebon.com/roti-de-veau-dans-la-noix-de-veau-bio-race-limousine-1-kg-p2455" TargetMode="External" Id="rId1055" /><Relationship Type="http://schemas.openxmlformats.org/officeDocument/2006/relationships/hyperlink" Target="https://www.pourdebon.com/comte-12-mois-aop-p151" TargetMode="External" Id="rId1056" /><Relationship Type="http://schemas.openxmlformats.org/officeDocument/2006/relationships/hyperlink" Target="https://www.pourdebon.com/clementine-aux-saveurs-de-pain-d-epices-p633" TargetMode="External" Id="rId1057" /><Relationship Type="http://schemas.openxmlformats.org/officeDocument/2006/relationships/hyperlink" Target="https://www.pourdebon.com/colis-raviolis-boeuf-carotte-4x250g-p16671?utm_source=partenaire&amp;utm_medium=Lemrock&amp;utm_content=Lemrock&amp;utm_campaign=Lemrock" TargetMode="External" Id="rId1058" /><Relationship Type="http://schemas.openxmlformats.org/officeDocument/2006/relationships/hyperlink" Target="https://www.pourdebon.com/pates-fraiches-c74" TargetMode="External" Id="rId1059" /><Relationship Type="http://schemas.openxmlformats.org/officeDocument/2006/relationships/hyperlink" Target="https://www.pourdebon.com/fromage-frais-aux-fruits-assortiment-de-4-p206" TargetMode="External" Id="rId1060" /><Relationship Type="http://schemas.openxmlformats.org/officeDocument/2006/relationships/hyperlink" Target="https://www.pourdebon.com/coffret-cadeau-champagne-et-safran-p9412?utm_source=partenaire&amp;utm_medium=Lemrock&amp;utm_content=Lemrock&amp;utm_campaign=Lemrock" TargetMode="External" Id="rId1061" /><Relationship Type="http://schemas.openxmlformats.org/officeDocument/2006/relationships/hyperlink" Target="https://www.pourdebon.com/yaourts-au-lait-cru-de-vache-parfums-panaches-natures-x3-vanille-x3-abricot-x3-fraise-x3-p13837?utm_source=partenaire&amp;utm_medium=Lemrock&amp;utm_content=Lemrock&amp;utm_campaign=Lemrock" TargetMode="External" Id="rId1062" /><Relationship Type="http://schemas.openxmlformats.org/officeDocument/2006/relationships/hyperlink" Target="https://www.pourdebon.com/coffret-degustation-de-champagne-p11676?utm_source=partenaire&amp;utm_medium=Lemrock&amp;utm_content=Lemrock&amp;utm_campaign=Lemrock" TargetMode="External" Id="rId1063" /><Relationship Type="http://schemas.openxmlformats.org/officeDocument/2006/relationships/hyperlink" Target="https://www.pourdebon.com/magrets-de-canard-confits-cuisines-aux-haricots-tarbais-label-rouge-p4489?utm_source=partenaire&amp;utm_medium=Lemrock&amp;utm_content=Lemrock&amp;utm_campaign=Lemrock" TargetMode="External" Id="rId1064" /><Relationship Type="http://schemas.openxmlformats.org/officeDocument/2006/relationships/hyperlink" Target="https://www.pourdebon.com/coffret-cadeau-champagne-et-safran-p9412?utm_source=partenaire&amp;utm_medium=Lemrock&amp;utm_content=Lemrock&amp;utm_campaign=Lemrock" TargetMode="External" Id="rId1065" /><Relationship Type="http://schemas.openxmlformats.org/officeDocument/2006/relationships/hyperlink" Target="https://www.pourdebon.com/filet-de-truite-saumonee-lot-de-1-kg-p7100?utm_source=partenaire&amp;utm_medium=Lemrock&amp;utm_content=Lemrock&amp;utm_campaign=Lemrock" TargetMode="External" Id="rId1066" /><Relationship Type="http://schemas.openxmlformats.org/officeDocument/2006/relationships/hyperlink" Target="https://www.pourdebon.com/cafes-thes-et-infusions-c69" TargetMode="External" Id="rId1067" /><Relationship Type="http://schemas.openxmlformats.org/officeDocument/2006/relationships/hyperlink" Target="https://www.pourdebon.com/coffret-prestige-terrines-pates-jambon-tranche-irouleguy-p10117?utm_source=partenaire&amp;utm_medium=Lemrock&amp;utm_content=Lemrock&amp;utm_campaign=Lemrock" TargetMode="External" Id="rId1068" /><Relationship Type="http://schemas.openxmlformats.org/officeDocument/2006/relationships/hyperlink" Target="https://www.pourdebon.com/coffret-degustation-de-champagne-p11676?utm_source=partenaire&amp;utm_medium=Lemrock&amp;utm_content=Lemrock&amp;utm_campaign=Lemrock" TargetMode="External" Id="rId1069" /><Relationship Type="http://schemas.openxmlformats.org/officeDocument/2006/relationships/hyperlink" Target="https://www.pourdebon.com/pave-de-truite-saumonee-lot-de-1-kg-p7106?utm_source=partenaire&amp;utm_medium=Lemrock&amp;utm_content=Lemrock&amp;utm_campaign=Lemrock" TargetMode="External" Id="rId1070" /><Relationship Type="http://schemas.openxmlformats.org/officeDocument/2006/relationships/hyperlink" Target="https://www.pourdebon.com/assortiment-festif-pruneaux-et-chocolats-mini-cagette-gourmande-400g-p15148?utm_source=partenaire&amp;utm_medium=Lemrock&amp;utm_content=Lemrock&amp;utm_campaign=Lemrock" TargetMode="External" Id="rId1071" /><Relationship Type="http://schemas.openxmlformats.org/officeDocument/2006/relationships/hyperlink" Target="https://www.pourdebon.com/terrine-de-magret-de-canard-au-foie-gras-100g-p369?utm_source=partenaire&amp;utm_medium=Lemrock&amp;utm_content=Lemrock&amp;utm_campaign=Lemrock" TargetMode="External" Id="rId1072" /><Relationship Type="http://schemas.openxmlformats.org/officeDocument/2006/relationships/hyperlink" Target="https://www.pourdebon.com/yaourt-aux-fruits-fraise-p5544?utm_source=partenaire&amp;utm_medium=Lemrock&amp;utm_content=Lemrock&amp;utm_campaign=Lemrock" TargetMode="External" Id="rId1073" /><Relationship Type="http://schemas.openxmlformats.org/officeDocument/2006/relationships/hyperlink" Target="https://www.pourdebon.com/coffret-cadeau-douceurs-de-miel-p15919?utm_source=partenaire&amp;utm_medium=Lemrock&amp;utm_content=Lemrock&amp;utm_campaign=Lemrock" TargetMode="External" Id="rId1074" /><Relationship Type="http://schemas.openxmlformats.org/officeDocument/2006/relationships/hyperlink" Target="https://www.pourdebon.com/yaourt-fraise-brasse-4-125-gr-p8678?utm_source=partenaire&amp;utm_medium=Lemrock&amp;utm_content=Lemrock&amp;utm_campaign=Lemrock" TargetMode="External" Id="rId1075" /><Relationship Type="http://schemas.openxmlformats.org/officeDocument/2006/relationships/hyperlink" Target="https://www.pourdebon.com/terrine-de-pate-au-jambon-180g-p12843?utm_source=partenaire&amp;utm_medium=Lemrock&amp;utm_content=Lemrock&amp;utm_campaign=Lemrock" TargetMode="External" Id="rId1076" /><Relationship Type="http://schemas.openxmlformats.org/officeDocument/2006/relationships/hyperlink" Target="https://www.pourdebon.com/lentillons-de-la-champagne-cuisines-a-la-graisse-d-oie-p17983?utm_source=partenaire&amp;utm_medium=Lemrock&amp;utm_content=Lemrock&amp;utm_campaign=Lemrock" TargetMode="External" Id="rId1077" /><Relationship Type="http://schemas.openxmlformats.org/officeDocument/2006/relationships/hyperlink" Target="https://www.pourdebon.com/coffret-decouverte-de-4-miels-1000g-p3949?utm_source=partenaire&amp;utm_medium=Lemrock&amp;utm_content=Lemrock&amp;utm_campaign=Lemrock" TargetMode="External" Id="rId1078" /><Relationship Type="http://schemas.openxmlformats.org/officeDocument/2006/relationships/hyperlink" Target="https://www.pourdebon.com/coffret-trois-miels-p18856?utm_source=partenaire&amp;utm_medium=Lemrock&amp;utm_content=Lemrock&amp;utm_campaign=Lemrock" TargetMode="External" Id="rId1079" /><Relationship Type="http://schemas.openxmlformats.org/officeDocument/2006/relationships/hyperlink" Target="https://www.pourdebon.com/amandise-450gr-pate-a-tartiner-chocolat-et-eclats-d-amande-p10277?utm_source=partenaire&amp;utm_medium=Lemrock&amp;utm_content=Lemrock&amp;utm_campaign=Lemrock" TargetMode="External" Id="rId1080" /><Relationship Type="http://schemas.openxmlformats.org/officeDocument/2006/relationships/hyperlink" Target="https://www.pourdebon.com/tomates-aubergines-courgettes-poivrons-c79" TargetMode="External" Id="rId1081" /><Relationship Type="http://schemas.openxmlformats.org/officeDocument/2006/relationships/hyperlink" Target="https://www.pourdebon.com/coffret-prestige-terrines-pates-jambon-tranche-irouleguy-p10117?utm_source=partenaire&amp;utm_medium=Lemrock&amp;utm_content=Lemrock&amp;utm_campaign=Lemrock" TargetMode="External" Id="rId1082" /><Relationship Type="http://schemas.openxmlformats.org/officeDocument/2006/relationships/hyperlink" Target="https://www.pourdebon.com/coffret-prestige-terrines-pates-jambon-tranche-irouleguy-p10117?utm_source=partenaire&amp;utm_medium=Lemrock&amp;utm_content=Lemrock&amp;utm_campaign=Lemrock" TargetMode="External" Id="rId1083" /><Relationship Type="http://schemas.openxmlformats.org/officeDocument/2006/relationships/hyperlink" Target="https://www.pourdebon.com/amandise-450g-pate-a-tartiner-chocolat-amande-p10275?utm_source=partenaire&amp;utm_medium=Lemrock&amp;utm_content=Lemrock&amp;utm_campaign=Lemrock" TargetMode="External" Id="rId1084" /><Relationship Type="http://schemas.openxmlformats.org/officeDocument/2006/relationships/hyperlink" Target="https://www.pourdebon.com/coffret-cadeau-champagne-et-safran-p9412?utm_source=partenaire&amp;utm_medium=Lemrock&amp;utm_content=Lemrock&amp;utm_campaign=Lemrock" TargetMode="External" Id="rId1085" /><Relationship Type="http://schemas.openxmlformats.org/officeDocument/2006/relationships/hyperlink" Target="https://www.pourdebon.com/coffret-cadeau-douceurs-de-miel-p15919?utm_source=partenaire&amp;utm_medium=Lemrock&amp;utm_content=Lemrock&amp;utm_campaign=Lemrock" TargetMode="External" Id="rId1086" /><Relationship Type="http://schemas.openxmlformats.org/officeDocument/2006/relationships/hyperlink" Target="https://www.pourdebon.com/35-macarons-camembert-p15276?utm_source=partenaire&amp;utm_medium=Lemrock&amp;utm_content=Lemrock&amp;utm_campaign=Lemrock" TargetMode="External" Id="rId1087" /><Relationship Type="http://schemas.openxmlformats.org/officeDocument/2006/relationships/hyperlink" Target="https://www.pourdebon.com/coffret-trois-miels-p18856?utm_source=partenaire&amp;utm_medium=Lemrock&amp;utm_content=Lemrock&amp;utm_campaign=Lemrock" TargetMode="External" Id="rId1088" /><Relationship Type="http://schemas.openxmlformats.org/officeDocument/2006/relationships/hyperlink" Target="https://www.pourdebon.com/coffret-prestige-terrines-pates-jambon-tranche-irouleguy-p10117?utm_source=partenaire&amp;utm_medium=Lemrock&amp;utm_content=Lemrock&amp;utm_campaign=Lemrock" TargetMode="External" Id="rId1089" /><Relationship Type="http://schemas.openxmlformats.org/officeDocument/2006/relationships/hyperlink" Target="https://www.pourdebon.com/fondant-de-saumon-au-miel-p4429?utm_source=partenaire&amp;utm_medium=Lemrock&amp;utm_content=Lemrock&amp;utm_campaign=Lemrock" TargetMode="External" Id="rId1090" /><Relationship Type="http://schemas.openxmlformats.org/officeDocument/2006/relationships/hyperlink" Target="https://www.pourdebon.com/colis-raviolis-boeuf-carotte-4x250g-p16671?utm_source=partenaire&amp;utm_medium=Lemrock&amp;utm_content=Lemrock&amp;utm_campaign=Lemrock" TargetMode="External" Id="rId1091" /><Relationship Type="http://schemas.openxmlformats.org/officeDocument/2006/relationships/hyperlink" Target="https://www.pourdebon.com/35-macarons-passion-chocolat-p15281?utm_source=partenaire&amp;utm_medium=Lemrock&amp;utm_content=Lemrock&amp;utm_campaign=Lemrock" TargetMode="External" Id="rId1092" /><Relationship Type="http://schemas.openxmlformats.org/officeDocument/2006/relationships/hyperlink" Target="https://www.pourdebon.com/fromage-frais-aux-fruits-assortiment-de-4-p206" TargetMode="External" Id="rId1093" /><Relationship Type="http://schemas.openxmlformats.org/officeDocument/2006/relationships/hyperlink" Target="https://www.pourdebon.com/fromage-blanc-frais-lisse-7-50cl-p203" TargetMode="External" Id="rId1094" /><Relationship Type="http://schemas.openxmlformats.org/officeDocument/2006/relationships/hyperlink" Target="https://www.pourdebon.com/yaourts-bi-couche-fraise-4-pots-p8685?utm_source=partenaire&amp;utm_medium=Lemrock&amp;utm_content=Lemrock&amp;utm_campaign=Lemrock" TargetMode="External" Id="rId1095" /><Relationship Type="http://schemas.openxmlformats.org/officeDocument/2006/relationships/hyperlink" Target="https://www.pourdebon.com/coffret-decouverte-de-4-miels-1000g-p3949?utm_source=partenaire&amp;utm_medium=Lemrock&amp;utm_content=Lemrock&amp;utm_campaign=Lemrock" TargetMode="External" Id="rId1096" /><Relationship Type="http://schemas.openxmlformats.org/officeDocument/2006/relationships/hyperlink" Target="https://www.pourdebon.com/comte-12-mois-aop-p151" TargetMode="External" Id="rId1097" /><Relationship Type="http://schemas.openxmlformats.org/officeDocument/2006/relationships/hyperlink" Target="https://www.pourdebon.com/coffret-degustation-de-champagne-p11676?utm_source=partenaire&amp;utm_medium=Lemrock&amp;utm_content=Lemrock&amp;utm_campaign=Lemrock" TargetMode="External" Id="rId1098" /><Relationship Type="http://schemas.openxmlformats.org/officeDocument/2006/relationships/hyperlink" Target="https://www.pourdebon.com/champagne-deneufchatel-brut-tradition-1-x-75-cl-p9473?utm_source=partenaire&amp;utm_medium=Lemrock&amp;utm_content=Lemrock&amp;utm_campaign=Lemrock" TargetMode="External" Id="rId1099" /><Relationship Type="http://schemas.openxmlformats.org/officeDocument/2006/relationships/hyperlink" Target="https://www.pourdebon.com/coffret-cadeau-champagne-et-safran-p9412?utm_source=partenaire&amp;utm_medium=Lemrock&amp;utm_content=Lemrock&amp;utm_campaign=Lemrock" TargetMode="External" Id="rId1100" /><Relationship Type="http://schemas.openxmlformats.org/officeDocument/2006/relationships/hyperlink" Target="https://www.pourdebon.com/filet-de-truite-saumonee-lot-de-1-kg-p7100?utm_source=partenaire&amp;utm_medium=Lemrock&amp;utm_content=Lemrock&amp;utm_campaign=Lemrock" TargetMode="External" Id="rId1101" /><Relationship Type="http://schemas.openxmlformats.org/officeDocument/2006/relationships/hyperlink" Target="https://www.pourdebon.com/terrine-de-pate-au-jambon-180g-p12843?utm_source=partenaire&amp;utm_medium=Lemrock&amp;utm_content=Lemrock&amp;utm_campaign=Lemrock" TargetMode="External" Id="rId1102" /><Relationship Type="http://schemas.openxmlformats.org/officeDocument/2006/relationships/hyperlink" Target="https://www.pourdebon.com/jus-de-fruits-et-autres-boissons-c48" TargetMode="External" Id="rId1103" /><Relationship Type="http://schemas.openxmlformats.org/officeDocument/2006/relationships/hyperlink" Target="https://www.pourdebon.com/terrine-de-magret-de-canard-au-foie-gras-100g-p369?utm_source=partenaire&amp;utm_medium=Lemrock&amp;utm_content=Lemrock&amp;utm_campaign=Lemrock" TargetMode="External" Id="rId1104" /><Relationship Type="http://schemas.openxmlformats.org/officeDocument/2006/relationships/hyperlink" Target="https://www.pourdebon.com/confit-de-2-magrets-de-canard-p4484?utm_source=partenaire&amp;utm_medium=Lemrock&amp;utm_content=Lemrock&amp;utm_campaign=Lemrock" TargetMode="External" Id="rId1105" /><Relationship Type="http://schemas.openxmlformats.org/officeDocument/2006/relationships/hyperlink" Target="https://www.pourdebon.com/yaourts-au-lait-cru-de-vache-parfums-panaches-natures-x3-vanille-x3-abricot-x3-fraise-x3-p13837?utm_source=partenaire&amp;utm_medium=Lemrock&amp;utm_content=Lemrock&amp;utm_campaign=Lemrock" TargetMode="External" Id="rId1106" /><Relationship Type="http://schemas.openxmlformats.org/officeDocument/2006/relationships/hyperlink" Target="https://www.pourdebon.com/coffret-degustation-de-champagne-p11676?utm_source=partenaire&amp;utm_medium=Lemrock&amp;utm_content=Lemrock&amp;utm_campaign=Lemrock" TargetMode="External" Id="rId1107" /><Relationship Type="http://schemas.openxmlformats.org/officeDocument/2006/relationships/hyperlink" Target="https://www.pourdebon.com/pave-de-truite-saumonee-lot-de-1-kg-p7106?utm_source=partenaire&amp;utm_medium=Lemrock&amp;utm_content=Lemrock&amp;utm_campaign=Lemrock" TargetMode="External" Id="rId1108" /><Relationship Type="http://schemas.openxmlformats.org/officeDocument/2006/relationships/hyperlink" Target="https://www.pourdebon.com/filet-de-truite-saumonee-lot-de-1-kg-p7100?utm_source=partenaire&amp;utm_medium=Lemrock&amp;utm_content=Lemrock&amp;utm_campaign=Lemrock" TargetMode="External" Id="rId1109" /><Relationship Type="http://schemas.openxmlformats.org/officeDocument/2006/relationships/hyperlink" Target="https://www.pourdebon.com/colis-raviolis-boeuf-carotte-4x250g-p16671?utm_source=partenaire&amp;utm_medium=Lemrock&amp;utm_content=Lemrock&amp;utm_campaign=Lemrock" TargetMode="External" Id="rId1110" /><Relationship Type="http://schemas.openxmlformats.org/officeDocument/2006/relationships/hyperlink" Target="https://www.pourdebon.com/condiments-et-sauces-c43" TargetMode="External" Id="rId1111" /><Relationship Type="http://schemas.openxmlformats.org/officeDocument/2006/relationships/hyperlink" Target="https://www.pourdebon.com/huitres-gratinees-au-champagne-et-a-l-orange-4-pieces-p11038?utm_source=partenaire&amp;utm_medium=Lemrock&amp;utm_content=Lemrock&amp;utm_campaign=Lemrock" TargetMode="External" Id="rId1112" /><Relationship Type="http://schemas.openxmlformats.org/officeDocument/2006/relationships/hyperlink" Target="https://www.pourdebon.com/roti-de-veau-bio-dans-l-epaule-race-limousine-500g-p2454" TargetMode="External" Id="rId1113" /><Relationship Type="http://schemas.openxmlformats.org/officeDocument/2006/relationships/hyperlink" Target="https://www.pourdebon.com/pommes-poires-c77" TargetMode="External" Id="rId1114" /><Relationship Type="http://schemas.openxmlformats.org/officeDocument/2006/relationships/hyperlink" Target="https://www.pourdebon.com/poissons-fumes-et-marines-c12" TargetMode="External" Id="rId1115" /><Relationship Type="http://schemas.openxmlformats.org/officeDocument/2006/relationships/hyperlink" Target="https://www.pourdebon.com/pates-riz-et-autres-feculents-c44" TargetMode="External" Id="rId1116" /><Relationship Type="http://schemas.openxmlformats.org/officeDocument/2006/relationships/hyperlink" Target="https://www.pourdebon.com/rillettes-et-tartinables-de-poisson-c81" TargetMode="External" Id="rId1117" /><Relationship Type="http://schemas.openxmlformats.org/officeDocument/2006/relationships/hyperlink" Target="https://www.pourdebon.com/biscuits-et-gateaux-individuels-c90" TargetMode="External" Id="rId1118" /><Relationship Type="http://schemas.openxmlformats.org/officeDocument/2006/relationships/hyperlink" Target="https://www.pourdebon.com/plateaux-de-fruits-de-mer-c55" TargetMode="External" Id="rId1119" /><Relationship Type="http://schemas.openxmlformats.org/officeDocument/2006/relationships/hyperlink" Target="https://www.pourdebon.com/boissons-c60" TargetMode="External" Id="rId1120" /><Relationship Type="http://schemas.openxmlformats.org/officeDocument/2006/relationships/hyperlink" Target="https://www.pourdebon.com/oeufs-c66" TargetMode="External" Id="rId1121" /><Relationship Type="http://schemas.openxmlformats.org/officeDocument/2006/relationships/hyperlink" Target="https://www.pourdebon.com/conserves-et-soupes-de-poisson-c82" TargetMode="External" Id="rId1122" /><Relationship Type="http://schemas.openxmlformats.org/officeDocument/2006/relationships/hyperlink" Target="https://www.pourdebon.com/carottes-navets-poireaux-choux-c80" TargetMode="External" Id="rId1123" /><Relationship Type="http://schemas.openxmlformats.org/officeDocument/2006/relationships/hyperlink" Target="https://www.pourdebon.com/fruits-rouges-c52" TargetMode="External" Id="rId1124" /><Relationship Type="http://schemas.openxmlformats.org/officeDocument/2006/relationships/hyperlink" Target="https://www.pourdebon.com/epicerie-salee-c19" TargetMode="External" Id="rId1125" /><Relationship Type="http://schemas.openxmlformats.org/officeDocument/2006/relationships/hyperlink" Target="https://www.pourdebon.com/legumes-sous-vide-c85" TargetMode="External" Id="rId1126" /><Relationship Type="http://schemas.openxmlformats.org/officeDocument/2006/relationships/hyperlink" Target="https://www.pourdebon.com/fruits-en-conserve-c93" TargetMode="External" Id="rId1127" /><Relationship Type="http://schemas.openxmlformats.org/officeDocument/2006/relationships/hyperlink" Target="https://www.pourdebon.com/aperitifs-et-biscuits-sales-c46" TargetMode="External" Id="rId1128" /><Relationship Type="http://schemas.openxmlformats.org/officeDocument/2006/relationships/hyperlink" Target="https://www.pourdebon.com/fruits-de-mer-c70" TargetMode="External" Id="rId1129" /><Relationship Type="http://schemas.openxmlformats.org/officeDocument/2006/relationships/hyperlink" Target="https://www.pourdebon.com/sel-poivre-et-epices-c31" TargetMode="External" Id="rId1130" /><Relationship Type="http://schemas.openxmlformats.org/officeDocument/2006/relationships/hyperlink" Target="https://www.pourdebon.com/algues-alimentaires-c98" TargetMode="External" Id="rId1131" /><Relationship Type="http://schemas.openxmlformats.org/officeDocument/2006/relationships/hyperlink" Target="https://www.pourdebon.com/confiseries-et-chocolats-c30" TargetMode="External" Id="rId1132" /><Relationship Type="http://schemas.openxmlformats.org/officeDocument/2006/relationships/hyperlink" Target="https://www.pourdebon.com/sucres-farines-et-levures-c47" TargetMode="External" Id="rId1133" /><Relationship Type="http://schemas.openxmlformats.org/officeDocument/2006/relationships/hyperlink" Target="https://www.pourdebon.com/epicerie-sucree-c20" TargetMode="External" Id="rId1134" /><Relationship Type="http://schemas.openxmlformats.org/officeDocument/2006/relationships/hyperlink" Target="https://www.pourdebon.com/poissons-frais-c71" TargetMode="External" Id="rId1135" /><Relationship Type="http://schemas.openxmlformats.org/officeDocument/2006/relationships/hyperlink" Target="https://www.pourdebon.com/poissons-et-fruits-de-mer-c61" TargetMode="External" Id="rId1136" /><Relationship Type="http://schemas.openxmlformats.org/officeDocument/2006/relationships/hyperlink" Target="https://www.pourdebon.com/huiles-et-vinaigres-c42" TargetMode="External" Id="rId1137" /><Relationship Type="http://schemas.openxmlformats.org/officeDocument/2006/relationships/hyperlink" Target="https://www.pourdebon.com/fruits-secs-c92" TargetMode="External" Id="rId1138" /><Relationship Type="http://schemas.openxmlformats.org/officeDocument/2006/relationships/hyperlink" Target="https://www.pourdebon.com/glaces-c41" TargetMode="External" Id="rId1139" /><Relationship Type="http://schemas.openxmlformats.org/officeDocument/2006/relationships/hyperlink" Target="https://www.pourdebon.com/pommes-de-terre-c78" TargetMode="External" Id="rId1140" /><Relationship Type="http://schemas.openxmlformats.org/officeDocument/2006/relationships/hyperlink" Target="https://www.pourdebon.com/bieres-c36" TargetMode="External" Id="rId1141" /><Relationship Type="http://schemas.openxmlformats.org/officeDocument/2006/relationships/hyperlink" Target="https://www.pourdebon.com/laits-c63" TargetMode="External" Id="rId1142" /><Relationship Type="http://schemas.openxmlformats.org/officeDocument/2006/relationships/hyperlink" Target="https://www.pourdebon.com/saucisses-boudins-et-andouillettes-c5" TargetMode="External" Id="rId1143" /><Relationship Type="http://schemas.openxmlformats.org/officeDocument/2006/relationships/hyperlink" Target="https://www.pourdebon.com/confitures-miels-et-pates-a-tartiner-c32" TargetMode="External" Id="rId1144" /><Relationship Type="http://schemas.openxmlformats.org/officeDocument/2006/relationships/hyperlink" Target="https://www.pourdebon.com/fruits-exotiques-c51" TargetMode="External" Id="rId1145" /><Relationship Type="http://schemas.openxmlformats.org/officeDocument/2006/relationships/hyperlink" Target="https://www.pourdebon.com/cremes-mousses-et-compotes-c91" TargetMode="External" Id="rId1146" /><Relationship Type="http://schemas.openxmlformats.org/officeDocument/2006/relationships/hyperlink" Target="https://www.pourdebon.com/roti-de-veau-bio-dans-l-epaule-race-limousine-500g-p2454" TargetMode="External" Id="rId1147" /><Relationship Type="http://schemas.openxmlformats.org/officeDocument/2006/relationships/hyperlink" Target="https://www.pourdebon.com/yaourts-bi-couche-fraise-4-pots-p8685?utm_source=partenaire&amp;utm_medium=Lemrock&amp;utm_content=Lemrock&amp;utm_campaign=Lemrock" TargetMode="External" Id="rId1148" /><Relationship Type="http://schemas.openxmlformats.org/officeDocument/2006/relationships/hyperlink" Target="https://www.pourdebon.com/fruits-et-legumes-c58" TargetMode="External" Id="rId1149" /><Relationship Type="http://schemas.openxmlformats.org/officeDocument/2006/relationships/hyperlink" Target="https://www.pourdebon.com/legumes-secs-c88" TargetMode="External" Id="rId1150" /><Relationship Type="http://schemas.openxmlformats.org/officeDocument/2006/relationships/hyperlink" Target="https://www.pourdebon.com/35-macarons-camembert-p15276?utm_source=partenaire&amp;utm_medium=Lemrock&amp;utm_content=Lemrock&amp;utm_campaign=Lemrock" TargetMode="External" Id="rId1151" /><Relationship Type="http://schemas.openxmlformats.org/officeDocument/2006/relationships/hyperlink" Target="https://www.pourdebon.com/porc-c25" TargetMode="External" Id="rId1152" /><Relationship Type="http://schemas.openxmlformats.org/officeDocument/2006/relationships/hyperlink" Target="https://www.pourdebon.com/caviar-et-oeufs-de-poisson-c56" TargetMode="External" Id="rId1153" /><Relationship Type="http://schemas.openxmlformats.org/officeDocument/2006/relationships/hyperlink" Target="https://www.pourdebon.com/fromages-c3" TargetMode="External" Id="rId1154" /><Relationship Type="http://schemas.openxmlformats.org/officeDocument/2006/relationships/hyperlink" Target="https://www.pourdebon.com/vins-de-fruits-c96" TargetMode="External" Id="rId1155" /><Relationship Type="http://schemas.openxmlformats.org/officeDocument/2006/relationships/hyperlink" Target="https://www.pourdebon.com/boeuf-c23" TargetMode="External" Id="rId1156" /><Relationship Type="http://schemas.openxmlformats.org/officeDocument/2006/relationships/hyperlink" Target="https://www.pourdebon.com/yaourts-au-lait-cru-de-vache-parfums-panaches-natures-x3-vanille-x3-abricot-x3-fraise-x3-p13837?utm_source=partenaire&amp;utm_medium=Lemrock&amp;utm_content=Lemrock&amp;utm_campaign=Lemrock" TargetMode="External" Id="rId1157" /><Relationship Type="http://schemas.openxmlformats.org/officeDocument/2006/relationships/hyperlink" Target="https://www.pourdebon.com/plateaux-de-fromages-c16" TargetMode="External" Id="rId1158" /><Relationship Type="http://schemas.openxmlformats.org/officeDocument/2006/relationships/hyperlink" Target="https://www.pourdebon.com/paniers-de-legumes-c29" TargetMode="External" Id="rId1159" /><Relationship Type="http://schemas.openxmlformats.org/officeDocument/2006/relationships/hyperlink" Target="https://www.pourdebon.com/aperitifs-et-spiritueux-c37" TargetMode="External" Id="rId1160" /><Relationship Type="http://schemas.openxmlformats.org/officeDocument/2006/relationships/hyperlink" Target="https://www.pourdebon.com/autres-fruits-c83" TargetMode="External" Id="rId1161" /><Relationship Type="http://schemas.openxmlformats.org/officeDocument/2006/relationships/hyperlink" Target="https://www.pourdebon.com/fromages-frais-et-yaourts-c67" TargetMode="External" Id="rId1162" /><Relationship Type="http://schemas.openxmlformats.org/officeDocument/2006/relationships/hyperlink" Target="https://www.pourdebon.com/salades-c100" TargetMode="External" Id="rId1163" /><Relationship Type="http://schemas.openxmlformats.org/officeDocument/2006/relationships/hyperlink" Target="https://www.pourdebon.com/gateaux-et-tartes-c89" TargetMode="External" Id="rId1164" /><Relationship Type="http://schemas.openxmlformats.org/officeDocument/2006/relationships/hyperlink" Target="https://www.pourdebon.com/petit-pot-de-creme-chocolat-p16232?utm_source=partenaire&amp;utm_medium=Lemrock&amp;utm_content=Lemrock&amp;utm_campaign=Lemrock" TargetMode="External" Id="rId1165" /><Relationship Type="http://schemas.openxmlformats.org/officeDocument/2006/relationships/hyperlink" Target="https://www.pourdebon.com/agrumes-c50" TargetMode="External" Id="rId1166" /><Relationship Type="http://schemas.openxmlformats.org/officeDocument/2006/relationships/hyperlink" Target="https://www.pourdebon.com/yaourt-aux-fruits-fraise-p5544?utm_source=partenaire&amp;utm_medium=Lemrock&amp;utm_content=Lemrock&amp;utm_campaign=Lemrock" TargetMode="External" Id="rId1167" /><Relationship Type="http://schemas.openxmlformats.org/officeDocument/2006/relationships/hyperlink" Target="https://www.pourdebon.com/brochettes-et-marinades-c101" TargetMode="External" Id="rId1168" /><Relationship Type="http://schemas.openxmlformats.org/officeDocument/2006/relationships/hyperlink" Target="https://www.pourdebon.com/livres-c114" TargetMode="External" Id="rId1169" /><Relationship Type="http://schemas.openxmlformats.org/officeDocument/2006/relationships/hyperlink" Target="https://www.pourdebon.com/yaourt-fraise-brasse-4-125-gr-p8678?utm_source=partenaire&amp;utm_medium=Lemrock&amp;utm_content=Lemrock&amp;utm_campaign=Lemrock" TargetMode="External" Id="rId1170" /><Relationship Type="http://schemas.openxmlformats.org/officeDocument/2006/relationships/hyperlink" Target="https://www.pourdebon.com/asperges-c75" TargetMode="External" Id="rId1171" /><Relationship Type="http://schemas.openxmlformats.org/officeDocument/2006/relationships/hyperlink" Target="https://www.pourdebon.com/cremes-c65" TargetMode="External" Id="rId1172" /><Relationship Type="http://schemas.openxmlformats.org/officeDocument/2006/relationships/hyperlink" Target="https://www.pourdebon.com/legumes-en-conserves-c87" TargetMode="External" Id="rId1173" /><Relationship Type="http://schemas.openxmlformats.org/officeDocument/2006/relationships/hyperlink" Target="https://www.pourdebon.com/autres-legumes-c84" TargetMode="External" Id="rId1174" /><Relationship Type="http://schemas.openxmlformats.org/officeDocument/2006/relationships/hyperlink" Target="https://www.pourdebon.com/gibier-c24" TargetMode="External" Id="rId1175" /><Relationship Type="http://schemas.openxmlformats.org/officeDocument/2006/relationships/hyperlink" Target="https://www.pourdebon.com/soupes-et-veloutes-c99" TargetMode="External" Id="rId1176" /><Relationship Type="http://schemas.openxmlformats.org/officeDocument/2006/relationships/hyperlink" Target="https://www.pourdebon.com/roti-de-veau-dans-la-noix-de-veau-bio-race-limousine-1-kg-p2455" TargetMode="External" Id="rId1177" /><Relationship Type="http://schemas.openxmlformats.org/officeDocument/2006/relationships/hyperlink" Target="https://www.pourdebon.com/cartes-cadeaux-c118" TargetMode="External" Id="rId1178" /><Relationship Type="http://schemas.openxmlformats.org/officeDocument/2006/relationships/hyperlink" Target="https://www.pourdebon.com/moules-plats-c113" TargetMode="External" Id="rId1179" /><Relationship Type="http://schemas.openxmlformats.org/officeDocument/2006/relationships/hyperlink" Target="https://www.pourdebon.com/brioches-et-viennoiseries-c72" TargetMode="External" Id="rId1180" /><Relationship Type="http://schemas.openxmlformats.org/officeDocument/2006/relationships/hyperlink" Target="https://www.pourdebon.com/cidres-c35" TargetMode="External" Id="rId1181" /><Relationship Type="http://schemas.openxmlformats.org/officeDocument/2006/relationships/hyperlink" Target="https://www.pourdebon.com/quiches-tourtes-tartes-et-pizzas-c76" TargetMode="External" Id="rId1182" /><Relationship Type="http://schemas.openxmlformats.org/officeDocument/2006/relationships/hyperlink" Target="https://www.pourdebon.com/plats-prepares-c40" TargetMode="External" Id="rId1183" /><Relationship Type="http://schemas.openxmlformats.org/officeDocument/2006/relationships/hyperlink" Target="https://www.pourdebon.com/vins-petillants-c34" TargetMode="External" Id="rId1184" /><Relationship Type="http://schemas.openxmlformats.org/officeDocument/2006/relationships/hyperlink" Target="https://www.pourdebon.com/aperitifs-et-mignardises-salees-c11" TargetMode="External" Id="rId1185" /><Relationship Type="http://schemas.openxmlformats.org/officeDocument/2006/relationships/hyperlink" Target="https://www.pourdebon.com/vins-c33" TargetMode="External" Id="rId1186" /><Relationship Type="http://schemas.openxmlformats.org/officeDocument/2006/relationships/hyperlink" Target="https://www.pourdebon.com/35-macarons-passion-chocolat-p15281?utm_source=partenaire&amp;utm_medium=Lemrock&amp;utm_content=Lemrock&amp;utm_campaign=Lemrock" TargetMode="External" Id="rId1187" /><Relationship Type="http://schemas.openxmlformats.org/officeDocument/2006/relationships/hyperlink" Target="https://www.pourdebon.com/champignons-c53" TargetMode="External" Id="rId1188" /><Relationship Type="http://schemas.openxmlformats.org/officeDocument/2006/relationships/hyperlink" Target="https://www.pourdebon.com/beurres-et-margarines-c64" TargetMode="External" Id="rId1189" /><Relationship Type="http://schemas.openxmlformats.org/officeDocument/2006/relationships/hyperlink" Target="https://www.pourdebon.com/bouchers-c59" TargetMode="External" Id="rId1190" /><Relationship Type="http://schemas.openxmlformats.org/officeDocument/2006/relationships/hyperlink" Target="https://www.pourdebon.com/textile-c109" TargetMode="External" Id="rId1191" /><Relationship Type="http://schemas.openxmlformats.org/officeDocument/2006/relationships/hyperlink" Target="https://www.pourdebon.com/herbes-et-aromates-c94" TargetMode="External" Id="rId1192" /><Relationship Type="http://schemas.openxmlformats.org/officeDocument/2006/relationships/hyperlink" Target="https://www.pourdebon.com/fruits-c68" TargetMode="External" Id="rId1193" /><Relationship Type="http://schemas.openxmlformats.org/officeDocument/2006/relationships/hyperlink" Target="https://www.pourdebon.com/fromages-et-cremerie-c2" TargetMode="External" Id="rId1194" /><Relationship Type="http://schemas.openxmlformats.org/officeDocument/2006/relationships/hyperlink" Target="https://www.pourdebon.com/pains-c73" TargetMode="External" Id="rId1195" /><Relationship Type="http://schemas.openxmlformats.org/officeDocument/2006/relationships/hyperlink" Target="https://www.pourdebon.com/decoupe-c112" TargetMode="External" Id="rId1196" /><Relationship Type="http://schemas.openxmlformats.org/officeDocument/2006/relationships/hyperlink" Target="https://www.pourdebon.com/carafes-verres-c108" TargetMode="External" Id="rId1197" /><Relationship Type="http://schemas.openxmlformats.org/officeDocument/2006/relationships/hyperlink" Target="https://www.pourdebon.com/salades-traiteur-c15" TargetMode="External" Id="rId1198" /><Relationship Type="http://schemas.openxmlformats.org/officeDocument/2006/relationships/hyperlink" Target="https://www.pourdebon.com/veaux-c26" TargetMode="External" Id="rId1199" /><Relationship Type="http://schemas.openxmlformats.org/officeDocument/2006/relationships/hyperlink" Target="https://www.pourdebon.com/chevre-et-chevreau-c95" TargetMode="External" Id="rId1200" /><Relationship Type="http://schemas.openxmlformats.org/officeDocument/2006/relationships/hyperlink" Target="https://www.pourdebon.com/oignons-ails-et-echalotes-c62" TargetMode="External" Id="rId1201" /><Relationship Type="http://schemas.openxmlformats.org/officeDocument/2006/relationships/hyperlink" Target="https://www.pourdebon.com/arts-table-c103" TargetMode="External" Id="rId1202" /><Relationship Type="http://schemas.openxmlformats.org/officeDocument/2006/relationships/hyperlink" Target="https://www.pourdebon.com/pates-rillettes-terrines-et-mousses-c6" TargetMode="External" Id="rId1203" /><Relationship Type="http://schemas.openxmlformats.org/officeDocument/2006/relationships/hyperlink" Target="https://www.pourdebon.com/volailles-c28" TargetMode="External" Id="rId1204" /><Relationship Type="http://schemas.openxmlformats.org/officeDocument/2006/relationships/hyperlink" Target="https://www.pourdebon.com/agneaux-et-moutons-c54" TargetMode="External" Id="rId1205" /><Relationship Type="http://schemas.openxmlformats.org/officeDocument/2006/relationships/hyperlink" Target="https://www.pourdebon.com/autres-viandes-c115" TargetMode="External" Id="rId1206" /><Relationship Type="http://schemas.openxmlformats.org/officeDocument/2006/relationships/hyperlink" Target="https://www.pourdebon.com/vaisselles-c105" TargetMode="External" Id="rId1207" /><Relationship Type="http://schemas.openxmlformats.org/officeDocument/2006/relationships/hyperlink" Target="https://www.pourdebon.com/accessoires-c111" TargetMode="External" Id="rId1208" /><Relationship Type="http://schemas.openxmlformats.org/officeDocument/2006/relationships/hyperlink" Target="https://www.pourdebon.com/escargots-c18" TargetMode="External" Id="rId1209" /><Relationship Type="http://schemas.openxmlformats.org/officeDocument/2006/relationships/hyperlink" Target="https://www.pourdebon.com/poulet-et-autre-volaille-c116" TargetMode="External" Id="rId1210" /><Relationship Type="http://schemas.openxmlformats.org/officeDocument/2006/relationships/hyperlink" Target="https://www.pourdebon.com/canard-et-oie-c117" TargetMode="External" Id="rId1211" /><Relationship Type="http://schemas.openxmlformats.org/officeDocument/2006/relationships/hyperlink" Target="https://www.pourdebon.com/specialites-canards-et-oies-c45" TargetMode="External" Id="rId1212" /><Relationship Type="http://schemas.openxmlformats.org/officeDocument/2006/relationships/hyperlink" Target="https://www.pourdebon.com/ustensiles-c104" TargetMode="External" Id="rId1213" /><Relationship Type="http://schemas.openxmlformats.org/officeDocument/2006/relationships/hyperlink" Target="https://www.pourdebon.com/foies-gras-crus-et-transformes-c86" TargetMode="External" Id="rId1214" /><Relationship Type="http://schemas.openxmlformats.org/officeDocument/2006/relationships/hyperlink" Target="https://www.pourdebon.com/saucissons-et-autres-specialites-seches-c9" TargetMode="External" Id="rId1215" /><Relationship Type="http://schemas.openxmlformats.org/officeDocument/2006/relationships/hyperlink" Target="https://www.pourdebon.com/jambons-poitrines-et-lards-c8" TargetMode="External" Id="rId1216" /><Relationship Type="http://schemas.openxmlformats.org/officeDocument/2006/relationships/hyperlink" Target="https://www.pourdebon.com/plats-traiteurs-c10" TargetMode="External" Id="rId1217" /><Relationship Type="http://schemas.openxmlformats.org/officeDocument/2006/relationships/hyperlink" Target="https://www.pourdebon.com/assiettes-c106" TargetMode="External" Id="rId1218" /><Relationship Type="http://schemas.openxmlformats.org/officeDocument/2006/relationships/hyperlink" Target="https://www.pourdebon.com/ballottines-et-galantines-c7" TargetMode="External" Id="rId1219" /><Relationship Type="http://schemas.openxmlformats.org/officeDocument/2006/relationships/hyperlink" Target="https://www.pourdebon.com/plats-en-bocaux-c38" TargetMode="External" Id="rId1220" /><Relationship Type="http://schemas.openxmlformats.org/officeDocument/2006/relationships/hyperlink" Target="https://www.pourdebon.com/lapin-c97" TargetMode="External" Id="rId1221" /><Relationship Type="http://schemas.openxmlformats.org/officeDocument/2006/relationships/hyperlink" Target="https://www.pourdebon.com/assortiments-de-charcuterie-c39" TargetMode="External" Id="rId1222" /><Relationship Type="http://schemas.openxmlformats.org/officeDocument/2006/relationships/hyperlink" Target="https://www.pourdebon.com/couverts-c107" TargetMode="External" Id="rId1223" /><Relationship Type="http://schemas.openxmlformats.org/officeDocument/2006/relationships/hyperlink" Target="https://www.pourdebon.com/arts-de-la-table-et-ustensiles-c102" TargetMode="External" Id="rId1224" /><Relationship Type="http://schemas.openxmlformats.org/officeDocument/2006/relationships/hyperlink" Target="https://www.pourdebon.com/charcuterie-c4" TargetMode="External" Id="rId1225" /><Relationship Type="http://schemas.openxmlformats.org/officeDocument/2006/relationships/hyperlink" Target="https://www.pourdebon.com/legumes-c21" TargetMode="External" Id="rId1226" /><Relationship Type="http://schemas.openxmlformats.org/officeDocument/2006/relationships/hyperlink" Target="http://www.jdoqocy.com/click-101713520-17329047" TargetMode="External" Id="rId1227" /><Relationship Type="http://schemas.openxmlformats.org/officeDocument/2006/relationships/hyperlink" Target="http://www.jdoqocy.com/click-101713520-15893190" TargetMode="External" Id="rId1228" /><Relationship Type="http://schemas.openxmlformats.org/officeDocument/2006/relationships/hyperlink" Target="https://lb.affilae.com/r/?p=61b9aae6d4b9873f6d45ef3d&amp;af=546&amp;lp=https%3A%2F%2Fwww.allopneus.com%2Fproduit%2Fpneu-moto%2Fmichelin%2Fscooter%2Fcity-grip-2%2F140-70-14-68-s%2F0005506619%3Futm_source%3Daffilae%26utm_medium%3Daffiliation%26utm_campaign%3Dlemrock" TargetMode="External" Id="rId1229" /><Relationship Type="http://schemas.openxmlformats.org/officeDocument/2006/relationships/hyperlink" Target="https://lb.affilae.com/r/?p=61b9aae6d4b9873f6d45ef3d&amp;af=546&amp;lp=https%3A%2F%2Fwww.allopneus.com%2Fproduit%2Fpneu-moto%2Fmetzeler%2Fsport-route%2Froadtec-z6%2F120-70r17-58-w%2F0000342194%3Futm_source%3Daffilae%26utm_medium%3Daffiliation%26utm_campaign%3Dlemrock" TargetMode="External" Id="rId1230" /><Relationship Type="http://schemas.openxmlformats.org/officeDocument/2006/relationships/hyperlink" Target="https://lb.affilae.com/r/?p=61b9aae6d4b9873f6d45ef3d&amp;af=546&amp;lp=https%3A%2F%2Fwww.allopneus.com%2Fproduit%2Fpneu-auto%2Fcontinental%2Ftourisme-ete%2Fsportcontact-7%2F225-40r18-92y%2F0006167021%3Futm_source%3Daffilae%26utm_medium%3Daffiliation%26utm_campaign%3Dlemrock" TargetMode="External" Id="rId1231" /><Relationship Type="http://schemas.openxmlformats.org/officeDocument/2006/relationships/hyperlink" Target="https://lb.affilae.com/r/?p=61b9aae6d4b9873f6d45ef3d&amp;af=546&amp;lp=https%3A%2F%2Fwww.allopneus.com%2Fproduit%2Fpneu-moto%2Fbridgestone%2Fsport-route%2Fbattlax-s21%2F120-70r17-58-w%2F0004257947%3Futm_source%3Daffilae%26utm_medium%3Daffiliation%26utm_campaign%3Dlemrock" TargetMode="External" Id="rId1232" /><Relationship Type="http://schemas.openxmlformats.org/officeDocument/2006/relationships/hyperlink" Target="https://lb.affilae.com/r/?p=61b9aae6d4b9873f6d45ef3d&amp;af=546&amp;lp=https%3A%2F%2Fwww.allopneus.com%2Fproduit%2Fpneu-moto%2Fmichelin%2Fscooter%2Fcity-grip-2%2F140-70-14-68-s%2F0005506619%3Futm_source%3Daffilae%26utm_medium%3Daffiliation%26utm_campaign%3Dlemrock" TargetMode="External" Id="rId1233" /><Relationship Type="http://schemas.openxmlformats.org/officeDocument/2006/relationships/hyperlink" Target="https://lb.affilae.com/r/?p=61b9aae6d4b9873f6d45ef3d&amp;af=546&amp;lp=https%3A%2F%2Fwww.allopneus.com%2Fproduit%2Fpneu-auto%2Fgoodyear%2Fcamionnette-ete%2Fefficientgrip-cargo-2%2F215-65r16-109t%2F0006162913%3Futm_source%3Daffilae%26utm_medium%3Daffiliation%26utm_campaign%3Dlemrock" TargetMode="External" Id="rId1234" /><Relationship Type="http://schemas.openxmlformats.org/officeDocument/2006/relationships/hyperlink" Target="https://lb.affilae.com/r/?p=61b9aae6d4b9873f6d45ef3d&amp;af=546&amp;lp=https%3A%2F%2Fwww.allopneus.com%2Fproduit%2Fpneu-auto%2Fkleber%2F4x4-4saisons%2Fquadraxer-suv%2F225-55r18-102v%2F0005944280%3Futm_source%3Daffilae%26utm_medium%3Daffiliation%26utm_campaign%3Dlemrock" TargetMode="External" Id="rId1235" /><Relationship Type="http://schemas.openxmlformats.org/officeDocument/2006/relationships/hyperlink" Target="https://lb.affilae.com/r/?p=61b9aae6d4b9873f6d45ef3d&amp;af=546&amp;lp=https%3A%2F%2Fwww.allopneus.com%2Fproduit%2Fpneu-moto%2Fbridgestone%2Fsport-route%2Fbattlax-s21%2F120-70r17-58-w%2F0004257947%3Futm_source%3Daffilae%26utm_medium%3Daffiliation%26utm_campaign%3Dlemrock" TargetMode="External" Id="rId1236" /><Relationship Type="http://schemas.openxmlformats.org/officeDocument/2006/relationships/hyperlink" Target="https://lb.affilae.com/r/?p=61b9aae6d4b9873f6d45ef3d&amp;af=546&amp;lp=https%3A%2F%2Fwww.allopneus.com%2Fproduit%2Fpneu-auto%2Fkleber%2F4x4-ete%2Fdynaxer-hp5-suv%2F215-55r18-99v%2F0006776418%3Futm_source%3Daffilae%26utm_medium%3Daffiliation%26utm_campaign%3Dlemrock" TargetMode="External" Id="rId1237" /><Relationship Type="http://schemas.openxmlformats.org/officeDocument/2006/relationships/hyperlink" Target="https://lb.affilae.com/r/?p=61b9aae6d4b9873f6d45ef3d&amp;af=546&amp;lp=https%3A%2F%2Fwww.allopneus.com%2Fproduit%2Fpneu-moto%2Fbridgestone%2Fscooter%2Fbattlax-scooter-sc2%2F160-60r15-67-h%2F0004771525%3Futm_source%3Daffilae%26utm_medium%3Daffiliation%26utm_campaign%3Dlemrock" TargetMode="External" Id="rId1238" /><Relationship Type="http://schemas.openxmlformats.org/officeDocument/2006/relationships/hyperlink" Target="https://lb.affilae.com/r/?p=61b9aae6d4b9873f6d45ef3d&amp;af=546&amp;lp=https%3A%2F%2Fwww.allopneus.com%2Fproduit%2Fpneu-moto%2Fmetzeler%2Fsport-route%2Froadtec-z6%2F120-70r17-58-w%2F0000342194%3Futm_source%3Daffilae%26utm_medium%3Daffiliation%26utm_campaign%3Dlemrock" TargetMode="External" Id="rId1239" /><Relationship Type="http://schemas.openxmlformats.org/officeDocument/2006/relationships/hyperlink" Target="https://lb.affilae.com/r/?p=61b9aae6d4b9873f6d45ef3d&amp;af=546&amp;lp=https%3A%2F%2Fwww.allopneus.com%2Fproduit%2Fpneu-moto%2Fmichelin%2Fsport-route%2Fpilot-road-4%2F120-70r17-58-w%2F0003783411%3Futm_source%3Daffilae%26utm_medium%3Daffiliation%26utm_campaign%3Dlemrock" TargetMode="External" Id="rId1240" /><Relationship Type="http://schemas.openxmlformats.org/officeDocument/2006/relationships/hyperlink" Target="https://lb.affilae.com/r/?p=61b9aae6d4b9873f6d45ef3d&amp;af=546&amp;lp=https%3A%2F%2Fwww.allopneus.com%2Fproduit%2Fpneu-auto%2Fkleber%2Fcamionnette-4saisons%2Ftranspro-4s%2F215-65r16-109r%2F0004519429%3Futm_source%3Daffilae%26utm_medium%3Daffiliation%26utm_campaign%3Dlemrock" TargetMode="External" Id="rId1241" /><Relationship Type="http://schemas.openxmlformats.org/officeDocument/2006/relationships/hyperlink" Target="https://lb.affilae.com/r/?p=61b9aae6d4b9873f6d45ef3d&amp;af=546&amp;lp=https%3A%2F%2Fwww.allopneus.com%2Fproduit%2Fpneu-auto%2Ffalken%2Ftourisme-4saisons%2Feuroall-season-as210%2F195-65r15-91h%2F0002042432%3Futm_source%3Daffilae%26utm_medium%3Daffiliation%26utm_campaign%3Dlemrock" TargetMode="External" Id="rId1242" /><Relationship Type="http://schemas.openxmlformats.org/officeDocument/2006/relationships/hyperlink" Target="https://lb.affilae.com/r/?p=61b9aae6d4b9873f6d45ef3d&amp;af=546&amp;lp=https%3A%2F%2Fwww.allopneus.com%2Fproduit%2Fpneu-auto%2Fkleber%2Fcamionnette-4saisons%2Ftranspro-4s%2F215-65r16-109r%2F0004519429%3Futm_source%3Daffilae%26utm_medium%3Daffiliation%26utm_campaign%3Dlemrock" TargetMode="External" Id="rId1243" /><Relationship Type="http://schemas.openxmlformats.org/officeDocument/2006/relationships/hyperlink" Target="https://lb.affilae.com/r/?p=61b9aae6d4b9873f6d45ef3d&amp;af=546&amp;lp=https%3A%2F%2Fwww.allopneus.com%2Fproduit%2Fpneu-auto%2Fgoodtrip%2Fcamionnette-ete%2Fsafeguard%2F175-65r14-90t%2F0002044545%3Futm_source%3Daffilae%26utm_medium%3Daffiliation%26utm_campaign%3Dlemrock" TargetMode="External" Id="rId1244" /><Relationship Type="http://schemas.openxmlformats.org/officeDocument/2006/relationships/hyperlink" Target="https://lb.affilae.com/r/?p=61b9aae6d4b9873f6d45ef3d&amp;af=546&amp;lp=https%3A%2F%2Fwww.allopneus.com%2Fproduit%2Fpneu-auto%2Fdunlop%2Ftourisme-4saisons%2Fsport-all-season%2F205-55r16-91v%2F0005674634%3Futm_source%3Daffilae%26utm_medium%3Daffiliation%26utm_campaign%3Dlemrock" TargetMode="External" Id="rId1245" /><Relationship Type="http://schemas.openxmlformats.org/officeDocument/2006/relationships/hyperlink" Target="https://lb.affilae.com/r/?p=61b9aae6d4b9873f6d45ef3d&amp;af=546&amp;lp=https%3A%2F%2Fwww.allopneus.com%2Fproduit%2Fpneu-auto%2Fkleber%2F4x4-4saisons%2Fquadraxer-suv%2F225-55r18-102v%2F0005944280%3Futm_source%3Daffilae%26utm_medium%3Daffiliation%26utm_campaign%3Dlemrock" TargetMode="External" Id="rId1246" /><Relationship Type="http://schemas.openxmlformats.org/officeDocument/2006/relationships/hyperlink" Target="https://lb.affilae.com/r/?p=61b9aae6d4b9873f6d45ef3d&amp;af=546&amp;lp=https%3A%2F%2Fwww.allopneus.com%2Fproduit%2Fpneu-auto%2Fhankook%2F4x4-4saisons%2Fkinergy-4s-2-x%2F235-55r19-105w%2F0005071342%3Futm_source%3Daffilae%26utm_medium%3Daffiliation%26utm_campaign%3Dlemrock" TargetMode="External" Id="rId1247" /><Relationship Type="http://schemas.openxmlformats.org/officeDocument/2006/relationships/hyperlink" Target="https://lb.affilae.com/r/?p=61b9aae6d4b9873f6d45ef3d&amp;af=546&amp;lp=https%3A%2F%2Fwww.allopneus.com%2Fproduit%2Fpneu-auto%2Fdunlop%2Ftourisme-ete%2Fsport-bluresponse%2F205-55r16-91v%2F0003665305%3Futm_source%3Daffilae%26utm_medium%3Daffiliation%26utm_campaign%3Dlemrock" TargetMode="External" Id="rId1248" /><Relationship Type="http://schemas.openxmlformats.org/officeDocument/2006/relationships/hyperlink" Target="https://lb.affilae.com/r/?p=61b9aae6d4b9873f6d45ef3d&amp;af=546&amp;lp=https%3A%2F%2Fwww.allopneus.com%2Fproduit%2Fpneu-auto%2Fpirelli%2F4x4-ete%2Fscorpion%2F255-45r19-100v%2F0005636706%3Futm_source%3Daffilae%26utm_medium%3Daffiliation%26utm_campaign%3Dlemrock" TargetMode="External" Id="rId1249" /><Relationship Type="http://schemas.openxmlformats.org/officeDocument/2006/relationships/hyperlink" Target="https://lb.affilae.com/r/?p=61b9aae6d4b9873f6d45ef3d&amp;af=546&amp;lp=https%3A%2F%2Fwww.allopneus.com%2Fproduit%2Fpneu-auto%2Fcontinental%2Ftourisme-ete%2Fsportcontact-7%2F225-40r18-92y%2F0006167021%3Futm_source%3Daffilae%26utm_medium%3Daffiliation%26utm_campaign%3Dlemrock" TargetMode="External" Id="rId1250" /><Relationship Type="http://schemas.openxmlformats.org/officeDocument/2006/relationships/hyperlink" Target="https://lb.affilae.com/r/?p=61b9aae6d4b9873f6d45ef3d&amp;af=546&amp;lp=https%3A%2F%2Fwww.allopneus.com%2Fproduit%2Fpneu-auto%2Filink%2Ftourisme-hiver%2Fwinter-il868%2F205-55-r16-91h%2F0002040398%3Futm_source%3Daffilae%26utm_medium%3Daffiliation%26utm_campaign%3Dlemrock" TargetMode="External" Id="rId1251" /><Relationship Type="http://schemas.openxmlformats.org/officeDocument/2006/relationships/hyperlink" Target="https://lb.affilae.com/r/?p=61b9aae6d4b9873f6d45ef3d&amp;af=546&amp;lp=https%3A%2F%2Fwww.allopneus.com%2Fproduit%2Fpneu-auto%2Fcontinental%2Fcamionnette-ete%2Fvancontact-ultra-camper%2F215-70r15-109r%2F0002045446%3Futm_source%3Daffilae%26utm_medium%3Daffiliation%26utm_campaign%3Dlemrock" TargetMode="External" Id="rId1252" /><Relationship Type="http://schemas.openxmlformats.org/officeDocument/2006/relationships/hyperlink" Target="https://lb.affilae.com/r/?p=61b9aae6d4b9873f6d45ef3d&amp;af=546&amp;lp=https%3A%2F%2Fwww.allopneus.com%2Fproduit%2Fpneu-auto%2Fhankook%2F4x4-ete%2Fventus-prime-3-k125a%2F215-65r17-99v%2F0005083951%3Futm_source%3Daffilae%26utm_medium%3Daffiliation%26utm_campaign%3Dlemrock" TargetMode="External" Id="rId1253" /><Relationship Type="http://schemas.openxmlformats.org/officeDocument/2006/relationships/hyperlink" Target="https://lb.affilae.com/r/?p=61b9aae6d4b9873f6d45ef3d&amp;af=546&amp;lp=https%3A%2F%2Fwww.allopneus.com%2Fproduit%2Fpneu-auto%2Fcontinental%2Fcamionnette-4saisons%2Fvancontact-4season%2F215-65r16-109t%2F0004520736%3Futm_source%3Daffilae%26utm_medium%3Daffiliation%26utm_campaign%3Dlemrock" TargetMode="External" Id="rId1254" /><Relationship Type="http://schemas.openxmlformats.org/officeDocument/2006/relationships/hyperlink" Target="https://lb.affilae.com/r/?p=61b9aae6d4b9873f6d45ef3d&amp;af=546&amp;lp=https%3A%2F%2Fwww.allopneus.com%2Fproduit%2Fpneu-auto%2Fbf-goodrich%2F4x4-ete%2Fall-terrain-t-a-ko3%2F265-65r17-116s%2F0002046082%3Futm_source%3Daffilae%26utm_medium%3Daffiliation%26utm_campaign%3Dlemrock" TargetMode="External" Id="rId1255" /><Relationship Type="http://schemas.openxmlformats.org/officeDocument/2006/relationships/hyperlink" Target="https://lb.affilae.com/r/?p=61b9aae6d4b9873f6d45ef3d&amp;af=546&amp;lp=https%3A%2F%2Fwww.allopneus.com%2Fproduit%2Fpneu-auto%2Fgoodyear%2Fcamionnette-ete%2Fefficientgrip-cargo-2%2F215-65r16-109t%2F0006162913%3Futm_source%3Daffilae%26utm_medium%3Daffiliation%26utm_campaign%3Dlemrock" TargetMode="External" Id="rId1256" /><Relationship Type="http://schemas.openxmlformats.org/officeDocument/2006/relationships/hyperlink" Target="https://lb.affilae.com/r/?p=61b9aae6d4b9873f6d45ef3d&amp;af=546&amp;lp=https%3A%2F%2Fwww.allopneus.com%2Fproduit%2Fpneu-auto%2Fcontinental%2Fcamionnette-4saisons%2Fvancontact-4season%2F215-65r16-109t%2F0004520736%3Futm_source%3Daffilae%26utm_medium%3Daffiliation%26utm_campaign%3Dlemrock" TargetMode="External" Id="rId1257" /><Relationship Type="http://schemas.openxmlformats.org/officeDocument/2006/relationships/hyperlink" Target="https://lb.affilae.com/r/?p=61b9aae6d4b9873f6d45ef3d&amp;af=546&amp;lp=https%3A%2F%2Fwww.allopneus.com%2Fproduit%2Fpneu-moto%2Fpirelli%2Fscooter%2Fdiablo-rosso-scooter%2F160-60r15-67-h%2F0004529248%3Futm_source%3Daffilae%26utm_medium%3Daffiliation%26utm_campaign%3Dlemrock" TargetMode="External" Id="rId1258" /><Relationship Type="http://schemas.openxmlformats.org/officeDocument/2006/relationships/hyperlink" Target="https://lb.affilae.com/r/?p=61b9aae6d4b9873f6d45ef3d&amp;af=546&amp;lp=https%3A%2F%2Fwww.allopneus.com%2Fproduit%2Fpneu-auto%2Fcontinental%2Ftourisme-4saisons%2Fallseason-contact%2F155-65r14-75t%2F0004770606%3Futm_source%3Daffilae%26utm_medium%3Daffiliation%26utm_campaign%3Dlemrock" TargetMode="External" Id="rId1259" /><Relationship Type="http://schemas.openxmlformats.org/officeDocument/2006/relationships/hyperlink" Target="https://lb.affilae.com/r/?p=61b9aae6d4b9873f6d45ef3d&amp;af=546&amp;lp=https%3A%2F%2Fwww.allopneus.com%2Fproduit%2Fpneu-moto%2Fmichelin%2Fsport-route%2Fpilot-road-4%2F120-70r17-58-w%2F0003783411%3Futm_source%3Daffilae%26utm_medium%3Daffiliation%26utm_campaign%3Dlemrock" TargetMode="External" Id="rId1260" /><Relationship Type="http://schemas.openxmlformats.org/officeDocument/2006/relationships/hyperlink" Target="https://lb.affilae.com/r/?p=61b9aae6d4b9873f6d45ef3d&amp;af=546&amp;lp=https%3A%2F%2Fwww.allopneus.com%2Fproduit%2Fpneu-auto%2Fkleber%2F4x4-ete%2Fdynaxer-hp5-suv%2F215-55r18-99v%2F0006776418%3Futm_source%3Daffilae%26utm_medium%3Daffiliation%26utm_campaign%3Dlemrock" TargetMode="External" Id="rId1261" /><Relationship Type="http://schemas.openxmlformats.org/officeDocument/2006/relationships/hyperlink" Target="https://lb.affilae.com/r/?p=61b9aae6d4b9873f6d45ef3d&amp;af=546&amp;lp=https%3A%2F%2Fwww.allopneus.com%2Fproduit%2Fpneu-moto%2Fmichelin%2Fcross-enduro-trial%2Fenduro-medium%2F140-80-18-70-r%2F0004703552%3Futm_source%3Daffilae%26utm_medium%3Daffiliation%26utm_campaign%3Dlemrock" TargetMode="External" Id="rId1262" /><Relationship Type="http://schemas.openxmlformats.org/officeDocument/2006/relationships/hyperlink" Target="https://lb.affilae.com/r/?p=61b9aae6d4b9873f6d45ef3d&amp;af=546&amp;lp=https%3A%2F%2Fwww.allopneus.com%2Fproduit%2Fpneu-auto%2Ffalken%2Fcamionnette-4saisons%2Feuroallseason-van11%2F215-65r16-109r%2F0004948429%3Futm_source%3Daffilae%26utm_medium%3Daffiliation%26utm_campaign%3Dlemrock" TargetMode="External" Id="rId1263" /><Relationship Type="http://schemas.openxmlformats.org/officeDocument/2006/relationships/hyperlink" Target="https://lb.affilae.com/r/?p=61b9aae6d4b9873f6d45ef3d&amp;af=546&amp;lp=https%3A%2F%2Fwww.allopneus.com%2Fproduit%2Fpneu-moto%2Fmetzeler%2Fsport-route%2Froadtec-z6%2F120-70r17-58-w%2F0000342194%3Futm_source%3Daffilae%26utm_medium%3Daffiliation%26utm_campaign%3Dlemrock" TargetMode="External" Id="rId1264" /><Relationship Type="http://schemas.openxmlformats.org/officeDocument/2006/relationships/hyperlink" Target="https://lb.affilae.com/r/?p=61b9aae6d4b9873f6d45ef3d&amp;af=546&amp;lp=https%3A%2F%2Fwww.allopneus.com%2Fproduit%2Fpneu-auto%2Fcontinental%2Fcamionnette-ete%2Fvancontact-ultra-camper%2F215-70r15-109r%2F0002045446%3Futm_source%3Daffilae%26utm_medium%3Daffiliation%26utm_campaign%3Dlemrock" TargetMode="External" Id="rId1265" /><Relationship Type="http://schemas.openxmlformats.org/officeDocument/2006/relationships/hyperlink" Target="https://lb.affilae.com/r/?p=61b9aae6d4b9873f6d45ef3d&amp;af=546&amp;lp=https%3A%2F%2Fwww.allopneus.com%2Fproduit%2Fpneu-auto%2Fmichelin%2Ftourisme-hiver%2Falpin-7%2F185-65r15-88t%2F0006593316%3Futm_source%3Daffilae%26utm_medium%3Daffiliation%26utm_campaign%3Dlemrock" TargetMode="External" Id="rId1266" /><Relationship Type="http://schemas.openxmlformats.org/officeDocument/2006/relationships/hyperlink" Target="https://lb.affilae.com/r/?p=61b9aae6d4b9873f6d45ef3d&amp;af=546&amp;lp=https%3A%2F%2Fwww.allopneus.com%2Fproduit%2Fpneu-auto%2Fhankook%2Ftourisme-hiver%2Fwinter-i-cept-rs3-w462%2F185-65r15-88t%2F0006090315%3Futm_source%3Daffilae%26utm_medium%3Daffiliation%26utm_campaign%3Dlemrock" TargetMode="External" Id="rId1267" /><Relationship Type="http://schemas.openxmlformats.org/officeDocument/2006/relationships/hyperlink" Target="https://lb.affilae.com/r/?p=61b9aae6d4b9873f6d45ef3d&amp;af=546&amp;lp=https%3A%2F%2Fwww.allopneus.com%2Fproduit%2Fpneu-auto%2Filink%2Ftourisme-hiver%2Fwinter-il868%2F205-55-r16-91h%2F0002040398%3Futm_source%3Daffilae%26utm_medium%3Daffiliation%26utm_campaign%3Dlemrock" TargetMode="External" Id="rId1268" /><Relationship Type="http://schemas.openxmlformats.org/officeDocument/2006/relationships/hyperlink" Target="https://lb.affilae.com/r/?p=61b9aae6d4b9873f6d45ef3d&amp;af=546&amp;lp=https%3A%2F%2Fwww.allopneus.com%2Fproduit%2Fpneu-auto%2Fhankook%2Ftourisme-hiver%2Fwinter-i-cept-rs3-w462%2F185-65r15-88t%2F0006090315%3Futm_source%3Daffilae%26utm_medium%3Daffiliation%26utm_campaign%3Dlemrock" TargetMode="External" Id="rId1269" /><Relationship Type="http://schemas.openxmlformats.org/officeDocument/2006/relationships/hyperlink" Target="https://lb.affilae.com/r/?p=61b9aae6d4b9873f6d45ef3d&amp;af=546&amp;lp=https%3A%2F%2Fwww.allopneus.com%2Fproduit%2Fpneu-moto%2Fmichelin%2Fscooter%2Fcity-grip-2%2F140-70-14-68-s%2F0005506619%3Futm_source%3Daffilae%26utm_medium%3Daffiliation%26utm_campaign%3Dlemrock" TargetMode="External" Id="rId1270" /><Relationship Type="http://schemas.openxmlformats.org/officeDocument/2006/relationships/hyperlink" Target="https://lb.affilae.com/r/?p=61b9aae6d4b9873f6d45ef3d&amp;af=546&amp;lp=https%3A%2F%2Fwww.allopneus.com%2Fproduit%2Fpneu-auto%2Fbridgestone%2Ftourisme-ete%2Fturanza-t005%2F195-55r16-87h%2F0005086294%3Futm_source%3Daffilae%26utm_medium%3Daffiliation%26utm_campaign%3Dlemrock" TargetMode="External" Id="rId1271" /><Relationship Type="http://schemas.openxmlformats.org/officeDocument/2006/relationships/hyperlink" Target="https://lb.affilae.com/r/?p=61b9aae6d4b9873f6d45ef3d&amp;af=546&amp;lp=https%3A%2F%2Fwww.allopneus.com%2Fproduit%2Fpneu-auto%2Fdunlop%2Ftourisme-ete%2Fsport-bluresponse%2F205-55r16-91v%2F0003665305%3Futm_source%3Daffilae%26utm_medium%3Daffiliation%26utm_campaign%3Dlemrock" TargetMode="External" Id="rId1272" /><Relationship Type="http://schemas.openxmlformats.org/officeDocument/2006/relationships/hyperlink" Target="https://lb.affilae.com/r/?p=61b9aae6d4b9873f6d45ef3d&amp;af=546&amp;lp=https%3A%2F%2Fwww.allopneus.com%2Fproduit%2Fpneu-auto%2Fdunlop%2Ftourisme-4saisons%2Fsport-all-season%2F205-55r16-91v%2F0005674634%3Futm_source%3Daffilae%26utm_medium%3Daffiliation%26utm_campaign%3Dlemrock" TargetMode="External" Id="rId1273" /><Relationship Type="http://schemas.openxmlformats.org/officeDocument/2006/relationships/hyperlink" Target="https://lb.affilae.com/r/?p=61b9aae6d4b9873f6d45ef3d&amp;af=546&amp;lp=https%3A%2F%2Fwww.allopneus.com%2Fproduit%2Fpneu-auto%2Ffalken%2Ftourisme-4saisons%2Feuroall-season-as210%2F195-65r15-91h%2F0002042432%3Futm_source%3Daffilae%26utm_medium%3Daffiliation%26utm_campaign%3Dlemrock" TargetMode="External" Id="rId1274" /><Relationship Type="http://schemas.openxmlformats.org/officeDocument/2006/relationships/hyperlink" Target="https://lb.affilae.com/r/?p=61b9aae6d4b9873f6d45ef3d&amp;af=546&amp;lp=https%3A%2F%2Fwww.allopneus.com%2Fproduit%2Fpneu-auto%2Fhankook%2F4x4-ete%2Fventus-prime-3-k125a%2F215-65r17-99v%2F0005083951%3Futm_source%3Daffilae%26utm_medium%3Daffiliation%26utm_campaign%3Dlemrock" TargetMode="External" Id="rId1275" /><Relationship Type="http://schemas.openxmlformats.org/officeDocument/2006/relationships/hyperlink" Target="https://lb.affilae.com/r/?p=61b9aae6d4b9873f6d45ef3d&amp;af=546&amp;lp=https%3A%2F%2Fwww.allopneus.com%2Fproduit%2Fpneu-auto%2Fbf-goodrich%2F4x4-ete%2Fall-terrain-t-a-ko3%2F265-65r17-116s%2F0002046082%3Futm_source%3Daffilae%26utm_medium%3Daffiliation%26utm_campaign%3Dlemrock" TargetMode="External" Id="rId1276" /><Relationship Type="http://schemas.openxmlformats.org/officeDocument/2006/relationships/hyperlink" Target="https://lb.affilae.com/r/?p=61b9aae6d4b9873f6d45ef3d&amp;af=546&amp;lp=https%3A%2F%2Fwww.allopneus.com%2Fproduit%2Fpneu-auto%2Fbridgestone%2Ftourisme-ete%2Fturanza-t005%2F195-55r16-87h%2F0005086294%3Futm_source%3Daffilae%26utm_medium%3Daffiliation%26utm_campaign%3Dlemrock" TargetMode="External" Id="rId1277" /><Relationship Type="http://schemas.openxmlformats.org/officeDocument/2006/relationships/hyperlink" Target="https://lb.affilae.com/r/?p=61b9aae6d4b9873f6d45ef3d&amp;af=546&amp;lp=https%3A%2F%2Fwww.allopneus.com%2Fproduit%2Fpneu-auto%2Fcontinental%2Ftourisme-4saisons%2Fallseason-contact%2F155-65r14-75t%2F0004770606%3Futm_source%3Daffilae%26utm_medium%3Daffiliation%26utm_campaign%3Dlemrock" TargetMode="External" Id="rId1278" /><Relationship Type="http://schemas.openxmlformats.org/officeDocument/2006/relationships/hyperlink" Target="https://lb.affilae.com/r/?p=61b9aae6d4b9873f6d45ef3d&amp;af=546&amp;lp=https%3A%2F%2Fwww.allopneus.com%2Fproduit%2Fpneu-auto%2Fpirelli%2F4x4-ete%2Fscorpion%2F255-45r19-100v%2F0005636706%3Futm_source%3Daffilae%26utm_medium%3Daffiliation%26utm_campaign%3Dlemrock" TargetMode="External" Id="rId1279" /><Relationship Type="http://schemas.openxmlformats.org/officeDocument/2006/relationships/hyperlink" Target="https://lb.affilae.com/r/?p=61b9aae6d4b9873f6d45ef3d&amp;af=546&amp;lp=https%3A%2F%2Fwww.allopneus.com%2Fproduit%2Fpneu-moto%2Fmichelin%2Fsport-route%2Fpilot-road-4%2F120-70r17-58-w%2F0003783411%3Futm_source%3Daffilae%26utm_medium%3Daffiliation%26utm_campaign%3Dlemrock" TargetMode="External" Id="rId1280" /><Relationship Type="http://schemas.openxmlformats.org/officeDocument/2006/relationships/hyperlink" Target="https://lb.affilae.com/r/?p=61b9aae6d4b9873f6d45ef3d&amp;af=546&amp;lp=https%3A%2F%2Fwww.allopneus.com%2Fproduit%2Fpneu-auto%2Fkumho%2F4x4-4saisons%2Fsolus-4s-ha32%2F225-50r18-99w%2F0006117093%3Futm_source%3Daffilae%26utm_medium%3Daffiliation%26utm_campaign%3Dlemrock" TargetMode="External" Id="rId1281" /><Relationship Type="http://schemas.openxmlformats.org/officeDocument/2006/relationships/hyperlink" Target="https://lb.affilae.com/r/?p=61b9aae6d4b9873f6d45ef3d&amp;af=546&amp;lp=https%3A%2F%2Fwww.allopneus.com%2Fproduit%2Fpneu-moto%2Fbridgestone%2Fscooter%2Fbattlax-scooter-sc2%2F160-60r15-67-h%2F0004771525%3Futm_source%3Daffilae%26utm_medium%3Daffiliation%26utm_campaign%3Dlemrock" TargetMode="External" Id="rId1282" /><Relationship Type="http://schemas.openxmlformats.org/officeDocument/2006/relationships/hyperlink" Target="https://lb.affilae.com/r/?p=61b9aae6d4b9873f6d45ef3d&amp;af=546&amp;lp=https%3A%2F%2Fwww.allopneus.com%2Fproduit%2Fpneu-moto%2Fpirelli%2Fscooter%2Fdiablo-rosso-scooter%2F160-60r15-67-h%2F0004529248%3Futm_source%3Daffilae%26utm_medium%3Daffiliation%26utm_campaign%3Dlemrock" TargetMode="External" Id="rId1283" /><Relationship Type="http://schemas.openxmlformats.org/officeDocument/2006/relationships/hyperlink" Target="https://lb.affilae.com/r/?p=61b9aae6d4b9873f6d45ef3d&amp;af=546&amp;lp=https%3A%2F%2Fwww.allopneus.com%2Fproduit%2Fpneu-auto%2Fhankook%2F4x4-4saisons%2Fkinergy-4s-2-x%2F235-55r19-105w%2F0005071342%3Futm_source%3Daffilae%26utm_medium%3Daffiliation%26utm_campaign%3Dlemrock" TargetMode="External" Id="rId1284" /><Relationship Type="http://schemas.openxmlformats.org/officeDocument/2006/relationships/hyperlink" Target="https://lb.affilae.com/r/?p=61b9aae6d4b9873f6d45ef3d&amp;af=546&amp;lp=https%3A%2F%2Fwww.allopneus.com%2Fproduit%2Fpneu-auto%2Fnankang%2Fcamionnette-ete-remorque-bagagere%2Fvan-tr-10%2F185-70r13-106n%2F0004104330%3Futm_source%3Daffilae%26utm_medium%3Daffiliation%26utm_campaign%3Dlemrock" TargetMode="External" Id="rId1285" /><Relationship Type="http://schemas.openxmlformats.org/officeDocument/2006/relationships/hyperlink" Target="https://lb.affilae.com/r/?p=61b9aae6d4b9873f6d45ef3d&amp;af=546&amp;lp=https%3A%2F%2Fwww.allopneus.com%2Fproduit%2Fpneu-auto%2Fmichelin%2Ftourisme-hiver%2Falpin-7%2F185-65r15-88t%2F0006593316%3Futm_source%3Daffilae%26utm_medium%3Daffiliation%26utm_campaign%3Dlemrock" TargetMode="External" Id="rId1286" /><Relationship Type="http://schemas.openxmlformats.org/officeDocument/2006/relationships/hyperlink" Target="https://lb.affilae.com/r/?p=61b9aae6d4b9873f6d45ef3d&amp;af=546&amp;lp=https%3A%2F%2Fwww.allopneus.com%2Fproduit%2Fpneu-moto%2Fbridgestone%2Fsport-route%2Fbattlax-s21%2F120-70r17-58-w%2F0004257947%3Futm_source%3Daffilae%26utm_medium%3Daffiliation%26utm_campaign%3Dlemrock" TargetMode="External" Id="rId1287" /><Relationship Type="http://schemas.openxmlformats.org/officeDocument/2006/relationships/hyperlink" Target="https://lb.affilae.com/r/?p=61b9aae6d4b9873f6d45ef3d&amp;af=546&amp;lp=https%3A%2F%2Fwww.allopneus.com%2Fproduit%2Fpneu-moto%2Fmichelin%2Fcross-enduro-trial%2Fenduro-medium%2F140-80-18-70-r%2F0004703552%3Futm_source%3Daffilae%26utm_medium%3Daffiliation%26utm_campaign%3Dlemrock" TargetMode="External" Id="rId1288" /><Relationship Type="http://schemas.openxmlformats.org/officeDocument/2006/relationships/hyperlink" Target="https://lb.affilae.com/r/?p=61b9aae6d4b9873f6d45ef3d&amp;af=546&amp;lp=https%3A%2F%2Fwww.allopneus.com%2Fproduit%2Fpneu-moto%2Fbridgestone%2Fscooter%2Fbattlax-scooter-sc2%2F160-60r15-67-h%2F0004771525%3Futm_source%3Daffilae%26utm_medium%3Daffiliation%26utm_campaign%3Dlemrock" TargetMode="External" Id="rId1289" /><Relationship Type="http://schemas.openxmlformats.org/officeDocument/2006/relationships/hyperlink" Target="https://lb.affilae.com/r/?p=61b9aae6d4b9873f6d45ef3d&amp;af=546&amp;lp=https%3A%2F%2Fwww.allopneus.com%2Fproduit%2Fpneu-moto%2Fpirelli%2Fscooter%2Fdiablo-rosso-scooter%2F160-60r15-67-h%2F0004529248%3Futm_source%3Daffilae%26utm_medium%3Daffiliation%26utm_campaign%3Dlemrock" TargetMode="External" Id="rId1290" /><Relationship Type="http://schemas.openxmlformats.org/officeDocument/2006/relationships/hyperlink" Target="https://lb.affilae.com/r/?p=61b9aae6d4b9873f6d45ef3d&amp;af=546&amp;lp=https%3A%2F%2Fwww.allopneus.com%2Fproduit%2Fpneu-moto%2Fmetzeler%2Fsport-route%2Froadtec-z6%2F120-70r17-58-w%2F0000342194%3Futm_source%3Daffilae%26utm_medium%3Daffiliation%26utm_campaign%3Dlemrock" TargetMode="External" Id="rId1291" /><Relationship Type="http://schemas.openxmlformats.org/officeDocument/2006/relationships/hyperlink" Target="https://lb.affilae.com/r/?p=61b9aae6d4b9873f6d45ef3d&amp;af=546&amp;lp=https%3A%2F%2Fwww.allopneus.com%2Fproduit%2Fpneu-auto%2Fnankang%2Fcamionnette-ete-remorque-bagagere%2Fvan-tr-10%2F185-70r13-106n%2F0004104330%3Futm_source%3Daffilae%26utm_medium%3Daffiliation%26utm_campaign%3Dlemrock" TargetMode="External" Id="rId1292" /><Relationship Type="http://schemas.openxmlformats.org/officeDocument/2006/relationships/hyperlink" Target="https://lb.affilae.com/r/?p=61b9aae6d4b9873f6d45ef3d&amp;af=546&amp;lp=https%3A%2F%2Fwww.allopneus.com%2Fproduit%2Fpneu-moto%2Fmichelin%2Fscooter%2Fcity-grip-2%2F140-70-14-68-s%2F0005506619%3Futm_source%3Daffilae%26utm_medium%3Daffiliation%26utm_campaign%3Dlemrock" TargetMode="External" Id="rId1293" /><Relationship Type="http://schemas.openxmlformats.org/officeDocument/2006/relationships/hyperlink" Target="https://lb.affilae.com/r/?p=61b9aae6d4b9873f6d45ef3d&amp;af=546&amp;lp=https%3A%2F%2Fwww.allopneus.com%2Fproduit%2Fpneu-moto%2Fbridgestone%2Fsport-route%2Fbattlax-s21%2F120-70r17-58-w%2F0004257947%3Futm_source%3Daffilae%26utm_medium%3Daffiliation%26utm_campaign%3Dlemrock" TargetMode="External" Id="rId1294" /><Relationship Type="http://schemas.openxmlformats.org/officeDocument/2006/relationships/hyperlink" Target="https://lb.affilae.com/r/?p=61b9aae6d4b9873f6d45ef3d&amp;af=546&amp;lp=https%3A%2F%2Fwww.allopneus.com%2Fproduit%2Fpneu-auto%2Fhankook%2Ftourisme-hiver%2Fwinter-i-cept-rs3-w462%2F185-65r15-88t%2F0006090315%3Futm_source%3Daffilae%26utm_medium%3Daffiliation%26utm_campaign%3Dlemrock" TargetMode="External" Id="rId1295" /><Relationship Type="http://schemas.openxmlformats.org/officeDocument/2006/relationships/hyperlink" Target="https://lb.affilae.com/r/?p=61b9aae6d4b9873f6d45ef3d&amp;af=546&amp;lp=https%3A%2F%2Fwww.allopneus.com%2Fproduit%2Fpneu-auto%2Ffalken%2Fcamionnette-4saisons%2Feuroallseason-van11%2F215-65r16-109r%2F0004948429%3Futm_source%3Daffilae%26utm_medium%3Daffiliation%26utm_campaign%3Dlemrock" TargetMode="External" Id="rId1296" /><Relationship Type="http://schemas.openxmlformats.org/officeDocument/2006/relationships/hyperlink" Target="https://lb.affilae.com/r/?p=61b9aae6d4b9873f6d45ef3d&amp;af=546&amp;lp=https%3A%2F%2Fwww.allopneus.com%2Fproduit%2Fpneu-moto%2Fmichelin%2Fsport-route%2Fpilot-road-4%2F120-70r17-58-w%2F0003783411%3Futm_source%3Daffilae%26utm_medium%3Daffiliation%26utm_campaign%3Dlemrock" TargetMode="External" Id="rId1297" /><Relationship Type="http://schemas.openxmlformats.org/officeDocument/2006/relationships/hyperlink" Target="https://lb.affilae.com/r/?p=61b9aae6d4b9873f6d45ef3d&amp;af=546&amp;lp=https%3A%2F%2Fwww.allopneus.com%2Fproduit%2Fpneu-auto%2Filink%2Ftourisme-hiver%2Fwinter-il868%2F205-55-r16-91h%2F0002040398%3Futm_source%3Daffilae%26utm_medium%3Daffiliation%26utm_campaign%3Dlemrock" TargetMode="External" Id="rId1298" /><Relationship Type="http://schemas.openxmlformats.org/officeDocument/2006/relationships/hyperlink" Target="https://lb.affilae.com/r/?p=61b9aae6d4b9873f6d45ef3d&amp;af=546&amp;lp=https%3A%2F%2Fwww.allopneus.com%2Fproduit%2Fpneu-moto%2Fmichelin%2Fcross-enduro-trial%2Fenduro-medium%2F140-80-18-70-r%2F0004703552%3Futm_source%3Daffilae%26utm_medium%3Daffiliation%26utm_campaign%3Dlemrock" TargetMode="External" Id="rId1299" /><Relationship Type="http://schemas.openxmlformats.org/officeDocument/2006/relationships/hyperlink" Target="https://lb.affilae.com/r/?p=61b9aae6d4b9873f6d45ef3d&amp;af=546&amp;lp=https%3A%2F%2Fwww.allopneus.com%2Fproduit%2Fpneu-auto%2Fcontinental%2Fcamionnette-4saisons%2Fvancontact-4season%2F215-65r16-109t%2F0004520736%3Futm_source%3Daffilae%26utm_medium%3Daffiliation%26utm_campaign%3Dlemrock" TargetMode="External" Id="rId1300" /><Relationship Type="http://schemas.openxmlformats.org/officeDocument/2006/relationships/hyperlink" Target="https://lb.affilae.com/r/?p=61b9aae6d4b9873f6d45ef3d&amp;af=546&amp;lp=https%3A%2F%2Fwww.allopneus.com%2Fproduit%2Fpneu-auto%2Fkleber%2Fcamionnette-4saisons%2Ftranspro-4s%2F215-65r16-109r%2F0004519429%3Futm_source%3Daffilae%26utm_medium%3Daffiliation%26utm_campaign%3Dlemrock" TargetMode="External" Id="rId1301" /><Relationship Type="http://schemas.openxmlformats.org/officeDocument/2006/relationships/hyperlink" Target="https://lb.affilae.com/r/?p=61b9aae6d4b9873f6d45ef3d&amp;af=546&amp;lp=https%3A%2F%2Fwww.allopneus.com%2Fproduit%2Fpneu-auto%2Fmichelin%2Ftourisme-hiver%2Falpin-7%2F185-65r15-88t%2F0006593316%3Futm_source%3Daffilae%26utm_medium%3Daffiliation%26utm_campaign%3Dlemrock" TargetMode="External" Id="rId1302" /><Relationship Type="http://schemas.openxmlformats.org/officeDocument/2006/relationships/hyperlink" Target="https://lb.affilae.com/r/?p=61b9aae6d4b9873f6d45ef3d&amp;af=546&amp;lp=https%3A%2F%2Fwww.allopneus.com%2Fproduit%2Fpneu-auto%2Fcontinental%2Ftourisme-ete%2Fsportcontact-7%2F225-40r18-92y%2F0006167021%3Futm_source%3Daffilae%26utm_medium%3Daffiliation%26utm_campaign%3Dlemrock" TargetMode="External" Id="rId1303" /><Relationship Type="http://schemas.openxmlformats.org/officeDocument/2006/relationships/hyperlink" Target="https://lb.affilae.com/r/?p=61b9aae6d4b9873f6d45ef3d&amp;af=546&amp;lp=https%3A%2F%2Fwww.allopneus.com%2Fproduit%2Fpneu-auto%2Fgoodtrip%2Fcamionnette-ete%2Fsafeguard%2F175-65r14-90t%2F0002044545%3Futm_source%3Daffilae%26utm_medium%3Daffiliation%26utm_campaign%3Dlemrock" TargetMode="External" Id="rId1304" /><Relationship Type="http://schemas.openxmlformats.org/officeDocument/2006/relationships/hyperlink" Target="https://lb.affilae.com/r/?p=61b9aae6d4b9873f6d45ef3d&amp;af=546&amp;lp=https%3A%2F%2Fwww.allopneus.com%2Fproduit%2Fpneu-auto%2Ffalken%2Ftourisme-4saisons%2Feuroall-season-as210%2F195-65r15-91h%2F0002042432%3Futm_source%3Daffilae%26utm_medium%3Daffiliation%26utm_campaign%3Dlemrock" TargetMode="External" Id="rId1305" /><Relationship Type="http://schemas.openxmlformats.org/officeDocument/2006/relationships/hyperlink" Target="https://lb.affilae.com/r/?p=61b9aae6d4b9873f6d45ef3d&amp;af=546&amp;lp=https%3A%2F%2Fwww.allopneus.com%2Fproduit%2Fpneu-auto%2Fkumho%2F4x4-4saisons%2Fsolus-4s-ha32%2F225-50r18-99w%2F0006117093%3Futm_source%3Daffilae%26utm_medium%3Daffiliation%26utm_campaign%3Dlemrock" TargetMode="External" Id="rId1306" /><Relationship Type="http://schemas.openxmlformats.org/officeDocument/2006/relationships/hyperlink" Target="https://lb.affilae.com/r/?p=61b9aae6d4b9873f6d45ef3d&amp;af=546&amp;lp=https%3A%2F%2Fwww.allopneus.com%2Fproduit%2Fpneu-auto%2Fgoodyear%2Fcamionnette-ete%2Fefficientgrip-cargo-2%2F215-65r16-109t%2F0006162913%3Futm_source%3Daffilae%26utm_medium%3Daffiliation%26utm_campaign%3Dlemrock" TargetMode="External" Id="rId1307" /><Relationship Type="http://schemas.openxmlformats.org/officeDocument/2006/relationships/hyperlink" Target="https://lb.affilae.com/r/?p=61b9aae6d4b9873f6d45ef3d&amp;af=546&amp;lp=https%3A%2F%2Fwww.allopneus.com%2Fproduit%2Fpneu-auto%2Fdunlop%2Ftourisme-ete%2Fsport-bluresponse%2F205-55r16-91v%2F0003665305%3Futm_source%3Daffilae%26utm_medium%3Daffiliation%26utm_campaign%3Dlemrock" TargetMode="External" Id="rId1308" /><Relationship Type="http://schemas.openxmlformats.org/officeDocument/2006/relationships/hyperlink" Target="https://lb.affilae.com/r/?p=61b9aae6d4b9873f6d45ef3d&amp;af=546&amp;lp=https%3A%2F%2Fwww.allopneus.com%2Fproduit%2Fpneu-auto%2Fcontinental%2Ftourisme-4saisons%2Fallseason-contact%2F155-65r14-75t%2F0004770606%3Futm_source%3Daffilae%26utm_medium%3Daffiliation%26utm_campaign%3Dlemrock" TargetMode="External" Id="rId1309" /><Relationship Type="http://schemas.openxmlformats.org/officeDocument/2006/relationships/hyperlink" Target="https://lb.affilae.com/r/?p=61b9aae6d4b9873f6d45ef3d&amp;af=546&amp;lp=https%3A%2F%2Fwww.allopneus.com%2Fproduit%2Fpneu-auto%2Fcontinental%2Fcamionnette-ete%2Fvancontact-ultra-camper%2F215-70r15-109r%2F0002045446%3Futm_source%3Daffilae%26utm_medium%3Daffiliation%26utm_campaign%3Dlemrock" TargetMode="External" Id="rId1310" /><Relationship Type="http://schemas.openxmlformats.org/officeDocument/2006/relationships/hyperlink" Target="https://lb.affilae.com/r/?p=61b9aae6d4b9873f6d45ef3d&amp;af=546&amp;lp=https%3A%2F%2Fwww.allopneus.com%2Fproduit%2Fpneu-auto%2Fbridgestone%2Ftourisme-ete%2Fturanza-t005%2F195-55r16-87h%2F0005086294%3Futm_source%3Daffilae%26utm_medium%3Daffiliation%26utm_campaign%3Dlemrock" TargetMode="External" Id="rId1311" /><Relationship Type="http://schemas.openxmlformats.org/officeDocument/2006/relationships/hyperlink" Target="https://lb.affilae.com/r/?p=61b9aae6d4b9873f6d45ef3d&amp;af=546&amp;lp=https%3A%2F%2Fwww.allopneus.com%2Fproduit%2Fpneu-auto%2Fdunlop%2Ftourisme-4saisons%2Fsport-all-season%2F205-55r16-91v%2F0005674634%3Futm_source%3Daffilae%26utm_medium%3Daffiliation%26utm_campaign%3Dlemrock" TargetMode="External" Id="rId1312" /><Relationship Type="http://schemas.openxmlformats.org/officeDocument/2006/relationships/hyperlink" Target="https://www.cdiscount.com/high-tech/casques-baladeur-hifi/marshall-major-v-casque-sans-fil-pliable-bluet/f-1065420-mar1715107895408.html?cid=lemwork&amp;cm_mmc=marshall2" TargetMode="External" Id="rId1313" /><Relationship Type="http://schemas.openxmlformats.org/officeDocument/2006/relationships/hyperlink" Target="https://www.cdiscount.com/high-tech/lecteurs-mp3-mp4-et-multimedia/enceinte-sono-dj-marshall-bromley-450-son-st/f-1063320-mar7340055409384.html?cid=lemwork&amp;cm_mmc=marshall7" TargetMode="External" Id="rId1314" /><Relationship Type="http://schemas.openxmlformats.org/officeDocument/2006/relationships/hyperlink" Target="https://www.cdiscount.com/high-tech/enceintes-sans-fil-bluetooth/enceinte-sono-dj-marshall-bromley-750-true-s/f-10684-aabpv29379.html?cid=lemwork&amp;cm_mmc=marshall4" TargetMode="External" Id="rId1315" /><Relationship Type="http://schemas.openxmlformats.org/officeDocument/2006/relationships/hyperlink" Target="https://www.cdiscount.com/high-tech/casques-baladeur-hifi/casque-audio-marshall-milton-a-n-c-noir/f-1065420-mar7340055407373.html?cid=lemwork&amp;cm_mmc=marshall6" TargetMode="External" Id="rId1316" /><Relationship Type="http://schemas.openxmlformats.org/officeDocument/2006/relationships/hyperlink" Target="https://www.cdiscount.com/high-tech/lecteurs-mp3-mp4-et-multimedia/enceinte-sono-dj-marshall-bromley-450-son-st/f-1063320-mar7340055409384.html?cid=lemwork&amp;cm_mmc=marshall7" TargetMode="External" Id="rId1317" /><Relationship Type="http://schemas.openxmlformats.org/officeDocument/2006/relationships/hyperlink" Target="https://www.cdiscount.com/high-tech/home-cinema/enceinte-sans-fil-bluetooth-marshall-acton-iii-noi/f-106291002-mar7340055384940.html?cid=lemwork&amp;cm_mmc=marshall3" TargetMode="External" Id="rId1318" /><Relationship Type="http://schemas.openxmlformats.org/officeDocument/2006/relationships/hyperlink" Target="https://www.cdiscount.com/high-tech/enceintes-sans-fil-bluetooth/enceinte-sono-dj-marshall-bromley-750-true-s/f-10684-aabpv29379.html?cid=lemwork&amp;cm_mmc=marshall4" TargetMode="External" Id="rId1319" /><Relationship Type="http://schemas.openxmlformats.org/officeDocument/2006/relationships/hyperlink" Target="https://www.cdiscount.com/high-tech/enceintes-sans-fil-bluetooth/enceinte-sans-fil-marshall-kilburn-iii-bluet/f-10684-aaasl38879.html?cid=lemwork&amp;cm_mmc=marshall1" TargetMode="External" Id="rId1320" /><Relationship Type="http://schemas.openxmlformats.org/officeDocument/2006/relationships/hyperlink" Target="https://www.cdiscount.com/high-tech/home-cinema/marshall-emberton-iii-enceinte-portable-sans-fil/f-106291002-mar1726684013015.html?cid=lemwork&amp;cm_mmc=marshall5" TargetMode="External" Id="rId1321" /><Relationship Type="http://schemas.openxmlformats.org/officeDocument/2006/relationships/hyperlink" Target="https://www.cdiscount.com/high-tech/home-cinema/marshall-emberton-iii-enceinte-portable-sans-fil/f-106291002-mar1726684013015.html?cid=lemwork&amp;cm_mmc=marshall5" TargetMode="External" Id="rId1322" /><Relationship Type="http://schemas.openxmlformats.org/officeDocument/2006/relationships/hyperlink" Target="https://www.cdiscount.com/high-tech/casques-baladeur-hifi/marshall-major-v-casque-sans-fil-pliable-bluet/f-1065420-mar1715107895408.html?cid=lemwork&amp;cm_mmc=marshall2" TargetMode="External" Id="rId1323" /><Relationship Type="http://schemas.openxmlformats.org/officeDocument/2006/relationships/hyperlink" Target="https://www.cdiscount.com/high-tech/home-cinema/enceinte-sans-fil-bluetooth-marshall-acton-iii-noi/f-106291002-mar7340055384940.html?cid=lemwork&amp;cm_mmc=marshall3" TargetMode="External" Id="rId1324" /><Relationship Type="http://schemas.openxmlformats.org/officeDocument/2006/relationships/hyperlink" Target="https://www.cdiscount.com/high-tech/lecteurs-mp3-mp4-et-multimedia/enceinte-sono-dj-marshall-bromley-450-son-st/f-1063320-mar7340055409384.html?cid=lemwork&amp;cm_mmc=marshall7" TargetMode="External" Id="rId1325" /><Relationship Type="http://schemas.openxmlformats.org/officeDocument/2006/relationships/hyperlink" Target="https://www.cdiscount.com/high-tech/casques-baladeur-hifi/casque-audio-marshall-milton-a-n-c-noir/f-1065420-mar7340055407373.html?cid=lemwork&amp;cm_mmc=marshall6" TargetMode="External" Id="rId1326" /><Relationship Type="http://schemas.openxmlformats.org/officeDocument/2006/relationships/hyperlink" Target="https://www.cdiscount.com/high-tech/enceintes-sans-fil-bluetooth/enceinte-sono-dj-marshall-bromley-750-true-s/f-10684-aabpv29379.html?cid=lemwork&amp;cm_mmc=marshall4" TargetMode="External" Id="rId1327" /><Relationship Type="http://schemas.openxmlformats.org/officeDocument/2006/relationships/hyperlink" Target="https://www.cdiscount.com/high-tech/casques-baladeur-hifi/casque-audio-marshall-milton-a-n-c-noir/f-1065420-mar7340055407373.html?cid=lemwork&amp;cm_mmc=marshall6" TargetMode="External" Id="rId1328" /><Relationship Type="http://schemas.openxmlformats.org/officeDocument/2006/relationships/hyperlink" Target="https://www.cdiscount.com/high-tech/enceintes-sans-fil-bluetooth/enceinte-sans-fil-marshall-kilburn-iii-bluet/f-10684-aaasl38879.html?cid=lemwork&amp;cm_mmc=marshall1" TargetMode="External" Id="rId1329" /><Relationship Type="http://schemas.openxmlformats.org/officeDocument/2006/relationships/hyperlink" Target="https://www.cdiscount.com/high-tech/casques-baladeur-hifi/marshall-major-v-casque-sans-fil-pliable-bluet/f-1065420-mar1715107895408.html?cid=lemwork&amp;cm_mmc=marshall2" TargetMode="External" Id="rId1330" /><Relationship Type="http://schemas.openxmlformats.org/officeDocument/2006/relationships/hyperlink" Target="https://www.cdiscount.com/high-tech/home-cinema/marshall-emberton-iii-enceinte-portable-sans-fil/f-106291002-mar1726684013015.html?cid=lemwork&amp;cm_mmc=marshall5" TargetMode="External" Id="rId1331" /><Relationship Type="http://schemas.openxmlformats.org/officeDocument/2006/relationships/hyperlink" Target="https://www.cdiscount.com/high-tech/home-cinema/enceinte-sans-fil-bluetooth-marshall-acton-iii-noi/f-106291002-mar7340055384940.html?cid=lemwork&amp;cm_mmc=marshall3" TargetMode="External" Id="rId1332" /><Relationship Type="http://schemas.openxmlformats.org/officeDocument/2006/relationships/hyperlink" Target="https://www.cdiscount.com/high-tech/lecteurs-mp3-mp4-et-multimedia/enceinte-sono-dj-marshall-bromley-450-son-st/f-1063320-mar7340055409384.html?cid=lemwork&amp;cm_mmc=marshall7" TargetMode="External" Id="rId1333" /><Relationship Type="http://schemas.openxmlformats.org/officeDocument/2006/relationships/hyperlink" Target="https://www.cdiscount.com/high-tech/enceintes-sans-fil-bluetooth/enceinte-sono-dj-marshall-bromley-750-true-s/f-10684-aabpv29379.html?cid=lemwork&amp;cm_mmc=marshall4" TargetMode="External" Id="rId1334" /><Relationship Type="http://schemas.openxmlformats.org/officeDocument/2006/relationships/hyperlink" Target="https://www.cdiscount.com/high-tech/enceintes-sans-fil-bluetooth/enceinte-sans-fil-marshall-kilburn-iii-bluet/f-10684-aaasl38879.html?cid=lemwork&amp;cm_mmc=marshall1" TargetMode="External" Id="rId1335" /><Relationship Type="http://schemas.openxmlformats.org/officeDocument/2006/relationships/hyperlink" Target="https://www.cdiscount.com/high-tech/enceintes-sans-fil-bluetooth/l-10684.html?cid=lemwork&amp;cm_mmc=gen_marshall" TargetMode="External" Id="rId1336" /><Relationship Type="http://schemas.openxmlformats.org/officeDocument/2006/relationships/hyperlink" Target="https://www.cdiscount.com/high-tech/casques-baladeur-hifi/casque-audio/v-1065420-1065420.html?cid=lemwork&amp;cm_mmc=gen_marshall" TargetMode="External" Id="rId1337" /><Relationship Type="http://schemas.openxmlformats.org/officeDocument/2006/relationships/hyperlink" Target="https://www.cdiscount.com/high-tech/sono-dj/enceintes-dj/l-1063908.html?cid=lemwork&amp;cm_mmc=gen_marshall" TargetMode="External" Id="rId1338" /><Relationship Type="http://schemas.openxmlformats.org/officeDocument/2006/relationships/hyperlink" Target="https://www.cdiscount.com/pret-a-porter/bebe-puericulture/safety-1st-barriere-de-lit-enfant-pliable-18-mois/f-11317370203-24835510.html?cid=lemwork&amp;cm_mmc=dorel22" TargetMode="External" Id="rId1339" /><Relationship Type="http://schemas.openxmlformats.org/officeDocument/2006/relationships/hyperlink" Target="https://www.cdiscount.com/pret-a-porter/bebe-puericulture/bebeconfort-chauffe-biberon-digital-de-poche-rapi/f-113173320-bbc3220660006779.html?cid=lemwork&amp;cm_mmc=dorel27" TargetMode="External" Id="rId1340" /><Relationship Type="http://schemas.openxmlformats.org/officeDocument/2006/relationships/hyperlink" Target="https://www.cdiscount.com/pret-a-porter/bebe-puericulture/bebeconfort-mini-thermometre-multifonctions-4-en/f-11317341209-bbc3220660006878.html?cid=lemwork&amp;cm_mmc=dorel29" TargetMode="External" Id="rId1341" /><Relationship Type="http://schemas.openxmlformats.org/officeDocument/2006/relationships/hyperlink" Target="https://www.cdiscount.com/pret-a-porter/bebe-puericulture/voyages-bebe/lit-parapluie-lit-de-voyage/l-113177103.html?cid=lemwork&amp;cm_mmc=gen_dorel" TargetMode="External" Id="rId1342" /><Relationship Type="http://schemas.openxmlformats.org/officeDocument/2006/relationships/hyperlink" Target="https://www.cdiscount.com/pret-a-porter/bebe-puericulture/bain-soin-toilette/tables-a-langer-plans-a-langer/l-113173401.html?cid=lemwork&amp;cm_mmc=gen_dorel" TargetMode="External" Id="rId1343" /><Relationship Type="http://schemas.openxmlformats.org/officeDocument/2006/relationships/hyperlink" Target="https://www.cdiscount.com/pret-a-porter/bebe-puericulture/bebeconfort-trousse-de-toilette-complete-pour-bebe/f-11317341203-bbc3220660006847.html?cid=lemwork&amp;cm_mmc=dorel28" TargetMode="External" Id="rId1344" /><Relationship Type="http://schemas.openxmlformats.org/officeDocument/2006/relationships/hyperlink" Target="https://www.cdiscount.com/pret-a-porter/bebe-puericulture/tiny-love-arches-articulees-dans-la-prairie-0-mo/f-113172522-tin7290108861839.html?cid=lemwork&amp;cm_mmc=dorel83" TargetMode="External" Id="rId1345" /><Relationship Type="http://schemas.openxmlformats.org/officeDocument/2006/relationships/hyperlink" Target="https://www.cdiscount.com/pret-a-porter/bebe-puericulture/bebeconfort-siege-auto-evolutif-pivotant-evolufix/f-113177101-bbc8712930021483.html?cid=lemwork&amp;cm_mmc=dorel3" TargetMode="External" Id="rId1346" /><Relationship Type="http://schemas.openxmlformats.org/officeDocument/2006/relationships/hyperlink" Target="https://www.cdiscount.com/pret-a-porter/bebe-puericulture/tiny-love-arches-articulees-dans-la-prairie-0-mo/f-113172522-tin7290108861839.html?cid=lemwork&amp;cm_mmc=dorel83" TargetMode="External" Id="rId1347" /><Relationship Type="http://schemas.openxmlformats.org/officeDocument/2006/relationships/hyperlink" Target="https://www.cdiscount.com/pret-a-porter/bebe-puericulture/bebeconfort-explorer-trotteur-avec-tablette-musica/f-113172518-bbc3220660345014.html?cid=lemwork&amp;cm_mmc=dorel35" TargetMode="External" Id="rId1348" /><Relationship Type="http://schemas.openxmlformats.org/officeDocument/2006/relationships/hyperlink" Target="https://www.cdiscount.com/pret-a-porter/bebe-puericulture/tiny-love-mobile-de-voyage-3-en1-magical-tales/f-113172517-tin1693295558140.html?cid=lemwork&amp;cm_mmc=dorel81" TargetMode="External" Id="rId1349" /><Relationship Type="http://schemas.openxmlformats.org/officeDocument/2006/relationships/hyperlink" Target="https://www.cdiscount.com/pret-a-porter/bebe-puericulture/bebeconfort-chauffe-biberon-digital-de-poche-rapi/f-113173320-bbc3220660006779.html?cid=lemwork&amp;cm_mmc=dorel27" TargetMode="External" Id="rId1350" /><Relationship Type="http://schemas.openxmlformats.org/officeDocument/2006/relationships/hyperlink" Target="https://www.cdiscount.com/pret-a-porter/bebe-puericulture/safety-1st-barriere-de-securite-wall-fix-extending/f-11317370201-saf3220660270521.html?cid=lemwork&amp;cm_mmc=dorel8" TargetMode="External" Id="rId1351" /><Relationship Type="http://schemas.openxmlformats.org/officeDocument/2006/relationships/hyperlink" Target="https://www.cdiscount.com/pret-a-porter/bebe-puericulture/safety-1st-barriere-de-securite-enfant-73-80cm-bl/f-11317370201-24484310.html?cid=lemwork&amp;cm_mmc=dorel9" TargetMode="External" Id="rId1352" /><Relationship Type="http://schemas.openxmlformats.org/officeDocument/2006/relationships/hyperlink" Target="https://www.cdiscount.com/pret-a-porter/bebe-puericulture/bebeconfort-mini-thermometre-multifonctions-4-en/f-11317341209-bbc3220660006878.html?cid=lemwork&amp;cm_mmc=dorel29" TargetMode="External" Id="rId1353" /><Relationship Type="http://schemas.openxmlformats.org/officeDocument/2006/relationships/hyperlink" Target="https://www.cdiscount.com/pret-a-porter/bebe-puericulture/safety-1st-barriere-de-securite-enfant-easy-close/f-11317370201-24754310.html?cid=lemwork&amp;cm_mmc=dorel21" TargetMode="External" Id="rId1354" /><Relationship Type="http://schemas.openxmlformats.org/officeDocument/2006/relationships/hyperlink" Target="https://www.cdiscount.com/pret-a-porter/bebe-puericulture/barriere-de-securite-enfant-easy-close-metal-saf/f-11317370201-saf2475057000.html?cid=lemwork&amp;cm_mmc=dorel15" TargetMode="External" Id="rId1355" /><Relationship Type="http://schemas.openxmlformats.org/officeDocument/2006/relationships/hyperlink" Target="https://www.cdiscount.com/pret-a-porter/bebe-puericulture/bebeconfort-explorer-trotteur-avec-tablette-musica/f-113172518-bbc3220660345014.html?cid=lemwork&amp;cm_mmc=dorel35" TargetMode="External" Id="rId1356" /><Relationship Type="http://schemas.openxmlformats.org/officeDocument/2006/relationships/hyperlink" Target="https://www.cdiscount.com/pret-a-porter/bebe-puericulture/berceau-bebe-et-cododo-2-en-1-amara-de-la-naissan/f-11317381413-aaalx78614.html?cid=lemwork&amp;cm_mmc=dorel24" TargetMode="External" Id="rId1357" /><Relationship Type="http://schemas.openxmlformats.org/officeDocument/2006/relationships/hyperlink" Target="https://www.cdiscount.com/pret-a-porter/bebe-puericulture/bebeconfort-rehausseur-de-chaise-essential-booste/f-113173307-bbconf2776191210.html?cid=lemwork&amp;cm_mmc=dorel14" TargetMode="External" Id="rId1358" /><Relationship Type="http://schemas.openxmlformats.org/officeDocument/2006/relationships/hyperlink" Target="https://www.cdiscount.com/pret-a-porter/bebe-puericulture/bebeconfort-aster-transat-ultra-plat-ajustable/f-113172524-bbc3220660005734.html?cid=lemwork&amp;cm_mmc=dorel26" TargetMode="External" Id="rId1359" /><Relationship Type="http://schemas.openxmlformats.org/officeDocument/2006/relationships/hyperlink" Target="https://www.cdiscount.com/pret-a-porter/bebe-puericulture/equipement-repas-alimentation/chaises-hautes-accessoires/l-113173307.html?cid=lemwork&amp;cm_mmc=gen_dorel" TargetMode="External" Id="rId1360" /><Relationship Type="http://schemas.openxmlformats.org/officeDocument/2006/relationships/hyperlink" Target="https://www.cdiscount.com/pret-a-porter/bebe-puericulture/tiny-love-mobile-de-voyage-3-en1-magical-tales/f-113172517-tin1693295558140.html?cid=lemwork&amp;cm_mmc=dorel81" TargetMode="External" Id="rId1361" /><Relationship Type="http://schemas.openxmlformats.org/officeDocument/2006/relationships/hyperlink" Target="https://www.cdiscount.com/pret-a-porter/bebe-puericulture/berceau-bebe-et-cododo-2-en-1-amara-de-la-naissan/f-11317381413-aaalx78614.html?cid=lemwork&amp;cm_mmc=dorel24" TargetMode="External" Id="rId1362" /><Relationship Type="http://schemas.openxmlformats.org/officeDocument/2006/relationships/hyperlink" Target="https://www.cdiscount.com/pret-a-porter/bebe-puericulture/bebeconfort-trousse-de-toilette-complete-pour-bebe/f-11317341203-bbc3220660006847.html?cid=lemwork&amp;cm_mmc=dorel28" TargetMode="External" Id="rId1363" /><Relationship Type="http://schemas.openxmlformats.org/officeDocument/2006/relationships/hyperlink" Target="https://www.cdiscount.com/pret-a-porter/bebe-puericulture/eveil-jouets-1er-age/tapis-d-eveil-portiques-d-eveil/l-113172503.html?cid=lemwork&amp;cm_mmc=gen_dorel" TargetMode="External" Id="rId1364" /><Relationship Type="http://schemas.openxmlformats.org/officeDocument/2006/relationships/hyperlink" Target="https://www.cdiscount.com/pret-a-porter/bebe-puericulture/maxi-cosi-poussette-canne-ultra-compacte-lara-2-0/f-1131735-max3220660338122.html?cid=lemwork&amp;cm_mmc=dorel20" TargetMode="External" Id="rId1365" /><Relationship Type="http://schemas.openxmlformats.org/officeDocument/2006/relationships/hyperlink" Target="https://www.cdiscount.com/pret-a-porter/bebe-puericulture/maxi-cosi-poussette-3-en-1-zelia-s-trio2-nacelle/f-1131735-mc3220669980179.html?cid=lemwork&amp;cm_mmc=dorel4" TargetMode="External" Id="rId1366" /><Relationship Type="http://schemas.openxmlformats.org/officeDocument/2006/relationships/hyperlink" Target="https://www.cdiscount.com/pret-a-porter/bebe-puericulture/bebeconfort-zina-berceau-pliable-bebe-cododo-0/f-11317381413-aaafq42021.html?cid=lemwork&amp;cm_mmc=dorel23" TargetMode="External" Id="rId1367" /><Relationship Type="http://schemas.openxmlformats.org/officeDocument/2006/relationships/hyperlink" Target="https://www.cdiscount.com/pret-a-porter/bebe-puericulture/bebeconfort-sweet-dreams-lit-bebe-lit-parapluie/f-113177103-bbc3220660008759.html?cid=lemwork&amp;cm_mmc=dorel30" TargetMode="External" Id="rId1368" /><Relationship Type="http://schemas.openxmlformats.org/officeDocument/2006/relationships/hyperlink" Target="https://www.cdiscount.com/pret-a-porter/bebe-puericulture/bebeconfort-dolphy-table-a-langer-et-baignoire-2en/f-113173401-bbc3220660340798.html?cid=lemwork&amp;cm_mmc=dorel18" TargetMode="External" Id="rId1369" /><Relationship Type="http://schemas.openxmlformats.org/officeDocument/2006/relationships/hyperlink" Target="https://www.cdiscount.com/pret-a-porter/bebe-puericulture/bebeconfort-haze-poussette-3-en-1-assise-transfor/f-1131735-bbc3220660344802.html?cid=lemwork&amp;cm_mmc=dorel1" TargetMode="External" Id="rId1370" /><Relationship Type="http://schemas.openxmlformats.org/officeDocument/2006/relationships/hyperlink" Target="https://www.cdiscount.com/pret-a-porter/bebe-puericulture/bebeconfort-aster-transat-ultra-plat-ajustable/f-113172524-bbc3220660005734.html?cid=lemwork&amp;cm_mmc=dorel26" TargetMode="External" Id="rId1371" /><Relationship Type="http://schemas.openxmlformats.org/officeDocument/2006/relationships/hyperlink" Target="https://www.cdiscount.com/pret-a-porter/bebe-puericulture/eveil-jouets-1er-age/trotteurs/l-113172518.html?cid=lemwork&amp;cm_mmc=gen_dorel" TargetMode="External" Id="rId1372" /><Relationship Type="http://schemas.openxmlformats.org/officeDocument/2006/relationships/hyperlink" Target="https://www.cdiscount.com/pret-a-porter/bebe-puericulture/bebeconfort-lily-chaise-haute-bebe-ultra-compacte/f-113173307-bbc3220660345915.html?cid=lemwork&amp;cm_mmc=dorel6" TargetMode="External" Id="rId1373" /><Relationship Type="http://schemas.openxmlformats.org/officeDocument/2006/relationships/hyperlink" Target="https://www.cdiscount.com/pret-a-porter/bebe-puericulture/tiny-love-mobile-de-voyage-3-en1-magical-tales/f-113172517-tin1693295558140.html?cid=lemwork&amp;cm_mmc=dorel81" TargetMode="External" Id="rId1374" /><Relationship Type="http://schemas.openxmlformats.org/officeDocument/2006/relationships/hyperlink" Target="https://www.cdiscount.com/pret-a-porter/bebe-puericulture/bebeconfort-sunlite-poussette-ultra-compacte-con/f-1131735-bbc3220660012497.html?cid=lemwork&amp;cm_mmc=dorel17" TargetMode="External" Id="rId1375" /><Relationship Type="http://schemas.openxmlformats.org/officeDocument/2006/relationships/hyperlink" Target="https://www.cdiscount.com/pret-a-porter/bebe-puericulture/bebeconfort-zina-berceau-pliable-bebe-cododo-0/f-11317381413-aaafq42021.html?cid=lemwork&amp;cm_mmc=dorel23" TargetMode="External" Id="rId1376" /><Relationship Type="http://schemas.openxmlformats.org/officeDocument/2006/relationships/hyperlink" Target="https://www.cdiscount.com/pret-a-porter/bebe-puericulture/bebeconfort-rehausseur-de-chaise-essential-booste/f-113173307-bbconf2776191210.html?cid=lemwork&amp;cm_mmc=dorel14" TargetMode="External" Id="rId1377" /><Relationship Type="http://schemas.openxmlformats.org/officeDocument/2006/relationships/hyperlink" Target="https://www.cdiscount.com/pret-a-porter/bebe-puericulture/bebeconfort-foggy-poussette-canne-compacte-legere/f-1131735-bbc3220660347179.html?cid=lemwork&amp;cm_mmc=dorel12" TargetMode="External" Id="rId1378" /><Relationship Type="http://schemas.openxmlformats.org/officeDocument/2006/relationships/hyperlink" Target="https://www.cdiscount.com/pret-a-porter/bebe-puericulture/bebeconfort-rehausseur-bebe-pliable-moly-de-6-moi/f-11317330702-aaaph76672.html?cid=lemwork&amp;cm_mmc=dorel25" TargetMode="External" Id="rId1379" /><Relationship Type="http://schemas.openxmlformats.org/officeDocument/2006/relationships/hyperlink" Target="https://www.cdiscount.com/pret-a-porter/bebe-puericulture/bebeconfort-siege-auto-evolutif-pivotant-evolufix/f-113177101-bbc8712930021483.html?cid=lemwork&amp;cm_mmc=dorel3" TargetMode="External" Id="rId1380" /><Relationship Type="http://schemas.openxmlformats.org/officeDocument/2006/relationships/hyperlink" Target="https://www.cdiscount.com/pret-a-porter/bebe-puericulture/siege-auto-evolutif-ceinture-grow-i-safe-bebe-conf/f-113177101-bbc8712930011057.html?cid=lemwork&amp;cm_mmc=dorel13" TargetMode="External" Id="rId1381" /><Relationship Type="http://schemas.openxmlformats.org/officeDocument/2006/relationships/hyperlink" Target="https://www.cdiscount.com/pret-a-porter/bebe-puericulture/siege-auto-evolutif-ceinture-grow-i-safe-bebe-conf/f-113177101-bbc8712930011057.html?cid=lemwork&amp;cm_mmc=dorel13" TargetMode="External" Id="rId1382" /><Relationship Type="http://schemas.openxmlformats.org/officeDocument/2006/relationships/hyperlink" Target="https://www.cdiscount.com/pret-a-porter/bebe-puericulture/bebeconfort-brume-poussette-3-en-1-assise-transfo/f-1131735-bbc3220660011384.html?cid=lemwork&amp;cm_mmc=dorel16" TargetMode="External" Id="rId1383" /><Relationship Type="http://schemas.openxmlformats.org/officeDocument/2006/relationships/hyperlink" Target="https://www.cdiscount.com/pret-a-porter/bebe-puericulture/bebe-confort-poussette-canne-snow-ultra-legere-5/f-1131735-bbc3220660010745.html?cid=lemwork&amp;cm_mmc=dorel11" TargetMode="External" Id="rId1384" /><Relationship Type="http://schemas.openxmlformats.org/officeDocument/2006/relationships/hyperlink" Target="https://www.cdiscount.com/pret-a-porter/bebe-puericulture/bebeconfort-mini-thermometre-multifonctions-4-en/f-11317341209-bbc3220660006878.html?cid=lemwork&amp;cm_mmc=dorel29" TargetMode="External" Id="rId1385" /><Relationship Type="http://schemas.openxmlformats.org/officeDocument/2006/relationships/hyperlink" Target="https://www.cdiscount.com/pret-a-porter/bebe-puericulture/bebeconfort-sunlite-poussette-ultra-compacte-con/f-1131735-bbc3220660347407.html?cid=lemwork&amp;cm_mmc=dorel5" TargetMode="External" Id="rId1386" /><Relationship Type="http://schemas.openxmlformats.org/officeDocument/2006/relationships/hyperlink" Target="https://www.cdiscount.com/pret-a-porter/bebe-puericulture/safety-1st-siege-auto-cosmo-i-safe-i-size-de-0-a/f-113177101-sf8712930023272.html?cid=lemwork&amp;cm_mmc=dorel2" TargetMode="External" Id="rId1387" /><Relationship Type="http://schemas.openxmlformats.org/officeDocument/2006/relationships/hyperlink" Target="https://www.cdiscount.com/pret-a-porter/bebe-puericulture/bebeconfort-explorer-trotteur-avec-tablette-musica/f-113172518-bbc3220660345014.html?cid=lemwork&amp;cm_mmc=dorel35" TargetMode="External" Id="rId1388" /><Relationship Type="http://schemas.openxmlformats.org/officeDocument/2006/relationships/hyperlink" Target="https://www.cdiscount.com/pret-a-porter/bebe-puericulture/bebeconfort-sunlite-poussette-ultra-compacte-con/f-1131735-bbc3220660012565.html?cid=lemwork&amp;cm_mmc=dorel7" TargetMode="External" Id="rId1389" /><Relationship Type="http://schemas.openxmlformats.org/officeDocument/2006/relationships/hyperlink" Target="https://www.cdiscount.com/pret-a-porter/bebe-puericulture/tiny-love-arches-articulees-dans-la-prairie-0-mo/f-113172522-tin7290108861839.html?cid=lemwork&amp;cm_mmc=dorel83" TargetMode="External" Id="rId1390" /><Relationship Type="http://schemas.openxmlformats.org/officeDocument/2006/relationships/hyperlink" Target="https://www.cdiscount.com/pret-a-porter/bebe-puericulture/safety-1st-barriere-de-securite-enfant-easy-close/f-11317370201-24754310.html?cid=lemwork&amp;cm_mmc=dorel21" TargetMode="External" Id="rId1391" /><Relationship Type="http://schemas.openxmlformats.org/officeDocument/2006/relationships/hyperlink" Target="https://www.cdiscount.com/pret-a-porter/bebe-puericulture/safety-1st-barriere-de-securite-enfant-73-80cm-bl/f-11317370201-24484310.html?cid=lemwork&amp;cm_mmc=dorel9" TargetMode="External" Id="rId1392" /><Relationship Type="http://schemas.openxmlformats.org/officeDocument/2006/relationships/hyperlink" Target="https://www.cdiscount.com/pret-a-porter/bebe-puericulture/maxi-cosi-poussette-canne-ultra-compacte-lara-2-0/f-1131735-max3220660338122.html?cid=lemwork&amp;cm_mmc=dorel20" TargetMode="External" Id="rId1393" /><Relationship Type="http://schemas.openxmlformats.org/officeDocument/2006/relationships/hyperlink" Target="https://www.cdiscount.com/pret-a-porter/bebe-puericulture/bebe-confort-siege-auto-evolutif-grow-i-size-de-1/f-113177101-bbc8712930187479.html?cid=lemwork&amp;cm_mmc=dorel19" TargetMode="External" Id="rId1394" /><Relationship Type="http://schemas.openxmlformats.org/officeDocument/2006/relationships/hyperlink" Target="https://www.cdiscount.com/pret-a-porter/bebe-puericulture/safety-1st-barriere-de-securite-wall-fix-extending/f-11317370201-saf3220660270521.html?cid=lemwork&amp;cm_mmc=dorel8" TargetMode="External" Id="rId1395" /><Relationship Type="http://schemas.openxmlformats.org/officeDocument/2006/relationships/hyperlink" Target="https://www.cdiscount.com/pret-a-porter/bebe-puericulture/barriere-de-securite-enfant-easy-close-metal-saf/f-11317370201-saf2475057000.html?cid=lemwork&amp;cm_mmc=dorel15" TargetMode="External" Id="rId1396" /><Relationship Type="http://schemas.openxmlformats.org/officeDocument/2006/relationships/hyperlink" Target="https://www.cdiscount.com/pret-a-porter/bebe-puericulture/maxi-cosi-poussette-3-en-1-zelia-s-trio2-nacelle/f-1131735-mc3220669980179.html?cid=lemwork&amp;cm_mmc=dorel4" TargetMode="External" Id="rId1397" /><Relationship Type="http://schemas.openxmlformats.org/officeDocument/2006/relationships/hyperlink" Target="https://www.cdiscount.com/pret-a-porter/bebe-puericulture/bebeconfort-sunlite-poussette-ultra-compacte-con/f-1131735-bbc3220660012565.html?cid=lemwork&amp;cm_mmc=dorel7" TargetMode="External" Id="rId1398" /><Relationship Type="http://schemas.openxmlformats.org/officeDocument/2006/relationships/hyperlink" Target="https://www.cdiscount.com/pret-a-porter/bebe-puericulture/bebeconfort-siege-auto-evolutif-pivotant-evolufix/f-113177101-bbc8712930021483.html?cid=lemwork&amp;cm_mmc=dorel3" TargetMode="External" Id="rId1399" /><Relationship Type="http://schemas.openxmlformats.org/officeDocument/2006/relationships/hyperlink" Target="https://www.cdiscount.com/pret-a-porter/bebe-puericulture/bebeconfort-lily-chaise-haute-bebe-ultra-compacte/f-113173307-bbc3220660345915.html?cid=lemwork&amp;cm_mmc=dorel6" TargetMode="External" Id="rId1400" /><Relationship Type="http://schemas.openxmlformats.org/officeDocument/2006/relationships/hyperlink" Target="https://www.cdiscount.com/pret-a-porter/bebe-puericulture/safety-1st-barriere-de-lit-enfant-pliable-18-mois/f-11317370203-24835510.html?cid=lemwork&amp;cm_mmc=dorel22" TargetMode="External" Id="rId1401" /><Relationship Type="http://schemas.openxmlformats.org/officeDocument/2006/relationships/hyperlink" Target="https://www.cdiscount.com/pret-a-porter/bebe-puericulture/safety-1st-siege-auto-cosmo-i-safe-i-size-de-0-a/f-113177101-sf8712930023272.html?cid=lemwork&amp;cm_mmc=dorel2" TargetMode="External" Id="rId1402" /><Relationship Type="http://schemas.openxmlformats.org/officeDocument/2006/relationships/hyperlink" Target="https://www.cdiscount.com/pret-a-porter/bebe-puericulture/bebeconfort-sunlite-poussette-ultra-compacte-con/f-1131735-bbc3220660012497.html?cid=lemwork&amp;cm_mmc=dorel17" TargetMode="External" Id="rId1403" /><Relationship Type="http://schemas.openxmlformats.org/officeDocument/2006/relationships/hyperlink" Target="https://www.cdiscount.com/pret-a-porter/bebe-puericulture/bebeconfort-sweet-dreams-lit-bebe-lit-parapluie/f-113177103-bbc3220660008759.html?cid=lemwork&amp;cm_mmc=dorel30" TargetMode="External" Id="rId1404" /><Relationship Type="http://schemas.openxmlformats.org/officeDocument/2006/relationships/hyperlink" Target="https://www.cdiscount.com/pret-a-porter/bebe-puericulture/bebeconfort-sunlite-poussette-ultra-compacte-con/f-1131735-bbc3220660347407.html?cid=lemwork&amp;cm_mmc=dorel5" TargetMode="External" Id="rId1405" /><Relationship Type="http://schemas.openxmlformats.org/officeDocument/2006/relationships/hyperlink" Target="https://www.cdiscount.com/pret-a-porter/bebe-puericulture/bebeconfort-chauffe-biberon-digital-de-poche-rapi/f-113173320-bbc3220660006779.html?cid=lemwork&amp;cm_mmc=dorel27" TargetMode="External" Id="rId1406" /><Relationship Type="http://schemas.openxmlformats.org/officeDocument/2006/relationships/hyperlink" Target="https://www.cdiscount.com/pret-a-porter/bebe-puericulture/bebe-confort-poussette-canne-snow-ultra-legere-5/f-1131735-bbc3220660010745.html?cid=lemwork&amp;cm_mmc=dorel11" TargetMode="External" Id="rId1407" /><Relationship Type="http://schemas.openxmlformats.org/officeDocument/2006/relationships/hyperlink" Target="https://www.cdiscount.com/pret-a-porter/bebe-puericulture/bebeconfort-haze-poussette-3-en-1-assise-transfor/f-1131735-bbc3220660344802.html?cid=lemwork&amp;cm_mmc=dorel1" TargetMode="External" Id="rId1408" /><Relationship Type="http://schemas.openxmlformats.org/officeDocument/2006/relationships/hyperlink" Target="https://www.cdiscount.com/pret-a-porter/bebe-puericulture/bebeconfort-rehausseur-bebe-pliable-moly-de-6-moi/f-11317330702-aaaph76672.html?cid=lemwork&amp;cm_mmc=dorel25" TargetMode="External" Id="rId1409" /><Relationship Type="http://schemas.openxmlformats.org/officeDocument/2006/relationships/hyperlink" Target="https://www.cdiscount.com/pret-a-porter/bebe-puericulture/bebeconfort-brume-poussette-3-en-1-assise-transfo/f-1131735-bbc3220660011384.html?cid=lemwork&amp;cm_mmc=dorel16" TargetMode="External" Id="rId1410" /><Relationship Type="http://schemas.openxmlformats.org/officeDocument/2006/relationships/hyperlink" Target="https://www.cdiscount.com/pret-a-porter/bebe-puericulture/bebeconfort-foggy-poussette-canne-compacte-legere/f-1131735-bbc3220660347179.html?cid=lemwork&amp;cm_mmc=dorel12" TargetMode="External" Id="rId1411" /><Relationship Type="http://schemas.openxmlformats.org/officeDocument/2006/relationships/hyperlink" Target="https://www.cdiscount.com/pret-a-porter/bebe-puericulture/bebeconfort-trousse-de-toilette-complete-pour-bebe/f-11317341203-bbc3220660006847.html?cid=lemwork&amp;cm_mmc=dorel28" TargetMode="External" Id="rId1412" /><Relationship Type="http://schemas.openxmlformats.org/officeDocument/2006/relationships/hyperlink" Target="https://www.cdiscount.com/pret-a-porter/bebe-puericulture/bebe-confort-siege-auto-evolutif-grow-i-size-de-1/f-113177101-bbc8712930187479.html?cid=lemwork&amp;cm_mmc=dorel19" TargetMode="External" Id="rId1413" /><Relationship Type="http://schemas.openxmlformats.org/officeDocument/2006/relationships/hyperlink" Target="https://www.cdiscount.com/pret-a-porter/bebe-puericulture/bebeconfort-dolphy-table-a-langer-et-baignoire-2en/f-113173401-bbc3220660340798.html?cid=lemwork&amp;cm_mmc=dorel18" TargetMode="External" Id="rId1414" /><Relationship Type="http://schemas.openxmlformats.org/officeDocument/2006/relationships/hyperlink" Target="https://www.cdiscount.com/pret-a-porter/bebe-puericulture/chambres-literie-bebe/mobilier-chambre-bebe/lits-bebes/l-11317381402.html?cid=lemwork&amp;cm_mmc=gen_dorel" TargetMode="External" Id="rId1415" /><Relationship Type="http://schemas.openxmlformats.org/officeDocument/2006/relationships/hyperlink" Target="https://www.cdiscount.com/pret-a-porter/bebe-puericulture/bain-soin-toilette/v-1131734-1131734.html?cid=lemwork&amp;cm_mmc=gen_dorel" TargetMode="External" Id="rId1416" /><Relationship Type="http://schemas.openxmlformats.org/officeDocument/2006/relationships/hyperlink" Target="https://www.cdiscount.com/pret-a-porter/bebe-puericulture/bain-soin-toilette/accessoires-hygiene-et-soin/sets-de-soin/l-11317341203.html?cid=lemwork&amp;cm_mmc=gen_dorel" TargetMode="External" Id="rId1417" /><Relationship Type="http://schemas.openxmlformats.org/officeDocument/2006/relationships/hyperlink" Target="https://www.cdiscount.com/pret-a-porter/bebe-puericulture/equipement-repas-alimentation/chauffes-biberons/l-113173320.html?cid=lemwork&amp;cm_mmc=gen_dorel" TargetMode="External" Id="rId1418" /><Relationship Type="http://schemas.openxmlformats.org/officeDocument/2006/relationships/hyperlink" Target="https://www.cdiscount.com/pret-a-porter/bebe-puericulture/eveil-jouets-1er-age/v-1131725-1131725.html?cid=lemwork&amp;cm_mmc=gen_dorel" TargetMode="External" Id="rId1419" /><Relationship Type="http://schemas.openxmlformats.org/officeDocument/2006/relationships/hyperlink" Target="https://www.cdiscount.com/pret-a-porter/bebe-puericulture/poussettes-porte-bebes/portes-bebes/l-113173503.html?cid=lemwork&amp;cm_mmc=gen_dorel" TargetMode="External" Id="rId1420" /><Relationship Type="http://schemas.openxmlformats.org/officeDocument/2006/relationships/hyperlink" Target="https://www.cdiscount.com/pret-a-porter/bebe-puericulture/eveil-jouets-1er-age/mobile/l-113172517.html?cid=lemwork&amp;cm_mmc=gen_dorel" TargetMode="External" Id="rId1421" /><Relationship Type="http://schemas.openxmlformats.org/officeDocument/2006/relationships/hyperlink" Target="https://www.cdiscount.com/pret-a-porter/bebe-puericulture/poussettes-porte-bebes/l-1131735.html?cid=lemwork&amp;cm_mmc=gen_dorel" TargetMode="External" Id="rId1422" /><Relationship Type="http://schemas.openxmlformats.org/officeDocument/2006/relationships/hyperlink" Target="https://www.cdiscount.com/pret-a-porter/bebe-puericulture/eveil-jouets-1er-age/transat-balancelle/l-113172524.html?cid=lemwork&amp;cm_mmc=gen_dorel" TargetMode="External" Id="rId1423" /><Relationship Type="http://schemas.openxmlformats.org/officeDocument/2006/relationships/hyperlink" Target="https://www.cdiscount.com/pret-a-porter/bebe-puericulture/ecoutes-bebes-securite/barrieres-de-lit/barrieres-de-securite/l-11317370201.html?cid=lemwork&amp;cm_mmc=gen_dorel" TargetMode="External" Id="rId1424" /><Relationship Type="http://schemas.openxmlformats.org/officeDocument/2006/relationships/hyperlink" Target="https://www.cdiscount.com/pret-a-porter/bebe-puericulture/berceau-bebe-et-cododo-2-en-1-amara-de-la-naissan/f-11317381413-aaalx78614.html?cid=lemwork&amp;cm_mmc=dorel24" TargetMode="External" Id="rId1425" /><Relationship Type="http://schemas.openxmlformats.org/officeDocument/2006/relationships/hyperlink" Target="https://www.cdiscount.com/pret-a-porter/bebe-puericulture/voyages-bebe/sieges-auto-accessoires-auto/l-113177101.html?cid=lemwork&amp;cm_mmc=gen_dorel" TargetMode="External" Id="rId1426" /><Relationship Type="http://schemas.openxmlformats.org/officeDocument/2006/relationships/hyperlink" Target="https://www.cdiscount.com/pret-a-porter/bebe-puericulture/bebeconfort-aster-transat-ultra-plat-ajustable/f-113172524-bbc3220660005734.html?cid=lemwork&amp;cm_mmc=dorel26" TargetMode="External" Id="rId1427" /><Relationship Type="http://schemas.openxmlformats.org/officeDocument/2006/relationships/hyperlink" Target="https://www.cdiscount.com/pret-a-porter/bebe-puericulture/bebeconfort-siege-auto-evolutif-pivotant-evolufix/f-113177101-bbc8712930021483.html?cid=lemwork&amp;cm_mmc=dorel3" TargetMode="External" Id="rId1428" /><Relationship Type="http://schemas.openxmlformats.org/officeDocument/2006/relationships/hyperlink" Target="https://www.cdiscount.com/pret-a-porter/bebe-puericulture/maxi-cosi-poussette-canne-ultra-compacte-lara-2-0/f-1131735-max3220660338122.html?cid=lemwork&amp;cm_mmc=dorel20" TargetMode="External" Id="rId1429" /><Relationship Type="http://schemas.openxmlformats.org/officeDocument/2006/relationships/hyperlink" Target="https://www.cdiscount.com/pret-a-porter/bebe-puericulture/siege-auto-evolutif-ceinture-grow-i-safe-bebe-conf/f-113177101-bbc8712930011057.html?cid=lemwork&amp;cm_mmc=dorel13" TargetMode="External" Id="rId1430" /><Relationship Type="http://schemas.openxmlformats.org/officeDocument/2006/relationships/hyperlink" Target="https://www.cdiscount.com/pret-a-porter/bebe-puericulture/bebeconfort-lily-chaise-haute-bebe-ultra-compacte/f-113173307-bbc3220660345915.html?cid=lemwork&amp;cm_mmc=dorel6" TargetMode="External" Id="rId1431" /><Relationship Type="http://schemas.openxmlformats.org/officeDocument/2006/relationships/hyperlink" Target="https://www.cdiscount.com/pret-a-porter/bebe-puericulture/bebeconfort-zina-berceau-pliable-bebe-cododo-0/f-11317381413-aaafq42021.html?cid=lemwork&amp;cm_mmc=dorel23" TargetMode="External" Id="rId1432" /><Relationship Type="http://schemas.openxmlformats.org/officeDocument/2006/relationships/hyperlink" Target="https://www.cdiscount.com/pret-a-porter/bebe-puericulture/bebeconfort-rehausseur-de-chaise-essential-booste/f-113173307-bbconf2776191210.html?cid=lemwork&amp;cm_mmc=dorel14" TargetMode="External" Id="rId1433" /><Relationship Type="http://schemas.openxmlformats.org/officeDocument/2006/relationships/hyperlink" Target="https://www.cdiscount.com/pret-a-porter/bebe-puericulture/bebe-confort-poussette-canne-snow-ultra-legere-5/f-1131735-bbc3220660010745.html?cid=lemwork&amp;cm_mmc=dorel11" TargetMode="External" Id="rId1434" /><Relationship Type="http://schemas.openxmlformats.org/officeDocument/2006/relationships/hyperlink" Target="https://www.cdiscount.com/pret-a-porter/bebe-puericulture/maxi-cosi-poussette-3-en-1-zelia-s-trio2-nacelle/f-1131735-mc3220669980179.html?cid=lemwork&amp;cm_mmc=dorel4" TargetMode="External" Id="rId1435" /><Relationship Type="http://schemas.openxmlformats.org/officeDocument/2006/relationships/hyperlink" Target="https://www.cdiscount.com/pret-a-porter/bebe-puericulture/bebeconfort-sweet-dreams-lit-bebe-lit-parapluie/f-113177103-bbc3220660008759.html?cid=lemwork&amp;cm_mmc=dorel30" TargetMode="External" Id="rId1436" /><Relationship Type="http://schemas.openxmlformats.org/officeDocument/2006/relationships/hyperlink" Target="https://www.cdiscount.com/pret-a-porter/bebe-puericulture/bebeconfort-haze-poussette-3-en-1-assise-transfor/f-1131735-bbc3220660344802.html?cid=lemwork&amp;cm_mmc=dorel1" TargetMode="External" Id="rId1437" /><Relationship Type="http://schemas.openxmlformats.org/officeDocument/2006/relationships/hyperlink" Target="https://www.cdiscount.com/pret-a-porter/bebe-puericulture/bebeconfort-rehausseur-bebe-pliable-moly-de-6-moi/f-11317330702-aaaph76672.html?cid=lemwork&amp;cm_mmc=dorel25" TargetMode="External" Id="rId1438" /><Relationship Type="http://schemas.openxmlformats.org/officeDocument/2006/relationships/hyperlink" Target="https://www.cdiscount.com/pret-a-porter/bebe-puericulture/bebeconfort-foggy-poussette-canne-compacte-legere/f-1131735-bbc3220660347179.html?cid=lemwork&amp;cm_mmc=dorel12" TargetMode="External" Id="rId1439" /><Relationship Type="http://schemas.openxmlformats.org/officeDocument/2006/relationships/hyperlink" Target="https://www.cdiscount.com/pret-a-porter/bebe-puericulture/bebeconfort-sunlite-poussette-ultra-compacte-con/f-1131735-bbc3220660012565.html?cid=lemwork&amp;cm_mmc=dorel7" TargetMode="External" Id="rId1440" /><Relationship Type="http://schemas.openxmlformats.org/officeDocument/2006/relationships/hyperlink" Target="https://www.cdiscount.com/pret-a-porter/bebe-puericulture/bebeconfort-dolphy-table-a-langer-et-baignoire-2en/f-113173401-bbc3220660340798.html?cid=lemwork&amp;cm_mmc=dorel18" TargetMode="External" Id="rId1441" /><Relationship Type="http://schemas.openxmlformats.org/officeDocument/2006/relationships/hyperlink" Target="https://www.cdiscount.com/pret-a-porter/bebe-puericulture/safety-1st-siege-auto-cosmo-i-safe-i-size-de-0-a/f-113177101-sf8712930023272.html?cid=lemwork&amp;cm_mmc=dorel2" TargetMode="External" Id="rId1442" /><Relationship Type="http://schemas.openxmlformats.org/officeDocument/2006/relationships/hyperlink" Target="https://www.cdiscount.com/pret-a-porter/bebe-puericulture/bebeconfort-sunlite-poussette-ultra-compacte-con/f-1131735-bbc3220660012497.html?cid=lemwork&amp;cm_mmc=dorel17" TargetMode="External" Id="rId1443" /><Relationship Type="http://schemas.openxmlformats.org/officeDocument/2006/relationships/hyperlink" Target="https://www.cdiscount.com/pret-a-porter/bebe-puericulture/bebeconfort-brume-poussette-3-en-1-assise-transfo/f-1131735-bbc3220660011384.html?cid=lemwork&amp;cm_mmc=dorel16" TargetMode="External" Id="rId1444" /><Relationship Type="http://schemas.openxmlformats.org/officeDocument/2006/relationships/hyperlink" Target="https://www.cdiscount.com/pret-a-porter/bebe-puericulture/bebeconfort-sunlite-poussette-ultra-compacte-con/f-1131735-bbc3220660347407.html?cid=lemwork&amp;cm_mmc=dorel5" TargetMode="External" Id="rId1445" /><Relationship Type="http://schemas.openxmlformats.org/officeDocument/2006/relationships/hyperlink" Target="https://www.cdiscount.com/pret-a-porter/bebe-puericulture/bebe-confort-siege-auto-evolutif-grow-i-size-de-1/f-113177101-bbc8712930187479.html?cid=lemwork&amp;cm_mmc=dorel19" TargetMode="External" Id="rId1446" /><Relationship Type="http://schemas.openxmlformats.org/officeDocument/2006/relationships/hyperlink" Target="https://click.linksynergy.com/deeplink?id=9i20SERoF44&amp;mid=53154&amp;murl=https%3A%2F%2Fwww.levi.com%2FFR%2Ffr_FR%2Funidays-nl%2Fceinture-ashland%2Fp%2F380160117" TargetMode="External" Id="rId1447" /><Relationship Type="http://schemas.openxmlformats.org/officeDocument/2006/relationships/hyperlink" Target="https://click.linksynergy.com/deeplink?id=9i20SERoF44&amp;mid=53154&amp;murl=https%3A%2F%2Fwww.levi.com%2FFR%2Ffr_FR%2Fvetements%2Fenfants%2Fgarcon%2Fjeans-garcon%2Fjean-skinny510-pour-enfant%2Fp%2F864900009" TargetMode="External" Id="rId1448" /><Relationship Type="http://schemas.openxmlformats.org/officeDocument/2006/relationships/hyperlink" Target="https://www.levi.com/FR/fr_FR/unidays-it/jupe-taille-haute-fente-arriere/p/001VH0006" TargetMode="External" Id="rId1449" /><Relationship Type="http://schemas.openxmlformats.org/officeDocument/2006/relationships/hyperlink" Target="https://click.linksynergy.com/deeplink?id=9i20SERoF44&amp;mid=53154&amp;murl=https%3A%2F%2Fwww.levi.com%2FFR%2Ffr_FR%2Funidays-nl%2Fceinture-ashland%2Fp%2F380160117" TargetMode="External" Id="rId1450" /><Relationship Type="http://schemas.openxmlformats.org/officeDocument/2006/relationships/hyperlink" Target="https://www.levi.com/FR/fr_FR/vetements/vetements-homme-levis/polo-housemark-grandes-tailles/p/869980003" TargetMode="External" Id="rId1451" /><Relationship Type="http://schemas.openxmlformats.org/officeDocument/2006/relationships/hyperlink" Target="https://click.linksynergy.com/deeplink?id=9i20SERoF44&amp;mid=53154&amp;murl=https%3A%2F%2Fwww.levi.com%2FFR%2Ffr_FR%2Fwomen%2Ft-shirt%2Fp%2F173690201" TargetMode="External" Id="rId1452" /><Relationship Type="http://schemas.openxmlformats.org/officeDocument/2006/relationships/hyperlink" Target="https://click.linksynergy.com/deeplink?id=9i20SERoF44&amp;mid=53154&amp;murl=https%3A%2F%2Fwww.levi.com%2FFR%2Ffr_FR%2Fvetements%2Ffemme%2Fjeans%2Fserie-300%2Fjean314-galbant-straight-grandes-tailles%2Fp%2F196410003" TargetMode="External" Id="rId1453" /><Relationship Type="http://schemas.openxmlformats.org/officeDocument/2006/relationships/hyperlink" Target="https://www.levi.com/FR/fr_FR/vetements/femme/robes-salopettes/mini-zip-dress/p/0088V0003" TargetMode="External" Id="rId1454" /><Relationship Type="http://schemas.openxmlformats.org/officeDocument/2006/relationships/hyperlink" Target="https://click.linksynergy.com/deeplink?id=9i20SERoF44&amp;mid=53154&amp;murl=https%3A%2F%2Fwww.levi.com%2FFR%2Ffr_FR%2Fvetements%2Fvetements-homme-levis%2Fjeans%2Ffuseles%2Fjean502-taper-grandes-tailles%2Fp%2F596840169" TargetMode="External" Id="rId1455" /><Relationship Type="http://schemas.openxmlformats.org/officeDocument/2006/relationships/hyperlink" Target="https://click.linksynergy.com/deeplink?id=9i20SERoF44&amp;mid=53154&amp;murl=https%3A%2F%2Fwww.levi.com%2FFR%2Ffr_FR%2Fvetements%2Ffemme%2Fpulls-sweats%2Fmolletons%2Fsweat-shirt-vintage-boxy%2Fp%2F005I90001" TargetMode="External" Id="rId1456" /><Relationship Type="http://schemas.openxmlformats.org/officeDocument/2006/relationships/hyperlink" Target="https://www.levi.com/FR/fr_FR/vetements/vetements-homme-levis/polo-housemark-grandes-tailles/p/869980003" TargetMode="External" Id="rId1457" /><Relationship Type="http://schemas.openxmlformats.org/officeDocument/2006/relationships/hyperlink" Target="https://www.levi.com/FR/fr_FR/unidays-it/robe-chemise-mi-longue-denim/p/0002Q0000" TargetMode="External" Id="rId1458" /><Relationship Type="http://schemas.openxmlformats.org/officeDocument/2006/relationships/hyperlink" Target="https://www.levi.com/FR/fr_FR/vetements/vetements-homme-levis/chemise-col-boutonne-authentic/p/A72100060" TargetMode="External" Id="rId1459" /><Relationship Type="http://schemas.openxmlformats.org/officeDocument/2006/relationships/hyperlink" Target="https://click.linksynergy.com/deeplink?id=9i20SERoF44&amp;mid=53154&amp;murl=https%3A%2F%2Fwww.levi.com%2FFR%2Ffr_FR%2Fshop-all%2Faudra-seamed-top%2Fp%2F007WM0000" TargetMode="External" Id="rId1460" /><Relationship Type="http://schemas.openxmlformats.org/officeDocument/2006/relationships/hyperlink" Target="https://www.levi.com/FR/fr_FR/vetements/femme/robes-salopettes/mini-zip-dress/p/0088V0003" TargetMode="External" Id="rId1461" /><Relationship Type="http://schemas.openxmlformats.org/officeDocument/2006/relationships/hyperlink" Target="https://click.linksynergy.com/deeplink?id=9i20SERoF44&amp;mid=53154&amp;murl=https%3A%2F%2Fwww.levi.com%2FFR%2Ffr_FR%2Fshop-all%2Fpolo-housemark-grandes-tailles%2Fp%2F869980003" TargetMode="External" Id="rId1462" /><Relationship Type="http://schemas.openxmlformats.org/officeDocument/2006/relationships/hyperlink" Target="https://www.levi.com/FR/fr_FR/unidays-it/jupe-taille-haute-fente-arriere/p/001VH0006" TargetMode="External" Id="rId1463" /><Relationship Type="http://schemas.openxmlformats.org/officeDocument/2006/relationships/hyperlink" Target="https://click.linksynergy.com/deeplink?id=9i20SERoF44&amp;mid=53154&amp;murl=https%3A%2F%2Fwww.levi.com%2FFR%2Ffr_FR%2Fvetements%2Ffemme%2Fjeans%2Fserie-300%2Fjean314-galbant-straight-grandes-tailles%2Fp%2F196410003" TargetMode="External" Id="rId1464" /><Relationship Type="http://schemas.openxmlformats.org/officeDocument/2006/relationships/hyperlink" Target="https://www.levi.com/FR/fr_FR/vetements/femme/robes-salopettes/mini-zip-dress/p/0088V0003" TargetMode="External" Id="rId1465" /><Relationship Type="http://schemas.openxmlformats.org/officeDocument/2006/relationships/hyperlink" Target="https://www.levi.com/FR/fr_FR/vetements/vetements-homme-levis/chemise-col-boutonne-authentic/p/A72100060" TargetMode="External" Id="rId1466" /><Relationship Type="http://schemas.openxmlformats.org/officeDocument/2006/relationships/hyperlink" Target="https://click.linksynergy.com/deeplink?id=9i20SERoF44&amp;mid=53154&amp;murl=https%3A%2F%2Fwww.levi.com%2FFR%2Ffr_FR%2Fvetements%2Fvetements-homme-levis%2Fjeans%2Fdroits%2Flevis-jean501-original%2Fp%2F005013496" TargetMode="External" Id="rId1467" /><Relationship Type="http://schemas.openxmlformats.org/officeDocument/2006/relationships/hyperlink" Target="https://click.linksynergy.com/deeplink?id=9i20SERoF44&amp;mid=53154&amp;murl=https%3A%2F%2Fwww.levi.com%2FFR%2Ffr_FR%2Fshop-all%2Faudra-seamed-top%2Fp%2F007WM0000" TargetMode="External" Id="rId1468" /><Relationship Type="http://schemas.openxmlformats.org/officeDocument/2006/relationships/hyperlink" Target="https://click.linksynergy.com/deeplink?id=9i20SERoF44&amp;mid=53154&amp;murl=https%3A%2F%2Fwww.levi.com%2FFR%2Ffr_FR%2Fvetements%2Ffemme%2Fpulls-sweats%2Fmolletons%2Fsweat-shirt-vintage-boxy%2Fp%2F005I90001" TargetMode="External" Id="rId1469" /><Relationship Type="http://schemas.openxmlformats.org/officeDocument/2006/relationships/hyperlink" Target="https://www.levi.com/FR/fr_FR/vetements/femme/sweaters-sweatshirts/molletons/sweat-shirt-vintage-boxy/p/005I90001" TargetMode="External" Id="rId1470" /><Relationship Type="http://schemas.openxmlformats.org/officeDocument/2006/relationships/hyperlink" Target="https://www.levi.com/FR/fr_FR/tops-t-shirts/levis-vintage-clothing-chemise-shorthorn-sawtooth/p/001L70002" TargetMode="External" Id="rId1471" /><Relationship Type="http://schemas.openxmlformats.org/officeDocument/2006/relationships/hyperlink" Target="https://click.linksynergy.com/deeplink?id=9i20SERoF44&amp;mid=53154&amp;murl=https%3A%2F%2Fwww.levi.com%2FFR%2Ffr_FR%2Fvetements%2Fvetements-homme-levis%2Fpantalons%2Fchino%2Fpantalon-xx-chino-standard-fusele-grandes-tailles%2Fp%2F394470000" TargetMode="External" Id="rId1472" /><Relationship Type="http://schemas.openxmlformats.org/officeDocument/2006/relationships/hyperlink" Target="https://click.linksynergy.com/deeplink?id=9i20SERoF44&amp;mid=53154&amp;murl=https%3A%2F%2Fwww.levi.com%2FFR%2Ffr_FR%2Fshop-all%2Ft-shirt-relaxed%2Fp%2FA20820409" TargetMode="External" Id="rId1473" /><Relationship Type="http://schemas.openxmlformats.org/officeDocument/2006/relationships/hyperlink" Target="https://click.linksynergy.com/deeplink?id=9i20SERoF44&amp;mid=53154&amp;murl=https%3A%2F%2Fwww.levi.com%2FFR%2Ffr_FR%2Fshop-all%2Fpolo-housemark-grandes-tailles%2Fp%2F869980003" TargetMode="External" Id="rId1474" /><Relationship Type="http://schemas.openxmlformats.org/officeDocument/2006/relationships/hyperlink" Target="https://click.linksynergy.com/deeplink?id=9i20SERoF44&amp;mid=53154&amp;murl=https%3A%2F%2Fwww.levi.com%2FFR%2Ffr_FR%2Fshop-all%2Ft-shirt-vintage-red-tab%2Fp%2FA06370058" TargetMode="External" Id="rId1475" /><Relationship Type="http://schemas.openxmlformats.org/officeDocument/2006/relationships/hyperlink" Target="https://www.levi.com/FR/fr_FR/vetements/unisexe/vetements-dexterieur/blousons-en-denim-et-camionneurs/veste-trucker-original/p/299450036" TargetMode="External" Id="rId1476" /><Relationship Type="http://schemas.openxmlformats.org/officeDocument/2006/relationships/hyperlink" Target="https://click.linksynergy.com/deeplink?id=9i20SERoF44&amp;mid=53154&amp;murl=https%3A%2F%2Fwww.levi.com%2FFR%2Ffr_FR%2Fwomen%2Ft-shirt%2Fp%2F173690201" TargetMode="External" Id="rId1477" /><Relationship Type="http://schemas.openxmlformats.org/officeDocument/2006/relationships/hyperlink" Target="https://click.linksynergy.com/deeplink?id=9i20SERoF44&amp;mid=53154&amp;murl=https%3A%2F%2Fwww.levi.com%2FFR%2Ffr_FR%2Fvetements%2Ffemme%2Fjeans%2Ftaille-mi-haute%2Fjean-311-galbant-skinny%2Fp%2F196260262" TargetMode="External" Id="rId1478" /><Relationship Type="http://schemas.openxmlformats.org/officeDocument/2006/relationships/hyperlink" Target="https://click.linksynergy.com/deeplink?id=9i20SERoF44&amp;mid=53154&amp;murl=https%3A%2F%2Fwww.levi.com%2FFR%2Ffr_FR%2Fvetements%2Ffemme%2Fjeans%2Floose%2Fjean-xl-straight%2Fp%2FA87010003" TargetMode="External" Id="rId1479" /><Relationship Type="http://schemas.openxmlformats.org/officeDocument/2006/relationships/hyperlink" Target="https://click.linksynergy.com/deeplink?id=9i20SERoF44&amp;mid=53154&amp;murl=https%3A%2F%2Fwww.levi.com%2FFR%2Ffr_FR%2Fshop-all%2Ft-shirt-vintage-red-tab%2Fp%2FA06370058" TargetMode="External" Id="rId1480" /><Relationship Type="http://schemas.openxmlformats.org/officeDocument/2006/relationships/hyperlink" Target="https://www.levi.com/FR/fr_FR/vetements/unisexe/vetements-dexterieur/blousons-en-denim-et-camionneurs/veste-trucker-original/p/299450036" TargetMode="External" Id="rId1481" /><Relationship Type="http://schemas.openxmlformats.org/officeDocument/2006/relationships/hyperlink" Target="https://www.levi.com/FR/fr_FR/shop-all/short-carrier-cargo/p/001KG0013" TargetMode="External" Id="rId1482" /><Relationship Type="http://schemas.openxmlformats.org/officeDocument/2006/relationships/hyperlink" Target="https://click.linksynergy.com/deeplink?id=9i20SERoF44&amp;mid=53154&amp;murl=https%3A%2F%2Fwww.levi.com%2FFR%2Ffr_FR%2Fvetements%2Ffemme%2Fjeans%2Fserie-700%2Fjean-721-taille-haute-skinny%2Fp%2F188820594" TargetMode="External" Id="rId1483" /><Relationship Type="http://schemas.openxmlformats.org/officeDocument/2006/relationships/hyperlink" Target="https://www.levi.com/FR/fr_FR/vetements/femme/sweaters-sweatshirts/molletons/sweat-shirt-vintage-boxy/p/005I90001" TargetMode="External" Id="rId1484" /><Relationship Type="http://schemas.openxmlformats.org/officeDocument/2006/relationships/hyperlink" Target="https://www.levi.com/FR/fr_FR/vetements/vetements-homme-levis/polo-housemark-grandes-tailles/p/869980003" TargetMode="External" Id="rId1485" /><Relationship Type="http://schemas.openxmlformats.org/officeDocument/2006/relationships/hyperlink" Target="https://www.levi.com/FR/fr_FR/unidays-it/robe-chemise-mi-longue-denim/p/0002Q0000" TargetMode="External" Id="rId1486" /><Relationship Type="http://schemas.openxmlformats.org/officeDocument/2006/relationships/hyperlink" Target="https://click.linksynergy.com/deeplink?id=9i20SERoF44&amp;mid=53154&amp;murl=https%3A%2F%2Fwww.levi.com%2FFR%2Ffr_FR%2Fvetements%2Ffemme%2Fjeans%2Fserie-700%2Fjean726-taille-haute-flare%2Fp%2FA34100070" TargetMode="External" Id="rId1487" /><Relationship Type="http://schemas.openxmlformats.org/officeDocument/2006/relationships/hyperlink" Target="https://www.levi.com/FR/fr_FR/unidays-it/jupe-taille-haute-fente-arriere/p/001VH0006" TargetMode="External" Id="rId1488" /><Relationship Type="http://schemas.openxmlformats.org/officeDocument/2006/relationships/hyperlink" Target="https://click.linksynergy.com/deeplink?id=9i20SERoF44&amp;mid=53154&amp;murl=https%3A%2F%2Fwww.levi.com%2FFR%2Ffr_FR%2Fvetements%2Fvetements-homme-levis%2Fjeans%2Ffuseles%2Fjean502-taper-grandes-tailles%2Fp%2F596840169" TargetMode="External" Id="rId1489" /><Relationship Type="http://schemas.openxmlformats.org/officeDocument/2006/relationships/hyperlink" Target="https://click.linksynergy.com/deeplink?id=9i20SERoF44&amp;mid=53154&amp;murl=https%3A%2F%2Fwww.levi.com%2FFR%2Ffr_FR%2Fvetements%2Ffemme%2Fjeans%2Ftaille-haute%2Fjean-coupe-courte501%2Fp%2F362000179" TargetMode="External" Id="rId1490" /><Relationship Type="http://schemas.openxmlformats.org/officeDocument/2006/relationships/hyperlink" Target="https://click.linksynergy.com/deeplink?id=9i20SERoF44&amp;mid=53154&amp;murl=https%3A%2F%2Fwww.levi.com%2FFR%2Ffr_FR%2Fvetements%2Ffemme%2Fjeans%2Ftaille-haute%2Fjean-ribcage-longueur-normale%2Fp%2F790780045" TargetMode="External" Id="rId1491" /><Relationship Type="http://schemas.openxmlformats.org/officeDocument/2006/relationships/hyperlink" Target="https://click.linksynergy.com/deeplink?id=9i20SERoF44&amp;mid=53154&amp;murl=https%3A%2F%2Fwww.levi.com%2FFR%2Ffr_FR%2Fvetements%2Ffemme%2Fjeans%2Ftaille-haute%2Fjean-ribcage-longueur-normale%2Fp%2F790780045" TargetMode="External" Id="rId1492" /><Relationship Type="http://schemas.openxmlformats.org/officeDocument/2006/relationships/hyperlink" Target="https://click.linksynergy.com/deeplink?id=9i20SERoF44&amp;mid=53154&amp;murl=https%3A%2F%2Fwww.levi.com%2FFR%2Ffr_FR%2Fvetements%2Ffemme%2Fjeans%2Ftaille-haute%2Fjean726-taille-haute-flare%2Fp%2FA34100027" TargetMode="External" Id="rId1493" /><Relationship Type="http://schemas.openxmlformats.org/officeDocument/2006/relationships/hyperlink" Target="https://click.linksynergy.com/deeplink?id=9i20SERoF44&amp;mid=53154&amp;murl=https%3A%2F%2Fwww.levi.com%2FFR%2Ffr_FR%2Fshop-all%2Fperfect-tee-plus-size%2Fp%2FA24350085" TargetMode="External" Id="rId1494" /><Relationship Type="http://schemas.openxmlformats.org/officeDocument/2006/relationships/hyperlink" Target="https://click.linksynergy.com/deeplink?id=9i20SERoF44&amp;mid=53154&amp;murl=https%3A%2F%2Fwww.levi.com%2FFR%2Ffr_FR%2Fvetements%2Ffemme%2Fjeans%2Ftaille-haute%2Fjean-coupe-courte501%2Fp%2F362000179" TargetMode="External" Id="rId1495" /><Relationship Type="http://schemas.openxmlformats.org/officeDocument/2006/relationships/hyperlink" Target="https://click.linksynergy.com/deeplink?id=9i20SERoF44&amp;mid=53154&amp;murl=https%3A%2F%2Fwww.levi.com%2FFR%2Ffr_FR%2Fvetements%2Ffemme%2Fjeans%2Floose%2Fjean-ribcage-wide-leg%2Fp%2FA60810020" TargetMode="External" Id="rId1496" /><Relationship Type="http://schemas.openxmlformats.org/officeDocument/2006/relationships/hyperlink" Target="https://click.linksynergy.com/deeplink?id=9i20SERoF44&amp;mid=53154&amp;murl=https%3A%2F%2Fwww.levi.com%2FFR%2Ffr_FR%2Fvetements%2Ffemme%2Fjeans%2Fserie-700%2Fjean726-taille-haute-flare%2Fp%2FA34100070" TargetMode="External" Id="rId1497" /><Relationship Type="http://schemas.openxmlformats.org/officeDocument/2006/relationships/hyperlink" Target="https://click.linksynergy.com/deeplink?id=9i20SERoF44&amp;mid=53154&amp;murl=https%3A%2F%2Fwww.levi.com%2FFR%2Ffr_FR%2Fvetements%2Fvetements-homme-levis%2Fjeans%2Floose-jeans%2Fjean578-baggy%2Fp%2FA47500020" TargetMode="External" Id="rId1498" /><Relationship Type="http://schemas.openxmlformats.org/officeDocument/2006/relationships/hyperlink" Target="https://click.linksynergy.com/deeplink?id=9i20SERoF44&amp;mid=53154&amp;murl=https%3A%2F%2Fwww.levi.com%2FFR%2Ffr_FR%2Fvetements%2Fvetements-homme-levis%2Fpantalons%2Fchino%2Fpantalon-xx-chino-standard-fusele-grandes-tailles%2Fp%2F394470000" TargetMode="External" Id="rId1499" /><Relationship Type="http://schemas.openxmlformats.org/officeDocument/2006/relationships/hyperlink" Target="https://click.linksynergy.com/deeplink?id=9i20SERoF44&amp;mid=53154&amp;murl=https%3A%2F%2Fwww.levi.com%2FFR%2Ffr_FR%2Fvetements%2Ffemme%2Fjeans%2Ftaille-haute%2Fjean-501original%2Fp%2F125010554" TargetMode="External" Id="rId1500" /><Relationship Type="http://schemas.openxmlformats.org/officeDocument/2006/relationships/hyperlink" Target="https://click.linksynergy.com/deeplink?id=9i20SERoF44&amp;mid=53154&amp;murl=https%3A%2F%2Fwww.levi.com%2FFR%2Ffr_FR%2Fvetements%2Fvetements-homme-levis%2Fjeans%2Ffuseles%2Fjean502-fusele%2Fp%2F295071420" TargetMode="External" Id="rId1501" /><Relationship Type="http://schemas.openxmlformats.org/officeDocument/2006/relationships/hyperlink" Target="https://click.linksynergy.com/deeplink?id=9i20SERoF44&amp;mid=53154&amp;murl=https%3A%2F%2Fwww.levi.com%2FFR%2Ffr_FR%2Fvetements%2Ffemme%2Fjeans%2Ftaille-haute%2Fjean726-taille-haute-flare%2Fp%2FA34100027" TargetMode="External" Id="rId1502" /><Relationship Type="http://schemas.openxmlformats.org/officeDocument/2006/relationships/hyperlink" Target="https://click.linksynergy.com/deeplink?id=9i20SERoF44&amp;mid=53154&amp;murl=https%3A%2F%2Fwww.levi.com%2FFR%2Ffr_FR%2Fvetements%2Fvetements-homme-levis%2Fjeans%2F511%2Fjean511-slim%2Fp%2F045115815" TargetMode="External" Id="rId1503" /><Relationship Type="http://schemas.openxmlformats.org/officeDocument/2006/relationships/hyperlink" Target="https://click.linksynergy.com/deeplink?id=9i20SERoF44&amp;mid=53154&amp;murl=https%3A%2F%2Fwww.levi.com%2FFR%2Ffr_FR%2Fvetements%2Fvetements-homme-levis%2Fjeans%2F501-original%2Fjean-501-original%2Fp%2F005013895" TargetMode="External" Id="rId1504" /><Relationship Type="http://schemas.openxmlformats.org/officeDocument/2006/relationships/hyperlink" Target="https://click.linksynergy.com/deeplink?id=9i20SERoF44&amp;mid=53154&amp;murl=https%3A%2F%2Fwww.levi.com%2FFR%2Ffr_FR%2Fvetements%2Ffemme%2Fshorts%2F501-shorts%2Fshort501original%2Fp%2F563270405" TargetMode="External" Id="rId1505" /><Relationship Type="http://schemas.openxmlformats.org/officeDocument/2006/relationships/hyperlink" Target="https://click.linksynergy.com/deeplink?id=9i20SERoF44&amp;mid=53154&amp;murl=https%3A%2F%2Fwww.levi.com%2FFR%2Ffr_FR%2Fvetements%2Fvetements-homme-levis%2Fjeans%2Floose-jeans%2Fjean-568-loose-straight%2Fp%2F290370078" TargetMode="External" Id="rId1506" /><Relationship Type="http://schemas.openxmlformats.org/officeDocument/2006/relationships/hyperlink" Target="https://click.linksynergy.com/deeplink?id=9i20SERoF44&amp;mid=53154&amp;murl=https%3A%2F%2Fwww.levi.com%2FFR%2Ffr_FR%2Fwomen%2Ft-shirt%2Fp%2F173690201" TargetMode="External" Id="rId1507" /><Relationship Type="http://schemas.openxmlformats.org/officeDocument/2006/relationships/hyperlink" Target="https://click.linksynergy.com/deeplink?id=9i20SERoF44&amp;mid=53154&amp;murl=https%3A%2F%2Fwww.levi.com%2FFR%2Ffr_FR%2Fvetements%2Fvetements-homme-levis%2Fjeans%2Fdroits%2Flevis-jean501-original%2Fp%2F005013496" TargetMode="External" Id="rId1508" /><Relationship Type="http://schemas.openxmlformats.org/officeDocument/2006/relationships/hyperlink" Target="https://click.linksynergy.com/deeplink?id=9i20SERoF44&amp;mid=53154&amp;murl=https%3A%2F%2Fwww.levi.com%2FFR%2Ffr_FR%2Fvetements%2Fvetements-homme-levis%2Fjeans%2Floose-jeans%2Fjean-anchor-relaxed%2Fp%2F0033V0001" TargetMode="External" Id="rId1509" /><Relationship Type="http://schemas.openxmlformats.org/officeDocument/2006/relationships/hyperlink" Target="https://click.linksynergy.com/deeplink?id=9i20SERoF44&amp;mid=53154&amp;murl=https%3A%2F%2Fwww.levi.com%2FFR%2Ffr_FR%2Fvetements%2Fvetements-homme-levis%2Fjeans%2Floose-jeans%2Fjean-568-loose-straight%2Fp%2F290370078" TargetMode="External" Id="rId1510" /><Relationship Type="http://schemas.openxmlformats.org/officeDocument/2006/relationships/hyperlink" Target="https://click.linksynergy.com/deeplink?id=9i20SERoF44&amp;mid=53154&amp;murl=https%3A%2F%2Fwww.levi.com%2FFR%2Ffr_FR%2Fvetements%2Fvetements-homme-levis%2Fjeans%2Floose-jeans%2Fjean578-baggy%2Fp%2FA47500020" TargetMode="External" Id="rId1511" /><Relationship Type="http://schemas.openxmlformats.org/officeDocument/2006/relationships/hyperlink" Target="https://click.linksynergy.com/deeplink?id=9i20SERoF44&amp;mid=53154&amp;murl=https%3A%2F%2Fwww.levi.com%2FFR%2Ffr_FR%2Fvetements%2Ffemme%2Fjeans%2Ftaille-haute%2Fjean-501original%2Fp%2F125010554" TargetMode="External" Id="rId1512" /><Relationship Type="http://schemas.openxmlformats.org/officeDocument/2006/relationships/hyperlink" Target="https://click.linksynergy.com/deeplink?id=9i20SERoF44&amp;mid=53154&amp;murl=https%3A%2F%2Fwww.levi.com%2FFR%2Ffr_FR%2Fvetements%2Ffemme%2Fjeans%2Fserie-700%2Fjean-721-taille-haute-skinny%2Fp%2F188820594" TargetMode="External" Id="rId1513" /><Relationship Type="http://schemas.openxmlformats.org/officeDocument/2006/relationships/hyperlink" Target="https://click.linksynergy.com/deeplink?id=9i20SERoF44&amp;mid=53154&amp;murl=https%3A%2F%2Fwww.levi.com%2FFR%2Ffr_FR%2Fshop-all%2Ft-shirt-relaxed%2Fp%2FA20820409" TargetMode="External" Id="rId1514" /><Relationship Type="http://schemas.openxmlformats.org/officeDocument/2006/relationships/hyperlink" Target="https://click.linksynergy.com/deeplink?id=9i20SERoF44&amp;mid=53154&amp;murl=https%3A%2F%2Fwww.levi.com%2FFR%2Ffr_FR%2Fvetements%2Ffemme%2Fjeans%2Ftaille-mi-haute%2Fjean-311-galbant-skinny%2Fp%2F196260262" TargetMode="External" Id="rId1515" /><Relationship Type="http://schemas.openxmlformats.org/officeDocument/2006/relationships/hyperlink" Target="https://click.linksynergy.com/deeplink?id=9i20SERoF44&amp;mid=53154&amp;murl=https%3A%2F%2Fwww.levi.com%2FFR%2Ffr_FR%2Fvetements%2Fvetements-homme-levis%2Fjeans%2F511%2Fjean511-slim%2Fp%2F045115815" TargetMode="External" Id="rId1516" /><Relationship Type="http://schemas.openxmlformats.org/officeDocument/2006/relationships/hyperlink" Target="https://www.levi.com/FR/fr_FR/vetements/femme/shorts/shorts-en-denim/short501original/p/563270405" TargetMode="External" Id="rId1517" /><Relationship Type="http://schemas.openxmlformats.org/officeDocument/2006/relationships/hyperlink" Target="https://click.linksynergy.com/deeplink?id=9i20SERoF44&amp;mid=53154&amp;murl=https%3A%2F%2Fwww.levi.com%2FFR%2Ffr_FR%2Fvetements%2Fvetements-homme-levis%2Fjeans%2F501-original%2Fjean-501-original%2Fp%2F005013895" TargetMode="External" Id="rId1518" /><Relationship Type="http://schemas.openxmlformats.org/officeDocument/2006/relationships/hyperlink" Target="https://www.levi.com/FR/fr_FR/vetements/vetements-homme-levis/chemise-col-boutonne-authentic/p/A72100060" TargetMode="External" Id="rId1519" /><Relationship Type="http://schemas.openxmlformats.org/officeDocument/2006/relationships/hyperlink" Target="https://www.levi.com/FR/fr_FR/tops-t-shirts/levis-vintage-clothing-chemise-shorthorn-sawtooth/p/001L70002" TargetMode="External" Id="rId1520" /><Relationship Type="http://schemas.openxmlformats.org/officeDocument/2006/relationships/hyperlink" Target="https://click.linksynergy.com/deeplink?id=9i20SERoF44&amp;mid=53154&amp;murl=https%3A%2F%2Fwww.levi.com%2FFR%2Ffr_FR%2Fvetements%2Fvetements-homme-levis%2Fjeans%2Ffuseles%2Fjean502-fusele%2Fp%2F295071420" TargetMode="External" Id="rId1521" /><Relationship Type="http://schemas.openxmlformats.org/officeDocument/2006/relationships/hyperlink" Target="https://click.linksynergy.com/deeplink?id=9i20SERoF44&amp;mid=53154&amp;murl=https%3A%2F%2Fwww.levi.com%2FFR%2Ffr_FR%2Fvetements%2Ffemme%2Fjeans%2Floose%2Fjean-ribcage-wide-leg%2Fp%2FA60810020" TargetMode="External" Id="rId1522" /><Relationship Type="http://schemas.openxmlformats.org/officeDocument/2006/relationships/hyperlink" Target="https://www.levi.com/FR/fr_FR/vetements/unisexe/vetements-dexterieur/blousons-en-denim-et-camionneurs/veste-trucker-original/p/299450036" TargetMode="External" Id="rId1523" /><Relationship Type="http://schemas.openxmlformats.org/officeDocument/2006/relationships/hyperlink" Target="https://click.linksynergy.com/deeplink?id=9i20SERoF44&amp;mid=53154&amp;murl=https%3A%2F%2Fwww.levi.com%2FFR%2Ffr_FR%2Fvetements%2Fvetements-homme-levis%2Fjeans%2Fdroits%2Flevis-jean501-original%2Fp%2F005013496" TargetMode="External" Id="rId1524" /><Relationship Type="http://schemas.openxmlformats.org/officeDocument/2006/relationships/hyperlink" Target="https://click.linksynergy.com/deeplink?id=9i20SERoF44&amp;mid=53154&amp;murl=https%3A%2F%2Fwww.levi.com%2FFR%2Ffr_FR%2Fvetements%2Fvetements-homme-levis%2Fpantalons%2Fchino%2Fpantalon-xx-chino-standard-fusele-grandes-tailles%2Fp%2F394470000" TargetMode="External" Id="rId1525" /><Relationship Type="http://schemas.openxmlformats.org/officeDocument/2006/relationships/hyperlink" Target="https://click.linksynergy.com/deeplink?id=9i20SERoF44&amp;mid=53154&amp;murl=https%3A%2F%2Fwww.levi.com%2FFR%2Ffr_FR%2Fvetements%2Fenfants%2Fgarcon%2Fjeans-garcon%2Fjean-skinny510-pour-enfant%2Fp%2F864900009" TargetMode="External" Id="rId1526" /><Relationship Type="http://schemas.openxmlformats.org/officeDocument/2006/relationships/hyperlink" Target="https://www.levi.com/FR/fr_FR/vetements/femme/shorts/shorts-en-denim/short501original/p/563270405" TargetMode="External" Id="rId1527" /><Relationship Type="http://schemas.openxmlformats.org/officeDocument/2006/relationships/hyperlink" Target="https://www.levi.com/FR/fr_FR/vetements/vetements-homme-levis/shorts/entrejambe-de-25cm/short478-baggy/p/001JM0013" TargetMode="External" Id="rId1528" /><Relationship Type="http://schemas.openxmlformats.org/officeDocument/2006/relationships/hyperlink" Target="https://click.linksynergy.com/deeplink?id=9i20SERoF44&amp;mid=53154&amp;murl=https%3A%2F%2Fwww.levi.com%2FFR%2Ffr_FR%2Fvetements%2Fvetements-homme-levis%2Fjeans%2Floose-jeans%2Fjean-anchor-relaxed%2Fp%2F0033V0001" TargetMode="External" Id="rId1529" /><Relationship Type="http://schemas.openxmlformats.org/officeDocument/2006/relationships/hyperlink" Target="https://click.linksynergy.com/deeplink?id=9i20SERoF44&amp;mid=53154&amp;murl=https%3A%2F%2Fwww.levi.com%2FFR%2Ffr_FR%2Fshop-all%2Fxx-cargo-straight-pants%2Fp%2FA73640047" TargetMode="External" Id="rId1530" /><Relationship Type="http://schemas.openxmlformats.org/officeDocument/2006/relationships/hyperlink" Target="https://click.linksynergy.com/deeplink?id=9i20SERoF44&amp;mid=53154&amp;murl=https%3A%2F%2Fwww.levi.com%2FFR%2Ffr_FR%2Funidays-nl%2Fceinture-ashland%2Fp%2F380160117" TargetMode="External" Id="rId1531" /><Relationship Type="http://schemas.openxmlformats.org/officeDocument/2006/relationships/hyperlink" Target="https://click.linksynergy.com/deeplink?id=9i20SERoF44&amp;mid=53154&amp;murl=https%3A%2F%2Fwww.levi.com%2FFR%2Ffr_FR%2Fvetements%2Ffemme%2Fshorts%2F501-shorts%2Fshort501original%2Fp%2F563270405" TargetMode="External" Id="rId1532" /><Relationship Type="http://schemas.openxmlformats.org/officeDocument/2006/relationships/hyperlink" Target="https://click.linksynergy.com/deeplink?id=9i20SERoF44&amp;mid=53154&amp;murl=https%3A%2F%2Fwww.levi.com%2FFR%2Ffr_FR%2Fvetements%2Ffemme%2Fjeans%2Floose%2Fjean-xl-straight%2Fp%2FA87010003" TargetMode="External" Id="rId1533" /><Relationship Type="http://schemas.openxmlformats.org/officeDocument/2006/relationships/hyperlink" Target="https://click.linksynergy.com/deeplink?id=9i20SERoF44&amp;mid=53154&amp;murl=https%3A%2F%2Fwww.levi.com%2FFR%2Ffr_FR%2Fvetements%2Ffemme%2Fjeans%2Ftaille-haute%2Fjean-501original%2Fp%2F125010554" TargetMode="External" Id="rId1534" /><Relationship Type="http://schemas.openxmlformats.org/officeDocument/2006/relationships/hyperlink" Target="https://click.linksynergy.com/deeplink?id=9i20SERoF44&amp;mid=53154&amp;murl=https%3A%2F%2Fwww.levi.com%2FFR%2Ffr_FR%2Fshop-all%2Fperfect-tee-plus-size%2Fp%2FA24350085" TargetMode="External" Id="rId1535" /><Relationship Type="http://schemas.openxmlformats.org/officeDocument/2006/relationships/hyperlink" Target="https://www.levi.com/FR/fr_FR/shop-all/short-carrier-cargo/p/001KG0013" TargetMode="External" Id="rId1536" /><Relationship Type="http://schemas.openxmlformats.org/officeDocument/2006/relationships/hyperlink" Target="https://click.linksynergy.com/deeplink?id=9i20SERoF44&amp;mid=53154&amp;murl=https%3A%2F%2Fwww.levi.com%2FFR%2Ffr_FR%2Fshop-all%2Fxx-cargo-straight-pants%2Fp%2FA73640047" TargetMode="External" Id="rId1537" /><Relationship Type="http://schemas.openxmlformats.org/officeDocument/2006/relationships/hyperlink" Target="https://www.levi.com/FR/fr_FR/vetements/vetements-homme-levis/shorts/entrejambe-de-25cm/short478-baggy/p/001JM0013" TargetMode="External" Id="rId1538" /><Relationship Type="http://schemas.openxmlformats.org/officeDocument/2006/relationships/hyperlink" Target="https://click.linksynergy.com/deeplink?id=9i20SERoF44&amp;mid=53154&amp;murl=https%3A%2F%2Fwww.levi.com%2FFR%2Ffr_FR%2Fvetements%2Fvetements-homme-levis%2Fpantalons%2Fchino%2Fpantalon-xx-chino-standard-fusele-grandes-tailles%2Fp%2F394470000" TargetMode="External" Id="rId1539" /><Relationship Type="http://schemas.openxmlformats.org/officeDocument/2006/relationships/hyperlink" Target="https://www.levi.com/FR/fr_FR/shop-all/short-carrier-cargo/p/001KG0013" TargetMode="External" Id="rId1540" /><Relationship Type="http://schemas.openxmlformats.org/officeDocument/2006/relationships/hyperlink" Target="https://click.linksynergy.com/deeplink?id=9i20SERoF44&amp;mid=53154&amp;murl=https%3A%2F%2Fwww.levi.com%2FFR%2Ffr_FR%2Fshop-all%2Fxx-cargo-straight-pants%2Fp%2FA73640047" TargetMode="External" Id="rId1541" /><Relationship Type="http://schemas.openxmlformats.org/officeDocument/2006/relationships/hyperlink" Target="https://www.levi.com/FR/fr_FR/vetements/vetements-homme-levis/shorts/entrejambe-de-25cm/short478-baggy/p/001JM0013" TargetMode="External" Id="rId1542" /><Relationship Type="http://schemas.openxmlformats.org/officeDocument/2006/relationships/hyperlink" Target="https://www.levi.com/FR/fr_FR/vetements/femme/shorts/shorts-en-denim/short501original/p/563270405" TargetMode="External" Id="rId1543" /><Relationship Type="http://schemas.openxmlformats.org/officeDocument/2006/relationships/hyperlink" Target="https://server.adform.net/C/?bn=89997184;gdpr=${GDPR};gdpr_consent=${GDPR_CONSENT_50}" TargetMode="External" Id="rId1544" /><Relationship Type="http://schemas.openxmlformats.org/officeDocument/2006/relationships/hyperlink" Target="https://www.cdiscount.com/electromenager/lave-vaisselle/lave-vaisselle-pose-libre-bosch-sms26ai01f-ser2/f-11025-bos4242005484331.html?cid=lemwork&amp;cm_mmc=BSH13" TargetMode="External" Id="rId1545" /><Relationship Type="http://schemas.openxmlformats.org/officeDocument/2006/relationships/hyperlink" Target="https://www.cdiscount.com/electromenager/lave-vaisselle/lave-vaisselle-tout-encastrable-bosch-sbh4hvx14e-s/f-11025-aabtv44359.html?cid=lemwork&amp;cm_mmc=BSH3" TargetMode="External" Id="rId1546" /><Relationship Type="http://schemas.openxmlformats.org/officeDocument/2006/relationships/hyperlink" Target="https://www.cdiscount.com/electromenager/lave-vaisselle/lave-vaisselle-pose-libre-bosch-sms2htw02e-ser2/f-11025-bos4242005437351.html?cid=lemwork&amp;cm_mmc=BSH16" TargetMode="External" Id="rId1547" /><Relationship Type="http://schemas.openxmlformats.org/officeDocument/2006/relationships/hyperlink" Target="https://www.cdiscount.com/electromenager/lave-vaisselle/lave-vaisselle-pose-libre-bosch-ssms6zcw12f-ser6/f-11025-bos4242005463459.html?cid=lemwork&amp;cm_mmc=BSH11" TargetMode="External" Id="rId1548" /><Relationship Type="http://schemas.openxmlformats.org/officeDocument/2006/relationships/hyperlink" Target="https://www.cdiscount.com/electromenager/lave-vaisselle/lave-vaisselle-pose-libre-bosch-sms4hmw08e-ser4/f-11025-bos4242005542109.html?cid=lemwork&amp;cm_mmc=BSH4" TargetMode="External" Id="rId1549" /><Relationship Type="http://schemas.openxmlformats.org/officeDocument/2006/relationships/hyperlink" Target="https://www.cdiscount.com/electromenager/lave-vaisselle/lave-vaisselle-pose-libre-bosch-sms4eci26e-ser4/f-11025-aaauj74747.html?cid=lemwork&amp;cm_mmc=BSH15" TargetMode="External" Id="rId1550" /><Relationship Type="http://schemas.openxmlformats.org/officeDocument/2006/relationships/hyperlink" Target="https://www.cdiscount.com/electromenager/lave-vaisselle/lave-vaisselle-pose-libre-bosch-sms26aw01f-ser2/f-11025-bos4242005484348.html?cid=lemwork&amp;cm_mmc=BSH10" TargetMode="External" Id="rId1551" /><Relationship Type="http://schemas.openxmlformats.org/officeDocument/2006/relationships/hyperlink" Target="https://www.cdiscount.com/electromenager/lave-vaisselle/lave-vaisselle-pose-libre-bosch-sms2hvi02e-ser2/f-11025-bos4242005437047.html?cid=lemwork&amp;cm_mmc=BSH6" TargetMode="External" Id="rId1552" /><Relationship Type="http://schemas.openxmlformats.org/officeDocument/2006/relationships/hyperlink" Target="https://www.cdiscount.com/electromenager/lave-vaisselle/lave-vaisselle-semi-encastrable-bosch-smi2hts02e-s/f-11025-bos4242005437368.html?cid=lemwork&amp;cm_mmc=BSH14" TargetMode="External" Id="rId1553" /><Relationship Type="http://schemas.openxmlformats.org/officeDocument/2006/relationships/hyperlink" Target="https://www.cdiscount.com/electromenager/lave-vaisselle/lave-vaisselle-tout-encastrable-bosch-smv4hcx07e-s/f-11025-aabtz57506.html?cid=lemwork&amp;cm_mmc=BSH12" TargetMode="External" Id="rId1554" /><Relationship Type="http://schemas.openxmlformats.org/officeDocument/2006/relationships/hyperlink" Target="https://www.cdiscount.com/electromenager/lave-vaisselle/lave-vaisselle-pose-libre-bosch-sms6zci11f-ser6/f-11025-bos4242005477630.html?cid=lemwork&amp;cm_mmc=BSH8" TargetMode="External" Id="rId1555" /><Relationship Type="http://schemas.openxmlformats.org/officeDocument/2006/relationships/hyperlink" Target="https://www.cdiscount.com/electromenager/lave-vaisselle/lave-vaisselle-tout-encastrable-bosch-sbv4hcx07e-s/f-11025-aabtz57546.html?cid=lemwork&amp;cm_mmc=BSH19" TargetMode="External" Id="rId1556" /><Relationship Type="http://schemas.openxmlformats.org/officeDocument/2006/relationships/hyperlink" Target="https://www.cdiscount.com/electromenager/lave-vaisselle/lave-vaisselle-semi-encastrable-bosch-smi6zcs10e-s/f-11025-bos4242005498642.html?cid=lemwork&amp;cm_mmc=BSH7" TargetMode="External" Id="rId1557" /><Relationship Type="http://schemas.openxmlformats.org/officeDocument/2006/relationships/hyperlink" Target="https://www.cdiscount.com/electromenager/lave-vaisselle/lave-vaisselle-tout-encastrable-bosch-smv2htx02e-s/f-11025-bos1696642971804.html?cid=lemwork&amp;cm_mmc=BSH2" TargetMode="External" Id="rId1558" /><Relationship Type="http://schemas.openxmlformats.org/officeDocument/2006/relationships/hyperlink" Target="https://www.cdiscount.com/electromenager/lave-vaisselle/lave-vaisselle-semi-encastrable-bosch-spi4hms13e-s/f-11025-bos4242005551095.html?cid=lemwork&amp;cm_mmc=BSH17" TargetMode="External" Id="rId1559" /><Relationship Type="http://schemas.openxmlformats.org/officeDocument/2006/relationships/hyperlink" Target="https://www.cdiscount.com/electromenager/lave-vaisselle/lave-vaisselle-pose-libre-bosch-sms26ai01f-ser2/f-11025-bos4242005484331.html?cid=lemwork&amp;cm_mmc=BSH13" TargetMode="External" Id="rId1560" /><Relationship Type="http://schemas.openxmlformats.org/officeDocument/2006/relationships/hyperlink" Target="https://www.cdiscount.com/electromenager/lave-vaisselle/lave-vaisselle-semi-encastrable-bosch-smi6zcs10e-s/f-11025-bos4242005498642.html?cid=lemwork&amp;cm_mmc=BSH7" TargetMode="External" Id="rId1561" /><Relationship Type="http://schemas.openxmlformats.org/officeDocument/2006/relationships/hyperlink" Target="https://www.cdiscount.com/electromenager/lave-vaisselle/lave-vaisselle-pose-libre-bosch-sms2htw02e-ser2/f-11025-bos4242005437351.html?cid=lemwork&amp;cm_mmc=BSH16" TargetMode="External" Id="rId1562" /><Relationship Type="http://schemas.openxmlformats.org/officeDocument/2006/relationships/hyperlink" Target="https://www.cdiscount.com/electromenager/lave-vaisselle/lave-vaisselle-tout-encastrable-bosch-spv4emx17e-s/f-11025-aabto28950.html?cid=lemwork&amp;cm_mmc=BSH9" TargetMode="External" Id="rId1563" /><Relationship Type="http://schemas.openxmlformats.org/officeDocument/2006/relationships/hyperlink" Target="https://www.cdiscount.com/electromenager/lave-vaisselle/lave-vaisselle-tout-encastrable-bosch-sbh4hvx14e-s/f-11025-aabtv44359.html?cid=lemwork&amp;cm_mmc=BSH3" TargetMode="External" Id="rId1564" /><Relationship Type="http://schemas.openxmlformats.org/officeDocument/2006/relationships/hyperlink" Target="https://www.cdiscount.com/electromenager/lave-vaisselle/lave-vaisselle-tout-encastrable-bosch-smv6zcx10e-s/f-11025-bos1750171741742.html?cid=lemwork&amp;cm_mmc=BSH5" TargetMode="External" Id="rId1565" /><Relationship Type="http://schemas.openxmlformats.org/officeDocument/2006/relationships/hyperlink" Target="https://www.cdiscount.com/electromenager/lave-vaisselle/lave-vaisselle-tout-encastrable-bosch-smv2htx02e-s/f-11025-bos1696642971804.html?cid=lemwork&amp;cm_mmc=BSH2" TargetMode="External" Id="rId1566" /><Relationship Type="http://schemas.openxmlformats.org/officeDocument/2006/relationships/hyperlink" Target="https://www.cdiscount.com/electromenager/lave-vaisselle/lave-vaisselle-pose-libre-bosch-ssms6zcw12f-ser6/f-11025-bos4242005463459.html?cid=lemwork&amp;cm_mmc=BSH11" TargetMode="External" Id="rId1567" /><Relationship Type="http://schemas.openxmlformats.org/officeDocument/2006/relationships/hyperlink" Target="https://www.cdiscount.com/electromenager/lave-vaisselle/lave-vaisselle-tout-encastrable-bosch-spv2hmx02e-s/f-11025-aacyd09267.html?cid=lemwork&amp;cm_mmc=BSH20" TargetMode="External" Id="rId1568" /><Relationship Type="http://schemas.openxmlformats.org/officeDocument/2006/relationships/hyperlink" Target="https://www.cdiscount.com/electromenager/lave-vaisselle/lave-vaisselle-pose-libre-bosch-sms4hmw08e-ser4/f-11025-bos4242005542109.html?cid=lemwork&amp;cm_mmc=BSH4" TargetMode="External" Id="rId1569" /><Relationship Type="http://schemas.openxmlformats.org/officeDocument/2006/relationships/hyperlink" Target="https://www.cdiscount.com/electromenager/lave-vaisselle/lave-vaisselle-tout-encastrable-bosch-spv2hmx02e-s/f-11025-aacyd09267.html?cid=lemwork&amp;cm_mmc=BSH20" TargetMode="External" Id="rId1570" /><Relationship Type="http://schemas.openxmlformats.org/officeDocument/2006/relationships/hyperlink" Target="https://www.cdiscount.com/electromenager/lave-vaisselle/lave-vaisselle-tout-encastrable-bosch-sbv4hvx14e-s/f-11025-aabtv44302.html?cid=lemwork&amp;cm_mmc=BSH18" TargetMode="External" Id="rId1571" /><Relationship Type="http://schemas.openxmlformats.org/officeDocument/2006/relationships/hyperlink" Target="https://www.cdiscount.com/electromenager/lave-vaisselle/lave-vaisselle-semi-encastrable-bosch-smi2hts02e-s/f-11025-bos4242005437368.html?cid=lemwork&amp;cm_mmc=BSH14" TargetMode="External" Id="rId1572" /><Relationship Type="http://schemas.openxmlformats.org/officeDocument/2006/relationships/hyperlink" Target="https://www.cdiscount.com/electromenager/lave-vaisselle/lave-vaisselle-pose-libre-bosch-sms4eci26e-ser4/f-11025-aaauj74747.html?cid=lemwork&amp;cm_mmc=BSH15" TargetMode="External" Id="rId1573" /><Relationship Type="http://schemas.openxmlformats.org/officeDocument/2006/relationships/hyperlink" Target="https://www.cdiscount.com/electromenager/lave-vaisselle/lave-vaisselle-tout-encastrable-bosch-smv4hcx07e-s/f-11025-aabtz57506.html?cid=lemwork&amp;cm_mmc=BSH12" TargetMode="External" Id="rId1574" /><Relationship Type="http://schemas.openxmlformats.org/officeDocument/2006/relationships/hyperlink" Target="https://www.cdiscount.com/electromenager/lave-vaisselle/lave-vaisselle-pose-libre-bosch-sms26aw01f-ser2/f-11025-bos4242005484348.html?cid=lemwork&amp;cm_mmc=BSH10" TargetMode="External" Id="rId1575" /><Relationship Type="http://schemas.openxmlformats.org/officeDocument/2006/relationships/hyperlink" Target="https://www.cdiscount.com/electromenager/lave-vaisselle/lave-vaisselle-pose-libre-bosch-sms2hvi02e-ser2/f-11025-bos4242005437047.html?cid=lemwork&amp;cm_mmc=BSH6" TargetMode="External" Id="rId1576" /><Relationship Type="http://schemas.openxmlformats.org/officeDocument/2006/relationships/hyperlink" Target="https://www.cdiscount.com/electromenager/lave-vaisselle/lave-vaisselle-pose-libre-bosch-sms6zci11f-ser6/f-11025-bos4242005477630.html?cid=lemwork&amp;cm_mmc=BSH8" TargetMode="External" Id="rId1577" /><Relationship Type="http://schemas.openxmlformats.org/officeDocument/2006/relationships/hyperlink" Target="https://www.cdiscount.com/electromenager/lave-vaisselle/lave-vaisselle-semi-encastrable-bosch-spi4hms13e-s/f-11025-bos4242005551095.html?cid=lemwork&amp;cm_mmc=BSH17" TargetMode="External" Id="rId1578" /><Relationship Type="http://schemas.openxmlformats.org/officeDocument/2006/relationships/hyperlink" Target="https://www.cdiscount.com/electromenager/lave-vaisselle/lave-vaisselle-tout-encastrable-bosch-smv6zcx10e-s/f-11025-bos1750171741742.html?cid=lemwork&amp;cm_mmc=BSH5" TargetMode="External" Id="rId1579" /><Relationship Type="http://schemas.openxmlformats.org/officeDocument/2006/relationships/hyperlink" Target="https://www.cdiscount.com/electromenager/lave-vaisselle/lave-vaisselle-tout-encastrable-bosch-sbv4hcx07e-s/f-11025-aabtz57546.html?cid=lemwork&amp;cm_mmc=BSH19" TargetMode="External" Id="rId1580" /><Relationship Type="http://schemas.openxmlformats.org/officeDocument/2006/relationships/hyperlink" Target="https://www.cdiscount.com/electromenager/lave-vaisselle/lave-vaisselle-tout-encastrable-bosch-spv4emx17e-s/f-11025-aabto28950.html?cid=lemwork&amp;cm_mmc=BSH9" TargetMode="External" Id="rId1581" /><Relationship Type="http://schemas.openxmlformats.org/officeDocument/2006/relationships/hyperlink" Target="https://www.cdiscount.com/electromenager/lave-vaisselle/lave-vaisselle-tout-encastrable-bosch-sbv4hvx14e-s/f-11025-aabtv44302.html?cid=lemwork&amp;cm_mmc=BSH18" TargetMode="External" Id="rId1582" /><Relationship Type="http://schemas.openxmlformats.org/officeDocument/2006/relationships/hyperlink" Target="https://www.cdiscount.com/electromenager/lave-vaisselle/lave-vaisselle-tout-encastrable-bosch-smv4hvx14e-s/f-11025-bos4242005529308.html?cid=lemwork&amp;cm_mmc=BSH1" TargetMode="External" Id="rId1583" /><Relationship Type="http://schemas.openxmlformats.org/officeDocument/2006/relationships/hyperlink" Target="https://www.cdiscount.com/electromenager/lave-vaisselle/lave-vaisselle-tout-encastrable-bosch-smv4hvx14e-s/f-11025-bos4242005529308.html?cid=lemwork&amp;cm_mmc=BSH1" TargetMode="External" Id="rId1584" /><Relationship Type="http://schemas.openxmlformats.org/officeDocument/2006/relationships/hyperlink" Target="https://www.cdiscount.com/electromenager/lave-vaisselle/l-11025.html?cid=lemwork&amp;cm_mmc=gen_bsh" TargetMode="External" Id="rId1585" /><Relationship Type="http://schemas.openxmlformats.org/officeDocument/2006/relationships/hyperlink" Target="https://www.cdiscount.com/electromenager/lave-vaisselle/lave-vaisselle-tout-encastrable-bosch-smv2htx02e-s/f-11025-bos1696642971804.html?cid=lemwork&amp;cm_mmc=BSH2" TargetMode="External" Id="rId1586" /><Relationship Type="http://schemas.openxmlformats.org/officeDocument/2006/relationships/hyperlink" Target="https://www.cdiscount.com/electromenager/lave-vaisselle/lave-vaisselle-tout-encastrable-bosch-smv6zcx10e-s/f-11025-bos1750171741742.html?cid=lemwork&amp;cm_mmc=BSH5" TargetMode="External" Id="rId1587" /><Relationship Type="http://schemas.openxmlformats.org/officeDocument/2006/relationships/hyperlink" Target="https://www.cdiscount.com/electromenager/lave-vaisselle/lave-vaisselle-semi-encastrable-bosch-smi6zcs10e-s/f-11025-bos4242005498642.html?cid=lemwork&amp;cm_mmc=BSH7" TargetMode="External" Id="rId1588" /><Relationship Type="http://schemas.openxmlformats.org/officeDocument/2006/relationships/hyperlink" Target="https://www.cdiscount.com/electromenager/lave-vaisselle/lave-vaisselle-tout-encastrable-bosch-smv4hcx07e-s/f-11025-aabtz57506.html?cid=lemwork&amp;cm_mmc=BSH12" TargetMode="External" Id="rId1589" /><Relationship Type="http://schemas.openxmlformats.org/officeDocument/2006/relationships/hyperlink" Target="https://www.cdiscount.com/electromenager/lave-vaisselle/lave-vaisselle-tout-encastrable-bosch-sbv4hcx07e-s/f-11025-aabtz57546.html?cid=lemwork&amp;cm_mmc=BSH19" TargetMode="External" Id="rId1590" /><Relationship Type="http://schemas.openxmlformats.org/officeDocument/2006/relationships/hyperlink" Target="https://www.cdiscount.com/electromenager/lave-vaisselle/lave-vaisselle-tout-encastrable-bosch-sbh4hvx14e-s/f-11025-aabtv44359.html?cid=lemwork&amp;cm_mmc=BSH3" TargetMode="External" Id="rId1591" /><Relationship Type="http://schemas.openxmlformats.org/officeDocument/2006/relationships/hyperlink" Target="https://www.cdiscount.com/electromenager/lave-vaisselle/lave-vaisselle-semi-encastrable-bosch-smi2hts02e-s/f-11025-bos4242005437368.html?cid=lemwork&amp;cm_mmc=BSH14" TargetMode="External" Id="rId1592" /><Relationship Type="http://schemas.openxmlformats.org/officeDocument/2006/relationships/hyperlink" Target="https://www.cdiscount.com/electromenager/lave-vaisselle/lave-vaisselle-semi-encastrable-bosch-spi4hms13e-s/f-11025-bos4242005551095.html?cid=lemwork&amp;cm_mmc=BSH17" TargetMode="External" Id="rId1593" /><Relationship Type="http://schemas.openxmlformats.org/officeDocument/2006/relationships/hyperlink" Target="https://www.cdiscount.com/electromenager/lave-vaisselle/lave-vaisselle-tout-encastrable-bosch-spv2hmx02e-s/f-11025-aacyd09267.html?cid=lemwork&amp;cm_mmc=BSH20" TargetMode="External" Id="rId1594" /><Relationship Type="http://schemas.openxmlformats.org/officeDocument/2006/relationships/hyperlink" Target="https://www.cdiscount.com/electromenager/lave-vaisselle/lave-vaisselle-tout-encastrable-bosch-spv4emx17e-s/f-11025-aabto28950.html?cid=lemwork&amp;cm_mmc=BSH9" TargetMode="External" Id="rId1595" /><Relationship Type="http://schemas.openxmlformats.org/officeDocument/2006/relationships/hyperlink" Target="https://www.cdiscount.com/electromenager/lave-vaisselle/lave-vaisselle-tout-encastrable-bosch-smv4hvx14e-s/f-11025-bos4242005529308.html?cid=lemwork&amp;cm_mmc=BSH1" TargetMode="External" Id="rId1596" /><Relationship Type="http://schemas.openxmlformats.org/officeDocument/2006/relationships/hyperlink" Target="https://www.cdiscount.com/electromenager/lave-vaisselle/lave-vaisselle-tout-encastrable-bosch-sbv4hvx14e-s/f-11025-aabtv44302.html?cid=lemwork&amp;cm_mmc=BSH18" TargetMode="External" Id="rId1597" /><Relationship Type="http://schemas.openxmlformats.org/officeDocument/2006/relationships/hyperlink" Target="https://smartphone-id.go.link/5m6td?utm_source=lemrock" TargetMode="External" Id="rId1598" /><Relationship Type="http://schemas.openxmlformats.org/officeDocument/2006/relationships/hyperlink" Target="https://smartphone-id.go.link/5m6td?utm_source=lemrock" TargetMode="External" Id="rId1599" /><Relationship Type="http://schemas.openxmlformats.org/officeDocument/2006/relationships/hyperlink" Target="https://archipelkombucha.com/products/kombucha-framboise-canette-33cl-x24?UTM_source=lemrock" TargetMode="External" Id="rId1600" /><Relationship Type="http://schemas.openxmlformats.org/officeDocument/2006/relationships/hyperlink" Target="https://archipelkombucha.com/products/kombucha-cassis-bio-x12?UTM_source=lemrock" TargetMode="External" Id="rId1601" /><Relationship Type="http://schemas.openxmlformats.org/officeDocument/2006/relationships/hyperlink" Target="https://archipelkombucha.com/products/kombucha-framboisier-bio-x12?UTM_source=lemrock" TargetMode="External" Id="rId1602" /><Relationship Type="http://schemas.openxmlformats.org/officeDocument/2006/relationships/hyperlink" Target="https://archipelkombucha.com/products/kombucha-pomelo-gingembre-canette-33cl-x24?UTM_source=lemrock" TargetMode="External" Id="rId1603" /><Relationship Type="http://schemas.openxmlformats.org/officeDocument/2006/relationships/hyperlink" Target="https://archipelkombucha.com/products/kombucha-figuier-bio-x12?UTM_source=lemrock" TargetMode="External" Id="rId1604" /><Relationship Type="http://schemas.openxmlformats.org/officeDocument/2006/relationships/hyperlink" Target="https://archipelkombucha.com/products/kombucha-feuilles-de-figuier-75cl-x6?UTM_source=lemrock" TargetMode="External" Id="rId1605" /><Relationship Type="http://schemas.openxmlformats.org/officeDocument/2006/relationships/hyperlink" Target="https://archipelkombucha.com/products/kombucha-clementine-bio-x12?UTM_source=lemrock" TargetMode="External" Id="rId1606" /><Relationship Type="http://schemas.openxmlformats.org/officeDocument/2006/relationships/hyperlink" Target="https://archipelkombucha.com/products/kombucha-brut-bio-x12?UTM_source=lemrock" TargetMode="External" Id="rId1607" /><Relationship Type="http://schemas.openxmlformats.org/officeDocument/2006/relationships/hyperlink" Target="https://archipelkombucha.com/products/kombucha-pomelo-gingembre-canette-33cl-x24?UTM_source=lemrock" TargetMode="External" Id="rId1608" /><Relationship Type="http://schemas.openxmlformats.org/officeDocument/2006/relationships/hyperlink" Target="https://archipelkombucha.com/products/kombucha-cassis-bio-x12?UTM_source=lemrock" TargetMode="External" Id="rId1609" /><Relationship Type="http://schemas.openxmlformats.org/officeDocument/2006/relationships/hyperlink" Target="https://archipelkombucha.com/products/kombucha-framboise-canette-33cl-x24?UTM_source=lemrock" TargetMode="External" Id="rId1610" /><Relationship Type="http://schemas.openxmlformats.org/officeDocument/2006/relationships/hyperlink" Target="https://archipelkombucha.com/products/kombucha-framboisier-bio-x12?UTM_source=lemrock" TargetMode="External" Id="rId1611" /><Relationship Type="http://schemas.openxmlformats.org/officeDocument/2006/relationships/hyperlink" Target="https://archipelkombucha.com/products/kombucha-clementine-bio-x12?UTM_source=lemrock" TargetMode="External" Id="rId1612" /><Relationship Type="http://schemas.openxmlformats.org/officeDocument/2006/relationships/hyperlink" Target="https://archipelkombucha.com/products/kombucha-cassis-bio-x12?UTM_source=lemrock" TargetMode="External" Id="rId1613" /><Relationship Type="http://schemas.openxmlformats.org/officeDocument/2006/relationships/hyperlink" Target="https://archipelkombucha.com/products/kombucha-figuier-bio-x12?UTM_source=lemrock" TargetMode="External" Id="rId1614" /><Relationship Type="http://schemas.openxmlformats.org/officeDocument/2006/relationships/hyperlink" Target="https://archipelkombucha.com/products/kombucha-brut-bio-x12?UTM_source=lemrock" TargetMode="External" Id="rId1615" /><Relationship Type="http://schemas.openxmlformats.org/officeDocument/2006/relationships/hyperlink" Target="https://archipelkombucha.com/products/kombucha-feuilles-de-figuier-75cl-x6?UTM_source=lemrock" TargetMode="External" Id="rId1616" /><Relationship Type="http://schemas.openxmlformats.org/officeDocument/2006/relationships/hyperlink" Target="https://archipelkombucha.com/products/kombucha-pomelo-gingembre-canette-33cl-x24?UTM_source=lemrock" TargetMode="External" Id="rId1617" /><Relationship Type="http://schemas.openxmlformats.org/officeDocument/2006/relationships/hyperlink" Target="https://archipelkombucha.com/products/kombucha-framboise-canette-33cl-x24?UTM_source=lemrock" TargetMode="External" Id="rId1618" /><Relationship Type="http://schemas.openxmlformats.org/officeDocument/2006/relationships/hyperlink" Target="https://archipelkombucha.com/products/kombucha-brut-bio-x12?UTM_source=lemrock" TargetMode="External" Id="rId1619" /><Relationship Type="http://schemas.openxmlformats.org/officeDocument/2006/relationships/hyperlink" Target="https://archipelkombucha.com/products/kombucha-clementine-bio-x12?UTM_source=lemrock" TargetMode="External" Id="rId1620" /><Relationship Type="http://schemas.openxmlformats.org/officeDocument/2006/relationships/hyperlink" Target="https://archipelkombucha.com/products/kombucha-framboisier-bio-x12?UTM_source=lemrock" TargetMode="External" Id="rId1621" /><Relationship Type="http://schemas.openxmlformats.org/officeDocument/2006/relationships/hyperlink" Target="https://archipelkombucha.com/products/kombucha-feuilles-de-figuier-75cl-x6?UTM_source=lemrock" TargetMode="External" Id="rId1622" /><Relationship Type="http://schemas.openxmlformats.org/officeDocument/2006/relationships/hyperlink" Target="https://archipelkombucha.com/products/kombucha-figuier-bio-x12?UTM_source=lemrock" TargetMode="External" Id="rId1623" /><Relationship Type="http://schemas.openxmlformats.org/officeDocument/2006/relationships/hyperlink" Target="https://www.sncf-connect.com/app/redirect?redirection_type=SEARCH&amp;origin_transporter_code=FRPAR&amp;destination_transporter_code=FRRNS&amp;nb_pax=1&amp;egn-publisher=lemrock&amp;egn-name=lemrock_fr_conv_exposed_lemrock_autre_autre-multiproduit_fr_mk_autre_20261130&amp;egn-location=1x1&amp;egn-creative=1x1&amp;egn-creativetype=1x1" TargetMode="External" Id="rId1624" /><Relationship Type="http://schemas.openxmlformats.org/officeDocument/2006/relationships/hyperlink" Target="https://www.sncf-connect.com/app/redirect?redirection_type=SEARCH&amp;origin_transporter_code=FRPAR&amp;destination_transporter_code=FRMRS&amp;nb_pax=1&amp;egn-publisher=lemrock&amp;egn-name=lemrock_fr_conv_exposed_lemrock_autre_autre-multiproduit_fr_mk_autre_20261130&amp;egn-location=1x1&amp;egn-creative=1x1&amp;egn-creativetype=1x1" TargetMode="External" Id="rId1625" /><Relationship Type="http://schemas.openxmlformats.org/officeDocument/2006/relationships/hyperlink" Target="https://www.sncf-connect.com/app/redirect?redirection_type=SEARCH&amp;origin_transporter_code=FRMRS&amp;destination_transporter_code=FRPAR&amp;nb_pax=1&amp;egn-publisher=lemrock&amp;egn-name=lemrock_fr_conv_exposed_lemrock_autre_autre-multiproduit_fr_mk_autre_20261130&amp;egn-location=1x1&amp;egn-creative=1x1&amp;egn-creativetype=1x1" TargetMode="External" Id="rId1626" /><Relationship Type="http://schemas.openxmlformats.org/officeDocument/2006/relationships/hyperlink" Target="https://www.sncf-connect.com/app/redirect?redirection_type=SEARCH&amp;origin_transporter_code=FRPAR&amp;destination_transporter_code=FRTNE&amp;nb_pax=1&amp;egn-publisher=lemrock&amp;egn-name=lemrock_fr_conv_exposed_lemrock_autre_autre-multiproduit_fr_mk_autre_20261130&amp;egn-location=1x1&amp;egn-creative=1x1&amp;egn-creativetype=1x1" TargetMode="External" Id="rId1627" /><Relationship Type="http://schemas.openxmlformats.org/officeDocument/2006/relationships/hyperlink" Target="https://www.sncf-connect.com/app/redirect?redirection_type=SEARCH&amp;origin_transporter_code=FRTNE&amp;destination_transporter_code=FRPAR&amp;nb_pax=1&amp;egn-publisher=lemrock&amp;egn-name=lemrock_fr_conv_exposed_lemrock_autre_autre-multiproduit_fr_mk_autre_20261130&amp;egn-location=1x1&amp;egn-creative=1x1&amp;egn-creativetype=1x1" TargetMode="External" Id="rId1628" /><Relationship Type="http://schemas.openxmlformats.org/officeDocument/2006/relationships/hyperlink" Target="https://www.sncf-connect.com/app/redirect?redirection_type=SEARCH&amp;origin_transporter_code=FRPAR&amp;destination_transporter_code=FRBOJ&amp;nb_pax=1&amp;egn-publisher=lemrock&amp;egn-name=lemrock_fr_conv_exposed_lemrock_autre_autre-multiproduit_fr_mk_autre_20261130&amp;egn-location=1x1&amp;egn-creative=1x1&amp;egn-creativetype=1x1" TargetMode="External" Id="rId1629" /><Relationship Type="http://schemas.openxmlformats.org/officeDocument/2006/relationships/hyperlink" Target="https://www.sncf-connect.com/app/redirect?redirection_type=SEARCH&amp;origin_transporter_code=FRPAR&amp;destination_transporter_code=NLAMS&amp;nb_pax=1&amp;egn-publisher=lemrock&amp;egn-name=lemrock_fr_conv_exposed_lemrock_autre_autre-multiproduit_fr_mk_autre_20261130&amp;egn-location=1x1&amp;egn-creative=1x1&amp;egn-creativetype=1x1" TargetMode="External" Id="rId1630" /><Relationship Type="http://schemas.openxmlformats.org/officeDocument/2006/relationships/hyperlink" Target="https://www.sncf-connect.com/app/redirect?redirection_type=SEARCH&amp;origin_transporter_code=FRBOJ&amp;destination_transporter_code=FRPAR&amp;nb_pax=1&amp;egn-publisher=lemrock&amp;egn-name=lemrock_fr_conv_exposed_lemrock_autre_autre-multiproduit_fr_mk_autre_20261130&amp;egn-location=1x1&amp;egn-creative=1x1&amp;egn-creativetype=1x1" TargetMode="External" Id="rId1631" /><Relationship Type="http://schemas.openxmlformats.org/officeDocument/2006/relationships/hyperlink" Target="https://www.sncf-connect.com/app/redirect?redirection_type=SEARCH&amp;origin_transporter_code=FRPAR&amp;destination_transporter_code=FRTLS&amp;nb_pax=1&amp;egn-publisher=lemrock&amp;egn-name=lemrock_fr_conv_exposed_lemrock_autre_autre-multiproduit_fr_mk_autre_20261130&amp;egn-location=1x1&amp;egn-creative=1x1&amp;egn-creativetype=1x1" TargetMode="External" Id="rId1632" /><Relationship Type="http://schemas.openxmlformats.org/officeDocument/2006/relationships/hyperlink" Target="https://www.sncf-connect.com/app/redirect?redirection_type=SEARCH&amp;origin_transporter_code=FRPAR&amp;destination_transporter_code=ESBCN&amp;nb_pax=1&amp;egn-publisher=lemrock&amp;egn-name=lemrock_fr_conv_exposed_lemrock_autre_autre-multiproduit_fr_mk_autre_20261130&amp;egn-location=1x1&amp;egn-creative=1x1&amp;egn-creativetype=1x1" TargetMode="External" Id="rId1633" /><Relationship Type="http://schemas.openxmlformats.org/officeDocument/2006/relationships/hyperlink" Target="https://www.sncf-connect.com/app/redirect?redirection_type=SEARCH&amp;origin_transporter_code=FRTLS&amp;destination_transporter_code=FRPAR&amp;nb_pax=1&amp;egn-publisher=lemrock&amp;egn-name=lemrock_fr_conv_exposed_lemrock_autre_autre-multiproduit_fr_mk_autre_20261130&amp;egn-location=1x1&amp;egn-creative=1x1&amp;egn-creativetype=1x1" TargetMode="External" Id="rId1634" /><Relationship Type="http://schemas.openxmlformats.org/officeDocument/2006/relationships/hyperlink" Target="https://www.sncf-connect.com/app/redirect?redirection_type=SEARCH&amp;origin_transporter_code=FRPAR&amp;destination_transporter_code=FRLIL&amp;nb_pax=1&amp;egn-publisher=lemrock&amp;egn-name=lemrock_fr_conv_exposed_lemrock_autre_autre-multiproduit_fr_mk_autre_20261130&amp;egn-location=1x1&amp;egn-creative=1x1&amp;egn-creativetype=1x1" TargetMode="External" Id="rId1635" /><Relationship Type="http://schemas.openxmlformats.org/officeDocument/2006/relationships/hyperlink" Target="https://www.sncf-connect.com/app/redirect?redirection_type=SEARCH&amp;origin_transporter_code=FRMPT&amp;destination_transporter_code=FRPAR&amp;nb_pax=1&amp;egn-publisher=lemrock&amp;egn-name=lemrock_fr_conv_exposed_lemrock_autre_autre-multiproduit_fr_mk_autre_20261130&amp;egn-location=1x1&amp;egn-creative=1x1&amp;egn-creativetype=1x1" TargetMode="External" Id="rId1636" /><Relationship Type="http://schemas.openxmlformats.org/officeDocument/2006/relationships/hyperlink" Target="https://www.sncf-connect.com/app/redirect?redirection_type=SEARCH&amp;origin_transporter_code=FRRNS&amp;destination_transporter_code=FRPAR&amp;nb_pax=1&amp;egn-publisher=lemrock&amp;egn-name=lemrock_fr_conv_exposed_lemrock_autre_autre-multiproduit_fr_mk_autre_20261130&amp;egn-location=1x1&amp;egn-creative=1x1&amp;egn-creativetype=1x1" TargetMode="External" Id="rId1637" /><Relationship Type="http://schemas.openxmlformats.org/officeDocument/2006/relationships/hyperlink" Target="https://www.sncf-connect.com/app/redirect?redirection_type=SEARCH&amp;origin_transporter_code=FRPAR&amp;destination_transporter_code=FRNCE&amp;nb_pax=1&amp;egn-publisher=lemrock&amp;egn-name=lemrock_fr_conv_exposed_lemrock_autre_autre-multiproduit_fr_mk_autre_20261130&amp;egn-location=1x1&amp;egn-creative=1x1&amp;egn-creativetype=1x1" TargetMode="External" Id="rId1638" /><Relationship Type="http://schemas.openxmlformats.org/officeDocument/2006/relationships/hyperlink" Target="https://www.sncf-connect.com/app/redirect?redirection_type=SEARCH&amp;origin_transporter_code=FRLYS&amp;destination_transporter_code=FRPAR&amp;nb_pax=1&amp;egn-publisher=lemrock&amp;egn-name=lemrock_fr_conv_exposed_lemrock_autre_autre-multiproduit_fr_mk_autre_20261130&amp;egn-location=1x1&amp;egn-creative=1x1&amp;egn-creativetype=1x1" TargetMode="External" Id="rId1639" /><Relationship Type="http://schemas.openxmlformats.org/officeDocument/2006/relationships/hyperlink" Target="https://www.sncf-connect.com/app/redirect?redirection_type=SEARCH&amp;origin_transporter_code=FRPAR&amp;destination_transporter_code=FRAEG&amp;nb_pax=1&amp;egn-publisher=lemrock&amp;egn-name=lemrock_fr_conv_exposed_lemrock_autre_autre-multiproduit_fr_mk_autre_20261130&amp;egn-location=1x1&amp;egn-creative=1x1&amp;egn-creativetype=1x1" TargetMode="External" Id="rId1640" /><Relationship Type="http://schemas.openxmlformats.org/officeDocument/2006/relationships/hyperlink" Target="https://www.sncf-connect.com/app/redirect?redirection_type=SEARCH&amp;origin_transporter_code=FRPAR&amp;destination_transporter_code=FRLYS&amp;nb_pax=1&amp;egn-publisher=lemrock&amp;egn-name=lemrock_fr_conv_exposed_lemrock_autre_autre-multiproduit_fr_mk_autre_20261130&amp;egn-location=1x1&amp;egn-creative=1x1&amp;egn-creativetype=1x1" TargetMode="External" Id="rId1641" /><Relationship Type="http://schemas.openxmlformats.org/officeDocument/2006/relationships/hyperlink" Target="https://www.sncf-connect.com/app/redirect?redirection_type=SEARCH&amp;origin_transporter_code=FRPAR&amp;destination_transporter_code=GBLON&amp;nb_pax=1&amp;egn-publisher=lemrock&amp;egn-name=lemrock_fr_conv_exposed_lemrock_autre_autre-multiproduit_fr_mk_autre_20261130&amp;egn-location=1x1&amp;egn-creative=1x1&amp;egn-creativetype=1x1" TargetMode="External" Id="rId1642" /><Relationship Type="http://schemas.openxmlformats.org/officeDocument/2006/relationships/hyperlink" Target="https://www.sncf-connect.com/app/redirect?redirection_type=SEARCH&amp;origin_transporter_code=FRLIL&amp;destination_transporter_code=FRPAR&amp;nb_pax=1&amp;egn-publisher=lemrock&amp;egn-name=lemrock_fr_conv_exposed_lemrock_autre_autre-multiproduit_fr_mk_autre_20261130&amp;egn-location=1x1&amp;egn-creative=1x1&amp;egn-creativetype=1x1" TargetMode="External" Id="rId1643" /><Relationship Type="http://schemas.openxmlformats.org/officeDocument/2006/relationships/hyperlink" Target="https://action.metaffiliation.com/trk.php?mclic=P513ABF5874B115S1UA413adf0798V4" TargetMode="External" Id="rId1644" /><Relationship Type="http://schemas.openxmlformats.org/officeDocument/2006/relationships/hyperlink" Target="https://action.metaffiliation.com/trk.php?mclic=P513ABF5874B115S1UA413adf0688V4" TargetMode="External" Id="rId1645" /><Relationship Type="http://schemas.openxmlformats.org/officeDocument/2006/relationships/hyperlink" Target="https://action.metaffiliation.com/trk.php?mclic=P513ABF5874B115S1UA413adf0552V4" TargetMode="External" Id="rId1646" /><Relationship Type="http://schemas.openxmlformats.org/officeDocument/2006/relationships/hyperlink" Target="https://action.metaffiliation.com/trk.php?mclic=P513ABF5874B115S1UA413adf0842V4" TargetMode="External" Id="rId1647" /><Relationship Type="http://schemas.openxmlformats.org/officeDocument/2006/relationships/hyperlink" Target="https://action.metaffiliation.com/trk.php?mclic=P513ABF5874B115S1UA413adf0569V4" TargetMode="External" Id="rId1648" /><Relationship Type="http://schemas.openxmlformats.org/officeDocument/2006/relationships/hyperlink" Target="https://action.metaffiliation.com/trk.php?mclic=P513ABF5874B115S1UA413adf0304V4" TargetMode="External" Id="rId1649" /><Relationship Type="http://schemas.openxmlformats.org/officeDocument/2006/relationships/hyperlink" Target="https://action.metaffiliation.com/trk.php?mclic=P513ABF5874B115S1UA413adf0879V4" TargetMode="External" Id="rId1650" /><Relationship Type="http://schemas.openxmlformats.org/officeDocument/2006/relationships/hyperlink" Target="https://action.metaffiliation.com/trk.php?mclic=P513ABF5874B115S1UA413adf0842V4" TargetMode="External" Id="rId1651" /><Relationship Type="http://schemas.openxmlformats.org/officeDocument/2006/relationships/hyperlink" Target="https://action.metaffiliation.com/trk.php?mclic=P513ABF5874B115S1UA413adf0688V4" TargetMode="External" Id="rId1652" /><Relationship Type="http://schemas.openxmlformats.org/officeDocument/2006/relationships/hyperlink" Target="https://action.metaffiliation.com/trk.php?mclic=P513ABF5874B115S1UA413adf0738V4" TargetMode="External" Id="rId1653" /><Relationship Type="http://schemas.openxmlformats.org/officeDocument/2006/relationships/hyperlink" Target="https://action.metaffiliation.com/trk.php?mclic=P513ABF5874B115S1UA413adf0277V4" TargetMode="External" Id="rId1654" /><Relationship Type="http://schemas.openxmlformats.org/officeDocument/2006/relationships/hyperlink" Target="https://action.metaffiliation.com/trk.php?mclic=P513ABF5874B115S1UA413adf0123V4" TargetMode="External" Id="rId1655" /><Relationship Type="http://schemas.openxmlformats.org/officeDocument/2006/relationships/hyperlink" Target="https://action.metaffiliation.com/trk.php?mclic=P513ABF5874B115S1UA413adf0750V4" TargetMode="External" Id="rId1656" /><Relationship Type="http://schemas.openxmlformats.org/officeDocument/2006/relationships/hyperlink" Target="https://action.metaffiliation.com/trk.php?mclic=P513ABF5874B115S1UA413adf0145V4" TargetMode="External" Id="rId1657" /><Relationship Type="http://schemas.openxmlformats.org/officeDocument/2006/relationships/hyperlink" Target="https://action.metaffiliation.com/trk.php?mclic=P513ABF5874B115S1UA413adf0477V4" TargetMode="External" Id="rId1658" /><Relationship Type="http://schemas.openxmlformats.org/officeDocument/2006/relationships/hyperlink" Target="https://action.metaffiliation.com/trk.php?mclic=P513ABF5874B115S1UA413adf0256V4" TargetMode="External" Id="rId1659" /><Relationship Type="http://schemas.openxmlformats.org/officeDocument/2006/relationships/hyperlink" Target="https://action.metaffiliation.com/trk.php?mclic=P513ABF5874B115S1UA413adf0798V4" TargetMode="External" Id="rId1660" /><Relationship Type="http://schemas.openxmlformats.org/officeDocument/2006/relationships/hyperlink" Target="https://action.metaffiliation.com/trk.php?mclic=P513ABF5874B115S1UA413adf0140V4" TargetMode="External" Id="rId1661" /><Relationship Type="http://schemas.openxmlformats.org/officeDocument/2006/relationships/hyperlink" Target="https://action.metaffiliation.com/trk.php?mclic=P513ABF5874B115S1UA413adf0913V4" TargetMode="External" Id="rId1662" /><Relationship Type="http://schemas.openxmlformats.org/officeDocument/2006/relationships/hyperlink" Target="https://action.metaffiliation.com/trk.php?mclic=P513ABF5874B115S1UA413adf0127V4" TargetMode="External" Id="rId1663" /><Relationship Type="http://schemas.openxmlformats.org/officeDocument/2006/relationships/hyperlink" Target="https://action.metaffiliation.com/trk.php?mclic=P513ABF5874B115S1UA413adf0309V4" TargetMode="External" Id="rId1664" /><Relationship Type="http://schemas.openxmlformats.org/officeDocument/2006/relationships/hyperlink" Target="https://action.metaffiliation.com/trk.php?mclic=P513ABF5874B115S1UA413adf0106V4" TargetMode="External" Id="rId1665" /><Relationship Type="http://schemas.openxmlformats.org/officeDocument/2006/relationships/hyperlink" Target="https://action.metaffiliation.com/trk.php?mclic=P513ABF5874B115S1UA413adf0913V4" TargetMode="External" Id="rId1666" /><Relationship Type="http://schemas.openxmlformats.org/officeDocument/2006/relationships/hyperlink" Target="https://action.metaffiliation.com/trk.php?mclic=P513ABF5874B115S1UA413adf0465V4" TargetMode="External" Id="rId1667" /><Relationship Type="http://schemas.openxmlformats.org/officeDocument/2006/relationships/hyperlink" Target="https://action.metaffiliation.com/trk.php?mclic=P513ABF5874B115S1U9413adf072V4" TargetMode="External" Id="rId1668" /><Relationship Type="http://schemas.openxmlformats.org/officeDocument/2006/relationships/hyperlink" Target="https://action.metaffiliation.com/trk.php?mclic=P513ABF5874B115S1UA413adf0569V4" TargetMode="External" Id="rId1669" /><Relationship Type="http://schemas.openxmlformats.org/officeDocument/2006/relationships/hyperlink" Target="https://action.metaffiliation.com/trk.php?mclic=P513ABF5874B115S1U9413adf072V4" TargetMode="External" Id="rId1670" /><Relationship Type="http://schemas.openxmlformats.org/officeDocument/2006/relationships/hyperlink" Target="https://action.metaffiliation.com/trk.php?mclic=P513ABF5874B115S1UA413adf0738V4" TargetMode="External" Id="rId1671" /><Relationship Type="http://schemas.openxmlformats.org/officeDocument/2006/relationships/hyperlink" Target="https://action.metaffiliation.com/trk.php?mclic=P513ABF5874B115S1UA413adf0879V4" TargetMode="External" Id="rId1672" /><Relationship Type="http://schemas.openxmlformats.org/officeDocument/2006/relationships/hyperlink" Target="https://action.metaffiliation.com/trk.php?mclic=P513ABF5874B115S1UA413adf0202V4" TargetMode="External" Id="rId1673" /><Relationship Type="http://schemas.openxmlformats.org/officeDocument/2006/relationships/hyperlink" Target="https://action.metaffiliation.com/trk.php?mclic=P513ABF5874B115S1UA413adf0552V4" TargetMode="External" Id="rId1674" /><Relationship Type="http://schemas.openxmlformats.org/officeDocument/2006/relationships/hyperlink" Target="https://action.metaffiliation.com/trk.php?mclic=P513ABF5874B115S1UA413adf0423V4" TargetMode="External" Id="rId1675" /><Relationship Type="http://schemas.openxmlformats.org/officeDocument/2006/relationships/hyperlink" Target="https://action.metaffiliation.com/trk.php?mclic=P513ABF5874B115S1UA413adf0145V4" TargetMode="External" Id="rId1676" /><Relationship Type="http://schemas.openxmlformats.org/officeDocument/2006/relationships/hyperlink" Target="https://action.metaffiliation.com/trk.php?mclic=P513ABF5874B115S1UA413adf0489V4" TargetMode="External" Id="rId1677" /><Relationship Type="http://schemas.openxmlformats.org/officeDocument/2006/relationships/hyperlink" Target="https://action.metaffiliation.com/trk.php?mclic=P513ABF5874B115S1UA413adf0781V4" TargetMode="External" Id="rId1678" /><Relationship Type="http://schemas.openxmlformats.org/officeDocument/2006/relationships/hyperlink" Target="https://action.metaffiliation.com/trk.php?mclic=P513ABF5874B115S1UA413adf0304V4" TargetMode="External" Id="rId1679" /><Relationship Type="http://schemas.openxmlformats.org/officeDocument/2006/relationships/hyperlink" Target="https://action.metaffiliation.com/trk.php?mclic=P513ABF5874B115S1UA413adf0127V4" TargetMode="External" Id="rId1680" /><Relationship Type="http://schemas.openxmlformats.org/officeDocument/2006/relationships/hyperlink" Target="https://action.metaffiliation.com/trk.php?mclic=P513ABF5874B115S1UA413adf0642V4" TargetMode="External" Id="rId1681" /><Relationship Type="http://schemas.openxmlformats.org/officeDocument/2006/relationships/hyperlink" Target="https://action.metaffiliation.com/trk.php?mclic=P513ABF5874B115S1UA413adf0642V4" TargetMode="External" Id="rId1682" /><Relationship Type="http://schemas.openxmlformats.org/officeDocument/2006/relationships/hyperlink" Target="https://action.metaffiliation.com/trk.php?mclic=P513ABF5874B115S1UA413adf0228V4" TargetMode="External" Id="rId1683" /><Relationship Type="http://schemas.openxmlformats.org/officeDocument/2006/relationships/hyperlink" Target="https://action.metaffiliation.com/trk.php?mclic=P513ABF5874B115S1UA413adf0477V4" TargetMode="External" Id="rId1684" /><Relationship Type="http://schemas.openxmlformats.org/officeDocument/2006/relationships/hyperlink" Target="https://action.metaffiliation.com/trk.php?mclic=P513ABF5874B115S1UA413adf0228V4" TargetMode="External" Id="rId1685" /><Relationship Type="http://schemas.openxmlformats.org/officeDocument/2006/relationships/hyperlink" Target="https://action.metaffiliation.com/trk.php?mclic=P513ABF5874B115S1UA413adf0304V4" TargetMode="External" Id="rId1686" /><Relationship Type="http://schemas.openxmlformats.org/officeDocument/2006/relationships/hyperlink" Target="https://action.metaffiliation.com/trk.php?mclic=P513ABF5874B115S1UA413adf0465V4" TargetMode="External" Id="rId1687" /><Relationship Type="http://schemas.openxmlformats.org/officeDocument/2006/relationships/hyperlink" Target="https://action.metaffiliation.com/trk.php?mclic=P513ABF5874B115S1UA413adf0552V4" TargetMode="External" Id="rId1688" /><Relationship Type="http://schemas.openxmlformats.org/officeDocument/2006/relationships/hyperlink" Target="https://action.metaffiliation.com/trk.php?mclic=P513ABF5874B115S1UA413adf0256V4" TargetMode="External" Id="rId1689" /><Relationship Type="http://schemas.openxmlformats.org/officeDocument/2006/relationships/hyperlink" Target="https://action.metaffiliation.com/trk.php?mclic=P513ABF5874B115S1UA413adf0272V4" TargetMode="External" Id="rId1690" /><Relationship Type="http://schemas.openxmlformats.org/officeDocument/2006/relationships/hyperlink" Target="https://action.metaffiliation.com/trk.php?mclic=P513ABF5874B115S1UA413adf0750V4" TargetMode="External" Id="rId1691" /><Relationship Type="http://schemas.openxmlformats.org/officeDocument/2006/relationships/hyperlink" Target="https://action.metaffiliation.com/trk.php?mclic=P513ABF5874B115S1UA413adf0106V4" TargetMode="External" Id="rId1692" /><Relationship Type="http://schemas.openxmlformats.org/officeDocument/2006/relationships/hyperlink" Target="https://action.metaffiliation.com/trk.php?mclic=P513ABF5874B115S1UA413adf0277V4" TargetMode="External" Id="rId1693" /><Relationship Type="http://schemas.openxmlformats.org/officeDocument/2006/relationships/hyperlink" Target="https://action.metaffiliation.com/trk.php?mclic=P513ABF5874B115S1U9413adf035V4" TargetMode="External" Id="rId1694" /><Relationship Type="http://schemas.openxmlformats.org/officeDocument/2006/relationships/hyperlink" Target="https://action.metaffiliation.com/trk.php?mclic=P513ABF5874B115S1UA413adf0489V4" TargetMode="External" Id="rId1695" /><Relationship Type="http://schemas.openxmlformats.org/officeDocument/2006/relationships/hyperlink" Target="https://action.metaffiliation.com/trk.php?mclic=P513ABF5874B115S1UA413adf0688V4" TargetMode="External" Id="rId1696" /><Relationship Type="http://schemas.openxmlformats.org/officeDocument/2006/relationships/hyperlink" Target="https://action.metaffiliation.com/trk.php?mclic=P513ABF5874B115S1UA413adf0140V4" TargetMode="External" Id="rId1697" /><Relationship Type="http://schemas.openxmlformats.org/officeDocument/2006/relationships/hyperlink" Target="https://action.metaffiliation.com/trk.php?mclic=P513ABF5874B115S1UA413adf0228V4" TargetMode="External" Id="rId1698" /><Relationship Type="http://schemas.openxmlformats.org/officeDocument/2006/relationships/hyperlink" Target="https://action.metaffiliation.com/trk.php?mclic=P513ABF5874B115S1UA413adf0688V4" TargetMode="External" Id="rId1699" /><Relationship Type="http://schemas.openxmlformats.org/officeDocument/2006/relationships/hyperlink" Target="https://action.metaffiliation.com/trk.php?mclic=P513ABF5874B115S1UA413adf0123V4" TargetMode="External" Id="rId1700" /><Relationship Type="http://schemas.openxmlformats.org/officeDocument/2006/relationships/hyperlink" Target="https://action.metaffiliation.com/trk.php?mclic=P513ABF5874B115S1UA413adf0309V4" TargetMode="External" Id="rId1701" /><Relationship Type="http://schemas.openxmlformats.org/officeDocument/2006/relationships/hyperlink" Target="https://action.metaffiliation.com/trk.php?mclic=P513ABF5874B115S1UA413adf0842V4" TargetMode="External" Id="rId1702" /><Relationship Type="http://schemas.openxmlformats.org/officeDocument/2006/relationships/hyperlink" Target="https://action.metaffiliation.com/trk.php?mclic=P513ABF5874B115S1UA413adf0202V4" TargetMode="External" Id="rId1703" /><Relationship Type="http://schemas.openxmlformats.org/officeDocument/2006/relationships/hyperlink" Target="https://action.metaffiliation.com/trk.php?mclic=P513ABF5874B115S1UA413adf0423V4" TargetMode="External" Id="rId1704" /><Relationship Type="http://schemas.openxmlformats.org/officeDocument/2006/relationships/hyperlink" Target="https://action.metaffiliation.com/trk.php?mclic=P513ABF5874B115S1UA413adf0318V4" TargetMode="External" Id="rId1705" /><Relationship Type="http://schemas.openxmlformats.org/officeDocument/2006/relationships/hyperlink" Target="https://action.metaffiliation.com/trk.php?mclic=P513ABF5874B115S1UA413adf0798V4" TargetMode="External" Id="rId1706" /><Relationship Type="http://schemas.openxmlformats.org/officeDocument/2006/relationships/hyperlink" Target="https://action.metaffiliation.com/trk.php?mclic=P513ABF5874B115S1UA413adf0272V4" TargetMode="External" Id="rId1707" /><Relationship Type="http://schemas.openxmlformats.org/officeDocument/2006/relationships/hyperlink" Target="https://action.metaffiliation.com/trk.php?mclic=P513ABF5874B115S1UA413adf0202V4" TargetMode="External" Id="rId1708" /><Relationship Type="http://schemas.openxmlformats.org/officeDocument/2006/relationships/hyperlink" Target="https://action.metaffiliation.com/trk.php?mclic=P513ABF5874B115S1UA413adf0304V4" TargetMode="External" Id="rId1709" /><Relationship Type="http://schemas.openxmlformats.org/officeDocument/2006/relationships/hyperlink" Target="https://action.metaffiliation.com/trk.php?mclic=P513ABF5874B115S1UA413adf0272V4" TargetMode="External" Id="rId1710" /><Relationship Type="http://schemas.openxmlformats.org/officeDocument/2006/relationships/hyperlink" Target="https://action.metaffiliation.com/trk.php?mclic=P513ABF5874B115S1UA413adf0277V4" TargetMode="External" Id="rId1711" /><Relationship Type="http://schemas.openxmlformats.org/officeDocument/2006/relationships/hyperlink" Target="https://action.metaffiliation.com/trk.php?mclic=P513ABF5874B115S1UA413adf0256V4" TargetMode="External" Id="rId1712" /><Relationship Type="http://schemas.openxmlformats.org/officeDocument/2006/relationships/hyperlink" Target="https://action.metaffiliation.com/trk.php?mclic=P513ABF5874B115S1UA413adf0106V4" TargetMode="External" Id="rId1713" /><Relationship Type="http://schemas.openxmlformats.org/officeDocument/2006/relationships/hyperlink" Target="https://fr.ryobitools.eu/accessoires-jardinage-bricolage-et-nettoyage/?utm_source=lemrock&amp;utm_medium=cpc&amp;utm_campaign=RYOBI_LEMROCK" TargetMode="External" Id="rId1714" /><Relationship Type="http://schemas.openxmlformats.org/officeDocument/2006/relationships/hyperlink" Target="https://fr.ryobitools.eu/outils-de-bricolage/?utm_source=lemrock&amp;utm_medium=cpc&amp;utm_campaign=RYOBI_LEMROCK" TargetMode="External" Id="rId1715" /><Relationship Type="http://schemas.openxmlformats.org/officeDocument/2006/relationships/hyperlink" Target="https://fr.ryobitools.eu/rangement-et-outillage-a-main/?utm_source=lemrock&amp;utm_medium=cpc&amp;utm_campaign=RYOBI_LEMROCK" TargetMode="External" Id="rId1716" /><Relationship Type="http://schemas.openxmlformats.org/officeDocument/2006/relationships/hyperlink" Target="https://fr.ryobitools.eu/outils-de-jardin/?utm_source=lemrock&amp;utm_medium=cpc&amp;utm_campaign=RYOBI_LEMROCK" TargetMode="External" Id="rId1717" /><Relationship Type="http://schemas.openxmlformats.org/officeDocument/2006/relationships/hyperlink" Target="https://fr.ryobitools.eu/activites/jardinage/?utm_source=lemrock&amp;utm_medium=cpc&amp;utm_campaign=RYOBI_LEMROCK" TargetMode="External" Id="rId1718" /><Relationship Type="http://schemas.openxmlformats.org/officeDocument/2006/relationships/hyperlink" Target="https://fr.ryobitools.eu/activites/aventure/?utm_source=lemrock&amp;utm_medium=cpc&amp;utm_campaign=RYOBI_LEMROCK" TargetMode="External" Id="rId1719" /><Relationship Type="http://schemas.openxmlformats.org/officeDocument/2006/relationships/hyperlink" Target="https://fr.ryobitools.eu/activites/loisirs-creatifs/?utm_source=lemrock&amp;utm_medium=cpc&amp;utm_campaign=RYOBI_LEMROCK" TargetMode="External" Id="rId1720" /><Relationship Type="http://schemas.openxmlformats.org/officeDocument/2006/relationships/hyperlink" Target="https://fr.ryobitools.eu/technologies-fr/hybride/?utm_source=lemrock&amp;utm_medium=cpc&amp;utm_campaign=RYOBI_LEMROCK" TargetMode="External" Id="rId1721" /><Relationship Type="http://schemas.openxmlformats.org/officeDocument/2006/relationships/hyperlink" Target="https://fr.ryobitools.eu/whats-new/?utm_source=lemrock&amp;utm_medium=cpc&amp;utm_campaign=RYOBI_LEMROCK" TargetMode="External" Id="rId1722" /><Relationship Type="http://schemas.openxmlformats.org/officeDocument/2006/relationships/hyperlink" Target="https://fr.ryobitools.eu/activites/automobile/?utm_source=lemrock&amp;utm_medium=cpc&amp;utm_campaign=RYOBI_LEMROCK" TargetMode="External" Id="rId1723" /><Relationship Type="http://schemas.openxmlformats.org/officeDocument/2006/relationships/hyperlink" Target="https://fr.ryobitools.eu/batteries-chargeurs/?utm_source=lemrock&amp;utm_medium=cpc&amp;utm_campaign=RYOBI_LEMROCK" TargetMode="External" Id="rId1724" /><Relationship Type="http://schemas.openxmlformats.org/officeDocument/2006/relationships/hyperlink" Target="https://fr.ryobitools.eu/product-focus-fr/nettoyeurs-haute-pression/?utm_source=lemrock&amp;utm_medium=cpc&amp;utm_campaign=RYOBI_LEMROCK" TargetMode="External" Id="rId1725" /><Relationship Type="http://schemas.openxmlformats.org/officeDocument/2006/relationships/hyperlink" Target="https://fr.ryobitools.eu/nettoyage/?utm_source=lemrock&amp;utm_medium=cpc&amp;utm_campaign=RYOBI_LEMROCK" TargetMode="External" Id="rId1726" /><Relationship Type="http://schemas.openxmlformats.org/officeDocument/2006/relationships/hyperlink" Target="https://action.metaffiliation.com/trk.php?mclic=P513ABF5874B115S1UA413adf0879V4" TargetMode="External" Id="rId1727" /><Relationship Type="http://schemas.openxmlformats.org/officeDocument/2006/relationships/hyperlink" Target="https://action.metaffiliation.com/trk.php?mclic=P513ABF5874B115S1U9413adf072V4" TargetMode="External" Id="rId1728" /><Relationship Type="http://schemas.openxmlformats.org/officeDocument/2006/relationships/hyperlink" Target="https://action.metaffiliation.com/trk.php?mclic=P513ABF5874B115S1UA413adf0738V4" TargetMode="External" Id="rId1729" /><Relationship Type="http://schemas.openxmlformats.org/officeDocument/2006/relationships/hyperlink" Target="https://action.metaffiliation.com/trk.php?mclic=P513ABF5874B115S1UA413adf0798V4" TargetMode="External" Id="rId1730" /><Relationship Type="http://schemas.openxmlformats.org/officeDocument/2006/relationships/hyperlink" Target="https://action.metaffiliation.com/trk.php?mclic=P513ABF5874B115S1UA413adf0304V4" TargetMode="External" Id="rId1731" /><Relationship Type="http://schemas.openxmlformats.org/officeDocument/2006/relationships/hyperlink" Target="https://action.metaffiliation.com/trk.php?mclic=P513ABF5874B115S1UA413adf0781V4" TargetMode="External" Id="rId1732" /><Relationship Type="http://schemas.openxmlformats.org/officeDocument/2006/relationships/hyperlink" Target="https://action.metaffiliation.com/trk.php?mclic=P513ABF5874B115S1U9413adf035V4" TargetMode="External" Id="rId1733" /><Relationship Type="http://schemas.openxmlformats.org/officeDocument/2006/relationships/hyperlink" Target="https://action.metaffiliation.com/trk.php?mclic=P513ABF5874B115S1UA413adf0913V4" TargetMode="External" Id="rId1734" /><Relationship Type="http://schemas.openxmlformats.org/officeDocument/2006/relationships/hyperlink" Target="https://action.metaffiliation.com/trk.php?mclic=P513ABF5874B115S1UA413adf0552V4" TargetMode="External" Id="rId1735" /><Relationship Type="http://schemas.openxmlformats.org/officeDocument/2006/relationships/hyperlink" Target="https://action.metaffiliation.com/trk.php?mclic=P513ABF5874B115S1UA413adf0228V4" TargetMode="External" Id="rId1736" /><Relationship Type="http://schemas.openxmlformats.org/officeDocument/2006/relationships/hyperlink" Target="https://action.metaffiliation.com/trk.php?mclic=P513ABF5874B115S1UA413adf0272V4" TargetMode="External" Id="rId1737" /><Relationship Type="http://schemas.openxmlformats.org/officeDocument/2006/relationships/hyperlink" Target="https://action.metaffiliation.com/trk.php?mclic=P513ABF5874B115S1UA413adf0642V4" TargetMode="External" Id="rId1738" /><Relationship Type="http://schemas.openxmlformats.org/officeDocument/2006/relationships/hyperlink" Target="https://action.metaffiliation.com/trk.php?mclic=P513ABF5874B115S1UA413adf0688V4" TargetMode="External" Id="rId1739" /><Relationship Type="http://schemas.openxmlformats.org/officeDocument/2006/relationships/hyperlink" Target="https://action.metaffiliation.com/trk.php?mclic=P513ABF5874B115S1UA413adf0318V4" TargetMode="External" Id="rId1740" /><Relationship Type="http://schemas.openxmlformats.org/officeDocument/2006/relationships/hyperlink" Target="https://action.metaffiliation.com/trk.php?mclic=P513ABF5874B115S1UA413adf0423V4" TargetMode="External" Id="rId1741" /><Relationship Type="http://schemas.openxmlformats.org/officeDocument/2006/relationships/hyperlink" Target="https://action.metaffiliation.com/trk.php?mclic=P513ABF5874B115S1UA413adf0202V4" TargetMode="External" Id="rId1742" /><Relationship Type="http://schemas.openxmlformats.org/officeDocument/2006/relationships/hyperlink" Target="https://action.metaffiliation.com/trk.php?mclic=P513ABF5874B115S1UA413adf0489V4" TargetMode="External" Id="rId1743" /><Relationship Type="http://schemas.openxmlformats.org/officeDocument/2006/relationships/hyperlink" Target="https://www.iopole.com/post/e-reporting?utm_medium=cpc&amp;utm_source=lemrock&amp;utm_campaign=lemrock%20ressources%20q3%2026" TargetMode="External" Id="rId1744" /><Relationship Type="http://schemas.openxmlformats.org/officeDocument/2006/relationships/hyperlink" Target="https://www.iopole.com/?utm_medium=cpc&amp;utm_source=lemrock&amp;utm_campaign=lemrock%20conversion%20q3%2026" TargetMode="External" Id="rId1745" /><Relationship Type="http://schemas.openxmlformats.org/officeDocument/2006/relationships/hyperlink" Target="https://www.iopole.com/post/french-e-invoicing-reform-webinar-replay-dgfip?utm_medium=cpc&amp;utm_source=lemrock&amp;utm_campaign=lemrock%20ressources%20q3%2027" TargetMode="External" Id="rId1746" /><Relationship Type="http://schemas.openxmlformats.org/officeDocument/2006/relationships/hyperlink" Target="https://www.iopole.com/?utm_medium=cpc&amp;utm_source=lemrock&amp;utm_campaign=lemrock%20conversion%20q3%2026" TargetMode="External" Id="rId1747" /><Relationship Type="http://schemas.openxmlformats.org/officeDocument/2006/relationships/hyperlink" Target="https://www.iopole.com/post/e-reporting?utm_medium=cpc&amp;utm_source=lemrock&amp;utm_campaign=lemrock%20ressources%20q3%2026" TargetMode="External" Id="rId1748" /><Relationship Type="http://schemas.openxmlformats.org/officeDocument/2006/relationships/hyperlink" Target="https://www.iopole.com/post/guide-plateformes-agrees?utm_medium=cpc&amp;utm_source=lemrock&amp;utm_campaign=lemrock%20ressources%20q3%2028" TargetMode="External" Id="rId1749" /><Relationship Type="http://schemas.openxmlformats.org/officeDocument/2006/relationships/hyperlink" Target="https://www.iopole.com/post/guide-plateformes-agrees?utm_medium=cpc&amp;utm_source=lemrock&amp;utm_campaign=lemrock%20ressources%20q3%2028" TargetMode="External" Id="rId1750" /><Relationship Type="http://schemas.openxmlformats.org/officeDocument/2006/relationships/hyperlink" Target="https://www.iopole.com/post/e-reporting?utm_medium=cpc&amp;utm_source=lemrock&amp;utm_campaign=lemrock%20ressources%20q3%2026" TargetMode="External" Id="rId1751" /><Relationship Type="http://schemas.openxmlformats.org/officeDocument/2006/relationships/hyperlink" Target="https://www.iopole.com/?utm_medium=cpc&amp;utm_source=lemrock&amp;utm_campaign=lemrock%20conversion%20q3%2026" TargetMode="External" Id="rId1752" /><Relationship Type="http://schemas.openxmlformats.org/officeDocument/2006/relationships/hyperlink" Target="https://www.iopole.com/post/french-e-invoicing-reform-webinar-replay-dgfip?utm_medium=cpc&amp;utm_source=lemrock&amp;utm_campaign=lemrock%20ressources%20q3%2027" TargetMode="External" Id="rId1753" /><Relationship Type="http://schemas.openxmlformats.org/officeDocument/2006/relationships/hyperlink" Target="https://www.iopole.com/?utm_medium=cpc&amp;utm_source=lemrock&amp;utm_campaign=lemrock%20conversion%20q3%2026" TargetMode="External" Id="rId175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9729566.aspx%253F" TargetMode="External" Id="rId175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4848233.aspx%253F" TargetMode="External" Id="rId175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4848233.aspx%253F" TargetMode="External" Id="rId175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2243605.aspx%253F" TargetMode="External" Id="rId175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8977353.aspx%253F" TargetMode="External" Id="rId175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9515474.aspx%253F" TargetMode="External" Id="rId176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459542.aspx%253F" TargetMode="External" Id="rId176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1611083.aspx%253F" TargetMode="External" Id="rId176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9729566.aspx%253F" TargetMode="External" Id="rId176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482992.aspx%253F" TargetMode="External" Id="rId176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511404.aspx%253F" TargetMode="External" Id="rId176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502063.aspx%253F" TargetMode="External" Id="rId176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9747005.aspx%253F" TargetMode="External" Id="rId176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1013113.aspx%253F" TargetMode="External" Id="rId176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486640.aspx%253F" TargetMode="External" Id="rId176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8977353.aspx%253F" TargetMode="External" Id="rId177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2586506.aspx%253F" TargetMode="External" Id="rId177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0882058.aspx%253F" TargetMode="External" Id="rId177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060765.aspx%253F" TargetMode="External" Id="rId177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7929086.aspx%253F" TargetMode="External" Id="rId177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la-redoute-interieurs.aspx%253F" TargetMode="External" Id="rId177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808352.aspx%253F" TargetMode="External" Id="rId177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060765.aspx%253F" TargetMode="External" Id="rId177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4848233.aspx%253F" TargetMode="External" Id="rId177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37300332.aspx%253F" TargetMode="External" Id="rId177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482992.aspx%253F" TargetMode="External" Id="rId178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3872017.aspx%253F" TargetMode="External" Id="rId178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1852174.aspx%253F" TargetMode="External" Id="rId178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502063.aspx%253F" TargetMode="External" Id="rId178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38299236.aspx%253F" TargetMode="External" Id="rId178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808352.aspx%253F" TargetMode="External" Id="rId178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807014.aspx%253F" TargetMode="External" Id="rId178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 TargetMode="External" Id="rId178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1852174.aspx%253F" TargetMode="External" Id="rId178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060765.aspx%253F" TargetMode="External" Id="rId178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030220.aspx%253F" TargetMode="External" Id="rId179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7929086.aspx%253F" TargetMode="External" Id="rId179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38299236.aspx%253F" TargetMode="External" Id="rId179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lp%252Fcat-385755.aspx%253F" TargetMode="External" Id="rId179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9114393.aspx%253F" TargetMode="External" Id="rId179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482992.aspx%253F" TargetMode="External" Id="rId179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9114393.aspx%253F" TargetMode="External" Id="rId179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 TargetMode="External" Id="rId179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alt%252Flaredoutecollections.aspx%253F" TargetMode="External" Id="rId179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030220.aspx%253F" TargetMode="External" Id="rId179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807014.aspx%253F" TargetMode="External" Id="rId180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459542.aspx%253F" TargetMode="External" Id="rId180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71118.aspx%253F" TargetMode="External" Id="rId180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87402.aspx%253F" TargetMode="External" Id="rId180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3516906.aspx%253F" TargetMode="External" Id="rId180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486640.aspx%253F" TargetMode="External" Id="rId180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486640.aspx%253F" TargetMode="External" Id="rId180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3516906.aspx%253F" TargetMode="External" Id="rId180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2586506.aspx%253F" TargetMode="External" Id="rId180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459542.aspx%253F" TargetMode="External" Id="rId180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87402.aspx%253F" TargetMode="External" Id="rId181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72605.aspx%253F" TargetMode="External" Id="rId181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86762.aspx%253F" TargetMode="External" Id="rId181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37300332.aspx%253F" TargetMode="External" Id="rId181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9030220.aspx%253F" TargetMode="External" Id="rId181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511404.aspx%253F" TargetMode="External" Id="rId181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71118.aspx%253F" TargetMode="External" Id="rId181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808352.aspx%253F" TargetMode="External" Id="rId181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990638.aspx%253F" TargetMode="External" Id="rId181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lp%252Fcat-385755.aspx%253F" TargetMode="External" Id="rId181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38299236.aspx%253F" TargetMode="External" Id="rId182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71118.aspx%253F" TargetMode="External" Id="rId182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 TargetMode="External" Id="rId182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86762.aspx%253F" TargetMode="External" Id="rId182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2243605.aspx%253F" TargetMode="External" Id="rId182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9515474.aspx%253F" TargetMode="External" Id="rId182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7929086.aspx%253F" TargetMode="External" Id="rId182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 TargetMode="External" Id="rId182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2502063.aspx%253F" TargetMode="External" Id="rId182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1611083.aspx%253F" TargetMode="External" Id="rId182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738570.aspx%253F" TargetMode="External" Id="rId183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3516906.aspx%253F" TargetMode="External" Id="rId183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23872017.aspx%253F" TargetMode="External" Id="rId183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59747005.aspx%253F" TargetMode="External" Id="rId183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1013113.aspx%253F" TargetMode="External" Id="rId183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990638.aspx%253F" TargetMode="External" Id="rId183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738570.aspx%253F" TargetMode="External" Id="rId183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72605.aspx%253F" TargetMode="External" Id="rId1837"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40882058.aspx%253F" TargetMode="External" Id="rId1838"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601852174.aspx%253F" TargetMode="External" Id="rId1839"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72605.aspx%253F" TargetMode="External" Id="rId1840"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990638.aspx%253F" TargetMode="External" Id="rId1841"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1738570.aspx%253F" TargetMode="External" Id="rId1842"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86762.aspx%253F" TargetMode="External" Id="rId1843"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dp%252Fprod-500787402.aspx%253F" TargetMode="External" Id="rId1844"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la-redoute-interieurs.aspx%253F" TargetMode="External" Id="rId1845"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pplp%252Fcat-385755.aspx%253F" TargetMode="External" Id="rId1846" /><Relationship Type="http://schemas.openxmlformats.org/officeDocument/2006/relationships/hyperlink" Target="https://lb.affilae.com/r/?p=64a5b1cce48e0dec93102752&amp;af=2339&amp;lp=https%3A%2F%2Flr.app.link%2FQqc5Di3etCb%3F%25243p%3Da_affilae%26%257Eclick_id%3D%257BClickID%257D%26%257Ecampaign%3DAffilae%26affid%3D2339%26cod%3DAFF00080861FR%26%2524fallback_url%3Dhttps%253A%252F%252Fwww.laredoute.fr%252Falt%252Flaredoutecollections.aspx%253F" TargetMode="External" Id="rId1847" /><Relationship Type="http://schemas.openxmlformats.org/officeDocument/2006/relationships/hyperlink" Target="https://action.metaffiliation.com/trk.php?mclic=P51323D5874B119S1U941389f054V4" TargetMode="External" Id="rId1848" /><Relationship Type="http://schemas.openxmlformats.org/officeDocument/2006/relationships/hyperlink" Target="https://action.metaffiliation.com/trk.php?mclic=P51323D5874B119S1U941389f052V4" TargetMode="External" Id="rId1849" /><Relationship Type="http://schemas.openxmlformats.org/officeDocument/2006/relationships/hyperlink" Target="https://action.metaffiliation.com/trk.php?mclic=P51323D5874B11515" TargetMode="External" Id="rId1850" /><Relationship Type="http://schemas.openxmlformats.org/officeDocument/2006/relationships/hyperlink" Target="https://action.metaffiliation.com/trk.php?mclic=P51323D5874B119S1U941389f051V4" TargetMode="External" Id="rId1851" /><Relationship Type="http://schemas.openxmlformats.org/officeDocument/2006/relationships/hyperlink" Target="https://action.metaffiliation.com/trk.php?mclic=P51323D5874B119S1U941389f048V4" TargetMode="External" Id="rId1852" /><Relationship Type="http://schemas.openxmlformats.org/officeDocument/2006/relationships/hyperlink" Target="https://action.metaffiliation.com/trk.php?mclic=P51323D5874B119S1U941389f058V4" TargetMode="External" Id="rId1853" /><Relationship Type="http://schemas.openxmlformats.org/officeDocument/2006/relationships/hyperlink" Target="https://action.metaffiliation.com/trk.php?mclic=P51323D5874B119S1U941389f053V4" TargetMode="External" Id="rId1854" /><Relationship Type="http://schemas.openxmlformats.org/officeDocument/2006/relationships/hyperlink" Target="https://action.metaffiliation.com/trk.php?mclic=P51323D5874B119S1U941389f056V4" TargetMode="External" Id="rId1855" /><Relationship Type="http://schemas.openxmlformats.org/officeDocument/2006/relationships/hyperlink" Target="https://action.metaffiliation.com/trk.php?mclic=P51323D5874B119S1U941389f059V4" TargetMode="External" Id="rId1856" /><Relationship Type="http://schemas.openxmlformats.org/officeDocument/2006/relationships/hyperlink" Target="https://action.metaffiliation.com/trk.php?mclic=P51323D5874B119S1U941389f058V4" TargetMode="External" Id="rId1857" /><Relationship Type="http://schemas.openxmlformats.org/officeDocument/2006/relationships/hyperlink" Target="https://action.metaffiliation.com/trk.php?mclic=P51323D5874B119S1U941389f058V4" TargetMode="External" Id="rId1858" /><Relationship Type="http://schemas.openxmlformats.org/officeDocument/2006/relationships/hyperlink" Target="https://action.metaffiliation.com/trk.php?mclic=P51323D5874B119S1U941389f052V4" TargetMode="External" Id="rId1859" /><Relationship Type="http://schemas.openxmlformats.org/officeDocument/2006/relationships/hyperlink" Target="https://action.metaffiliation.com/trk.php?mclic=P51323D5874B119S1U941389f051V4" TargetMode="External" Id="rId1860" /><Relationship Type="http://schemas.openxmlformats.org/officeDocument/2006/relationships/hyperlink" Target="https://action.metaffiliation.com/trk.php?mclic=P51323D5874B119S1U941389f048V4" TargetMode="External" Id="rId1861" /><Relationship Type="http://schemas.openxmlformats.org/officeDocument/2006/relationships/hyperlink" Target="https://action.metaffiliation.com/trk.php?mclic=P51323D5874B119S1U941389f054V4" TargetMode="External" Id="rId1862" /><Relationship Type="http://schemas.openxmlformats.org/officeDocument/2006/relationships/hyperlink" Target="https://action.metaffiliation.com/trk.php?mclic=P51323D5874B11515" TargetMode="External" Id="rId1863" /><Relationship Type="http://schemas.openxmlformats.org/officeDocument/2006/relationships/hyperlink" Target="https://action.metaffiliation.com/trk.php?mclic=P51323D5874B119S1U941389f053V4" TargetMode="External" Id="rId1864" /><Relationship Type="http://schemas.openxmlformats.org/officeDocument/2006/relationships/hyperlink" Target="https://action.metaffiliation.com/trk.php?mclic=P51323D5874B119S1U941389f049V4" TargetMode="External" Id="rId1865" /><Relationship Type="http://schemas.openxmlformats.org/officeDocument/2006/relationships/hyperlink" Target="https://action.metaffiliation.com/trk.php?mclic=P51323D5874B119S1U941389f043V4" TargetMode="External" Id="rId1866" /><Relationship Type="http://schemas.openxmlformats.org/officeDocument/2006/relationships/hyperlink" Target="https://action.metaffiliation.com/trk.php?mclic=P51323D5874B119S1U941389f061V4" TargetMode="External" Id="rId1867" /><Relationship Type="http://schemas.openxmlformats.org/officeDocument/2006/relationships/hyperlink" Target="https://action.metaffiliation.com/trk.php?mclic=P51323D5874B119S1U941389f062V4" TargetMode="External" Id="rId1868" /><Relationship Type="http://schemas.openxmlformats.org/officeDocument/2006/relationships/hyperlink" Target="https://action.metaffiliation.com/trk.php?mclic=P51323D5874B119S1U941389f040V4" TargetMode="External" Id="rId1869" /><Relationship Type="http://schemas.openxmlformats.org/officeDocument/2006/relationships/hyperlink" Target="https://action.metaffiliation.com/trk.php?mclic=P51323D5874B119S1U941389f046V4" TargetMode="External" Id="rId1870" /><Relationship Type="http://schemas.openxmlformats.org/officeDocument/2006/relationships/hyperlink" Target="https://action.metaffiliation.com/trk.php?mclic=P51323D5874B119S1U941389f041V4" TargetMode="External" Id="rId1871" /><Relationship Type="http://schemas.openxmlformats.org/officeDocument/2006/relationships/hyperlink" Target="https://action.metaffiliation.com/trk.php?mclic=P51323D5874B119S1U941389f044V4" TargetMode="External" Id="rId1872" /><Relationship Type="http://schemas.openxmlformats.org/officeDocument/2006/relationships/hyperlink" Target="https://action.metaffiliation.com/trk.php?mclic=P51323D5874B119S1U941389f047V4" TargetMode="External" Id="rId1873" /><Relationship Type="http://schemas.openxmlformats.org/officeDocument/2006/relationships/hyperlink" Target="https://action.metaffiliation.com/trk.php?mclic=P51323D5874B119S1U941389f045V4" TargetMode="External" Id="rId1874" /><Relationship Type="http://schemas.openxmlformats.org/officeDocument/2006/relationships/hyperlink" Target="https://action.metaffiliation.com/trk.php?mclic=P51323D5874B119S1U941389f042V4" TargetMode="External" Id="rId1875" /><Relationship Type="http://schemas.openxmlformats.org/officeDocument/2006/relationships/hyperlink" Target="https://c3po.link/QuFukU6ECk" TargetMode="External" Id="rId1876" /><Relationship Type="http://schemas.openxmlformats.org/officeDocument/2006/relationships/hyperlink" Target="https://lb.affilae.com/r/?p=643faf32803f8b136b097905&amp;af=478&amp;lp=https%3A%2F%2Ffranklinpetfood.com%2Fproducts%2Fselection-grand-large%3Futm_source%3DAffilae%26utm_medium%3DReferral%26utm_campaign%3DLemrock%26utm_content%3DLLM" TargetMode="External" Id="rId1877" /><Relationship Type="http://schemas.openxmlformats.org/officeDocument/2006/relationships/hyperlink" Target="https://c3po.link/Qs97xQPrZr" TargetMode="External" Id="rId1878" /><Relationship Type="http://schemas.openxmlformats.org/officeDocument/2006/relationships/hyperlink" Target="https://lb.affilae.com/r/?p=643faf32803f8b136b097905&amp;af=478&amp;lp=https%3A%2F%2Ffranklinpetfood.com%2Fproducts%2Fcanard-courge-camomille%3Futm_source%3DAffilae%26utm_medium%3DReferral%26utm_campaign%3DLemrock%26utm_content%3DLLM" TargetMode="External" Id="rId1879" /><Relationship Type="http://schemas.openxmlformats.org/officeDocument/2006/relationships/hyperlink" Target="https://lb.affilae.com/r/?p=643faf32803f8b136b097905&amp;af=478&amp;lp=https%3A%2F%2Ffranklinpetfood.com%2Fproducts%2Fgourde-chien%3Futm_source%3DAffilae%26utm_medium%3DReferral%26utm_campaign%3DLemrock%26utm_content%3DLLM" TargetMode="External" Id="rId1880" /><Relationship Type="http://schemas.openxmlformats.org/officeDocument/2006/relationships/hyperlink" Target="https://lb.affilae.com/r/?p=643faf32803f8b136b097905&amp;af=478&amp;lp=https%3A%2F%2Ffranklinpetfood.com%2Fproducts%2Fsanglier-myrtille-romarin%3Futm_source%3DAffilae%26utm_medium%3DReferral%26utm_campaign%3DLemrock%26utm_content%3DLLM" TargetMode="External" Id="rId1881" /><Relationship Type="http://schemas.openxmlformats.org/officeDocument/2006/relationships/hyperlink" Target="https://lb.affilae.com/r/?p=643faf32803f8b136b097905&amp;af=478&amp;lp=https%3A%2F%2Ffranklinpetfood.com%2Fproducts%2Fjouet-tournesol-chat%3Futm_source%3DAffilae%26utm_medium%3DReferral%26utm_campaign%3DLemrock%26utm_content%3DLLM" TargetMode="External" Id="rId1882" /><Relationship Type="http://schemas.openxmlformats.org/officeDocument/2006/relationships/hyperlink" Target="https://lb.affilae.com/r/?p=643faf32803f8b136b097905&amp;af=478&amp;lp=https%3A%2F%2Ffranklinpetfood.com%2Fproducts%2Fsnack-saumon-chat%3Futm_source%3DAffilae%26utm_medium%3DReferral%26utm_campaign%3DLemrock%26utm_content%3DLLM" TargetMode="External" Id="rId1883" /><Relationship Type="http://schemas.openxmlformats.org/officeDocument/2006/relationships/hyperlink" Target="https://lb.affilae.com/r/?p=643faf32803f8b136b097905&amp;af=478&amp;lp=https%3A%2F%2Ffranklinpetfood.com%2Fproducts%2Fdinde-saumon-canneberge%3Futm_source%3DAffilae%26utm_medium%3DReferral%26utm_campaign%3DLemrock%26utm_content%3DLLM" TargetMode="External" Id="rId1884" /><Relationship Type="http://schemas.openxmlformats.org/officeDocument/2006/relationships/hyperlink" Target="https://lb.affilae.com/r/?p=643faf32803f8b136b097905&amp;af=478&amp;lp=https%3A%2F%2Ffranklinpetfood.com%2Fproducts%2Fpack-decouverte-chien-v2%3Futm_source%3DAffilae%26utm_medium%3DReferral%26utm_campaign%3DLemrock%26utm_content%3DLLM" TargetMode="External" Id="rId1885" /><Relationship Type="http://schemas.openxmlformats.org/officeDocument/2006/relationships/hyperlink" Target="https://lb.affilae.com/r/?p=643faf32803f8b136b097905&amp;af=478&amp;lp=https%3A%2F%2Ffranklinpetfood.com%2Fproducts%2Fsaumon-courge-camomille%3Futm_source%3DAffilae%26utm_medium%3DReferral%26utm_campaign%3DLemrock%26utm_content%3DLLM" TargetMode="External" Id="rId1886" /><Relationship Type="http://schemas.openxmlformats.org/officeDocument/2006/relationships/hyperlink" Target="https://lb.affilae.com/r/?p=643faf32803f8b136b097905&amp;af=478&amp;lp=https%3A%2F%2Ffranklinpetfood.com%2Fproducts%2Fhuile-de-chanvre%3Futm_source%3DAffilae%26utm_medium%3DReferral%26utm_campaign%3DLemrock%26utm_content%3DLLM" TargetMode="External" Id="rId1887" /><Relationship Type="http://schemas.openxmlformats.org/officeDocument/2006/relationships/hyperlink" Target="https://lb.affilae.com/r/?p=643faf32803f8b136b097905&amp;af=478&amp;lp=https%3A%2F%2Ffranklinpetfood.com%2Fproducts%2Ftrio-decouverte-filets-chat%3Futm_source%3DAffilae%26utm_medium%3DReferral%26utm_campaign%3DLemrock%26utm_content%3DLLM" TargetMode="External" Id="rId1888" /><Relationship Type="http://schemas.openxmlformats.org/officeDocument/2006/relationships/hyperlink" Target="https://lb.affilae.com/r/?p=643faf32803f8b136b097905&amp;af=478&amp;lp=https%3A%2F%2Ffranklinpetfood.com%2Fproducts%2Ftrio-decouverte-filets-chat%3Futm_source%3DAffilae%26utm_medium%3DReferral%26utm_campaign%3DLemrock%26utm_content%3DLLM" TargetMode="External" Id="rId1889" /><Relationship Type="http://schemas.openxmlformats.org/officeDocument/2006/relationships/hyperlink" Target="https://lb.affilae.com/r/?p=643faf32803f8b136b097905&amp;af=478&amp;lp=https%3A%2F%2Ffranklinpetfood.com%2Fproducts%2Fpoulet-framboise-origan%3Futm_source%3DAffilae%26utm_medium%3DReferral%26utm_campaign%3DLemrock%26utm_content%3DLLM" TargetMode="External" Id="rId1890" /><Relationship Type="http://schemas.openxmlformats.org/officeDocument/2006/relationships/hyperlink" Target="https://lb.affilae.com/r/?p=643faf32803f8b136b097905&amp;af=478&amp;lp=https%3A%2F%2Ffranklinpetfood.com%2Fproducts%2Fpack-surpoids-chien%3Futm_source%3DAffilae%26utm_medium%3DReferral%26utm_campaign%3DLemrock%26utm_content%3DLLM" TargetMode="External" Id="rId1891" /><Relationship Type="http://schemas.openxmlformats.org/officeDocument/2006/relationships/hyperlink" Target="https://c3po.link/QuFukU6ECk" TargetMode="External" Id="rId1892" /><Relationship Type="http://schemas.openxmlformats.org/officeDocument/2006/relationships/hyperlink" Target="https://franklinpetfood.com/products/lot-decouverte-patees-chien?utm_source=Affilae&amp;utm_medium=Referral&amp;utm_campaign=Lemrock&amp;utm_content=LLM" TargetMode="External" Id="rId1893" /><Relationship Type="http://schemas.openxmlformats.org/officeDocument/2006/relationships/hyperlink" Target="https://lb.affilae.com/r/?p=643faf32803f8b136b097905&amp;af=478&amp;lp=https%3A%2F%2Ffranklinpetfood.com%2Fproducts%2Fsaumon-truite-persil%3Futm_source%3DAffilae%26utm_medium%3DReferral%26utm_campaign%3DLemrock%26utm_content%3DLLM" TargetMode="External" Id="rId1894" /><Relationship Type="http://schemas.openxmlformats.org/officeDocument/2006/relationships/hyperlink" Target="https://lb.affilae.com/r/?p=643faf32803f8b136b097905&amp;af=478&amp;lp=https%3A%2F%2Ffranklinpetfood.com%2Fproducts%2Fsnack-saumon-chien%3Futm_source%3DAffilae%26utm_medium%3DReferral%26utm_campaign%3DLemrock%26utm_content%3DLLM" TargetMode="External" Id="rId1895" /><Relationship Type="http://schemas.openxmlformats.org/officeDocument/2006/relationships/hyperlink" Target="https://lb.affilae.com/r/?p=643faf32803f8b136b097905&amp;af=478&amp;lp=https%3A%2F%2Ffranklinpetfood.com%2Fproducts%2Fagneau-dinde-valeriane%3Futm_source%3DAffilae%26utm_medium%3DReferral%26utm_campaign%3DLemrock%26utm_content%3DLLM" TargetMode="External" Id="rId1896" /><Relationship Type="http://schemas.openxmlformats.org/officeDocument/2006/relationships/hyperlink" Target="https://lb.affilae.com/r/?p=643faf32803f8b136b097905&amp;af=478&amp;lp=https%3A%2F%2Ffranklinpetfood.com%2Fproducts%2Fdinde-patate-douce-epinards%3Futm_source%3DAffilae%26utm_medium%3DReferral%26utm_campaign%3DLemrock%26utm_content%3DLLM" TargetMode="External" Id="rId1897" /><Relationship Type="http://schemas.openxmlformats.org/officeDocument/2006/relationships/hyperlink" Target="https://lb.affilae.com/r/?p=643faf32803f8b136b097905&amp;af=478&amp;lp=https%3A%2F%2Ffranklinpetfood.com%2Fproducts%2Fcroquettes-chien-adulte-digestion-sensible%3Futm_source%3DAffilae%26utm_medium%3DReferral%26utm_campaign%3DLemrock%26utm_content%3DLLM" TargetMode="External" Id="rId1898" /><Relationship Type="http://schemas.openxmlformats.org/officeDocument/2006/relationships/hyperlink" Target="https://lb.affilae.com/r/?p=643faf32803f8b136b097905&amp;af=478&amp;lp=https%3A%2F%2Ffranklinpetfood.com%2Fproducts%2Fpoulet-courge-cranberry%3Futm_source%3DAffilae%26utm_medium%3DReferral%26utm_campaign%3DLemrock%26utm_content%3DLLM" TargetMode="External" Id="rId1899" /><Relationship Type="http://schemas.openxmlformats.org/officeDocument/2006/relationships/hyperlink" Target="https://lb.affilae.com/r/?p=643faf32803f8b136b097905&amp;af=478&amp;lp=https%3A%2F%2Ffranklinpetfood.com%2Fproducts%2Fboeuf%3Futm_source%3DAffilae%26utm_medium%3DReferral%26utm_campaign%3DLemrock%26utm_content%3DLLM" TargetMode="External" Id="rId1900" /><Relationship Type="http://schemas.openxmlformats.org/officeDocument/2006/relationships/hyperlink" Target="https://lb.affilae.com/r/?p=643faf32803f8b136b097905&amp;af=478&amp;lp=https%3A%2F%2Ffranklinpetfood.com%2Fproducts%2Fpoulet-saumon-fenouil%3Futm_source%3DAffilae%26utm_medium%3DReferral%26utm_campaign%3DLemrock%26utm_content%3DLLM" TargetMode="External" Id="rId1901" /><Relationship Type="http://schemas.openxmlformats.org/officeDocument/2006/relationships/hyperlink" Target="https://lb.affilae.com/r/?p=643faf32803f8b136b097905&amp;af=478&amp;lp=https%3A%2F%2Ffranklinpetfood.com%2Fproducts%2Fcomplement-elixir-felin%3Futm_source%3DAffilae%26utm_medium%3DReferral%26utm_campaign%3DLemrock%26utm_content%3DLLM" TargetMode="External" Id="rId1902" /><Relationship Type="http://schemas.openxmlformats.org/officeDocument/2006/relationships/hyperlink" Target="https://lb.affilae.com/r/?p=643faf32803f8b136b097905&amp;af=478&amp;lp=https%3A%2F%2Ffranklinpetfood.com%2Fproducts%2Fpoulet-thon-saumon%3Futm_source%3DAffilae%26utm_medium%3DReferral%26utm_campaign%3DLemrock%26utm_content%3DLLM" TargetMode="External" Id="rId1903" /><Relationship Type="http://schemas.openxmlformats.org/officeDocument/2006/relationships/hyperlink" Target="https://lb.affilae.com/r/?p=643faf32803f8b136b097905&amp;af=478&amp;lp=https%3A%2F%2Ffranklinpetfood.com%2Fproducts%2Ffriandises-de-dressage-a-lagneau%3Futm_source%3DAffilae%26utm_medium%3DReferral%26utm_campaign%3DLemrock%26utm_content%3DLLM" TargetMode="External" Id="rId1904" /><Relationship Type="http://schemas.openxmlformats.org/officeDocument/2006/relationships/hyperlink" Target="https://lb.affilae.com/r/?p=643faf32803f8b136b097905&amp;af=478&amp;lp=https%3A%2F%2Ffranklinpetfood.com%2Fproducts%2Fcanard-pomme-carotte%3Futm_source%3DAffilae%26utm_medium%3DReferral%26utm_campaign%3DLemrock%26utm_content%3DLLM" TargetMode="External" Id="rId1905" /><Relationship Type="http://schemas.openxmlformats.org/officeDocument/2006/relationships/hyperlink" Target="https://lb.affilae.com/r/?p=643faf32803f8b136b097905&amp;af=478&amp;lp=https%3A%2F%2Ffranklinpetfood.com%2Fproducts%2Fpoulet-courge-myrtille%3Futm_source%3DAffilae%26utm_medium%3DReferral%26utm_campaign%3DLemrock%26utm_content%3DLLM" TargetMode="External" Id="rId1906" /><Relationship Type="http://schemas.openxmlformats.org/officeDocument/2006/relationships/hyperlink" Target="https://lb.affilae.com/r/?p=643faf32803f8b136b097905&amp;af=478&amp;lp=https%3A%2F%2Ffranklinpetfood.com%2Fproducts%2Fcroquettes-chaton-poulet-saumon-carotte%3Futm_source%3DAffilae%26utm_medium%3DReferral%26utm_campaign%3DLemrock%26utm_content%3DLLM" TargetMode="External" Id="rId1907" /><Relationship Type="http://schemas.openxmlformats.org/officeDocument/2006/relationships/hyperlink" Target="https://c3po.link/QMT8WgFMEs" TargetMode="External" Id="rId1908" /><Relationship Type="http://schemas.openxmlformats.org/officeDocument/2006/relationships/hyperlink" Target="https://c3po.link/QyQ2BjDJfP" TargetMode="External" Id="rId1909" /><Relationship Type="http://schemas.openxmlformats.org/officeDocument/2006/relationships/hyperlink" Target="https://lb.affilae.com/r/?p=643faf32803f8b136b097905&amp;af=478&amp;lp=https%3A%2F%2Ffranklinpetfood.com%2Fproducts%2Fpack-decouverte-chien-v2%3Futm_source%3DAffilae%26utm_medium%3DReferral%26utm_campaign%3DLemrock%26utm_content%3DLLM" TargetMode="External" Id="rId1910" /><Relationship Type="http://schemas.openxmlformats.org/officeDocument/2006/relationships/hyperlink" Target="https://lb.affilae.com/r/?p=643faf32803f8b136b097905&amp;af=478&amp;lp=https%3A%2F%2Ffranklinpetfood.com%2Fproducts%2Fdinde-courge-poire%3Futm_source%3DAffilae%26utm_medium%3DReferral%26utm_campaign%3DLemrock%26utm_content%3DLLM" TargetMode="External" Id="rId1911" /><Relationship Type="http://schemas.openxmlformats.org/officeDocument/2006/relationships/hyperlink" Target="https://c3po.link/QtbRUcpHJ9" TargetMode="External" Id="rId1912" /><Relationship Type="http://schemas.openxmlformats.org/officeDocument/2006/relationships/hyperlink" Target="https://c3po.link/QzMtsAueRw" TargetMode="External" Id="rId1913" /><Relationship Type="http://schemas.openxmlformats.org/officeDocument/2006/relationships/hyperlink" Target="https://c3po.link/QuFukU6ECk" TargetMode="External" Id="rId1914" /><Relationship Type="http://schemas.openxmlformats.org/officeDocument/2006/relationships/hyperlink" Target="https://franklinpetfood.com/products/canard-thym?utm_source=Affilae&amp;utm_medium=Referral&amp;utm_campaign=Lemrock&amp;utm_content=LLM" TargetMode="External" Id="rId1915" /><Relationship Type="http://schemas.openxmlformats.org/officeDocument/2006/relationships/hyperlink" Target="https://c3po.link/QquDYBqEBA" TargetMode="External" Id="rId1916" /><Relationship Type="http://schemas.openxmlformats.org/officeDocument/2006/relationships/hyperlink" Target="https://franklinpetfood.com/products/lot-hypoallergenique-chien?utm_source=Affilae&amp;utm_medium=Referral&amp;utm_campaign=Lemrock&amp;utm_content=LLM" TargetMode="External" Id="rId1917" /><Relationship Type="http://schemas.openxmlformats.org/officeDocument/2006/relationships/hyperlink" Target="https://c3po.link/Qtr6rBhJJN" TargetMode="External" Id="rId1918" /><Relationship Type="http://schemas.openxmlformats.org/officeDocument/2006/relationships/hyperlink" Target="https://c3po.link/QVBRzUfvFu" TargetMode="External" Id="rId1919" /><Relationship Type="http://schemas.openxmlformats.org/officeDocument/2006/relationships/hyperlink" Target="https://franklinpetfood.com/products/bandana-estival-chien?utm_source=Affilae&amp;utm_medium=Referral&amp;utm_campaign=Lemrock&amp;utm_content=LLM" TargetMode="External" Id="rId1920" /><Relationship Type="http://schemas.openxmlformats.org/officeDocument/2006/relationships/hyperlink" Target="https://franklinpetfood.com/products/boules-de-poils?utm_source=Affilae&amp;utm_medium=Referral&amp;utm_campaign=Lemrock&amp;utm_content=LLM" TargetMode="External" Id="rId1921" /><Relationship Type="http://schemas.openxmlformats.org/officeDocument/2006/relationships/hyperlink" Target="https://c3po.link/QJVBNRCpdn" TargetMode="External" Id="rId1922" /><Relationship Type="http://schemas.openxmlformats.org/officeDocument/2006/relationships/hyperlink" Target="https://franklinpetfood.com/products/lot-hypoallergenique-chat?utm_source=Affilae&amp;utm_medium=Referral&amp;utm_campaign=Lemrock&amp;utm_content=LLM" TargetMode="External" Id="rId1923" /><Relationship Type="http://schemas.openxmlformats.org/officeDocument/2006/relationships/hyperlink" Target="https://franklinpetfood.com/products/bandana-estival-chat?utm_source=Affilae&amp;utm_medium=Referral&amp;utm_campaign=Lemrock&amp;utm_content=LLM" TargetMode="External" Id="rId1924" /><Relationship Type="http://schemas.openxmlformats.org/officeDocument/2006/relationships/hyperlink" Target="https://franklinpetfood.com/products/multipack-filets?utm_source=Affilae&amp;utm_medium=Referral&amp;utm_campaign=Lemrock&amp;utm_content=LLM" TargetMode="External" Id="rId1925" /><Relationship Type="http://schemas.openxmlformats.org/officeDocument/2006/relationships/hyperlink" Target="https://franklinpetfood.com/products/mini-viande-sechee-boeuf-romarin?utm_source=Affilae&amp;utm_medium=Referral&amp;utm_campaign=Lemrock&amp;utm_content=LLM" TargetMode="External" Id="rId1926" /><Relationship Type="http://schemas.openxmlformats.org/officeDocument/2006/relationships/hyperlink" Target="https://franklinpetfood.com/products/biscroc-anti-boules-de-poils?utm_source=Affilae&amp;utm_medium=Referral&amp;utm_campaign=Lemrock&amp;utm_content=LLM" TargetMode="External" Id="rId1927" /><Relationship Type="http://schemas.openxmlformats.org/officeDocument/2006/relationships/hyperlink" Target="https://franklinpetfood.com/products/poulet?utm_source=Affilae&amp;utm_medium=Referral&amp;utm_campaign=Lemrock&amp;utm_content=LLM" TargetMode="External" Id="rId1928" /><Relationship Type="http://schemas.openxmlformats.org/officeDocument/2006/relationships/hyperlink" Target="https://franklinpetfood.com/products/mini-tubes-cremeux-thon?utm_source=Affilae&amp;utm_medium=Referral&amp;utm_campaign=Lemrock&amp;utm_content=LLM" TargetMode="External" Id="rId1929" /><Relationship Type="http://schemas.openxmlformats.org/officeDocument/2006/relationships/hyperlink" Target="https://franklinpetfood.com/products/mini-tubes-cremeux-thon-saumon?utm_source=Affilae&amp;utm_medium=Referral&amp;utm_campaign=Lemrock&amp;utm_content=LLM" TargetMode="External" Id="rId1930" /><Relationship Type="http://schemas.openxmlformats.org/officeDocument/2006/relationships/hyperlink" Target="https://franklinpetfood.com/products/lot-digestion-chat?utm_source=Affilae&amp;utm_medium=Referral&amp;utm_campaign=Lemrock&amp;utm_content=LLM" TargetMode="External" Id="rId1931" /><Relationship Type="http://schemas.openxmlformats.org/officeDocument/2006/relationships/hyperlink" Target="https://franklinpetfood.com/products/noel-gourmand-dinde-cheddar?utm_source=Affilae&amp;utm_medium=Referral&amp;utm_campaign=Lemrock&amp;utm_content=LLM" TargetMode="External" Id="rId1932" /><Relationship Type="http://schemas.openxmlformats.org/officeDocument/2006/relationships/hyperlink" Target="https://c3po.link/QyUy4KZ4S7" TargetMode="External" Id="rId1933" /><Relationship Type="http://schemas.openxmlformats.org/officeDocument/2006/relationships/hyperlink" Target="https://franklinpetfood.com/products/huile-de-saumon-chien?utm_source=Affilae&amp;utm_medium=Referral&amp;utm_campaign=Lemrock&amp;utm_content=LLM" TargetMode="External" Id="rId1934" /><Relationship Type="http://schemas.openxmlformats.org/officeDocument/2006/relationships/hyperlink" Target="https://c3po.link/QpgEjhWtYY" TargetMode="External" Id="rId1935" /><Relationship Type="http://schemas.openxmlformats.org/officeDocument/2006/relationships/hyperlink" Target="https://franklinpetfood.com/products/pack-pour-chien-collagene?utm_source=Affilae&amp;utm_medium=Referral&amp;utm_campaign=Lemrock&amp;utm_content=LLM" TargetMode="External" Id="rId1936" /><Relationship Type="http://schemas.openxmlformats.org/officeDocument/2006/relationships/hyperlink" Target="https://franklinpetfood.com/products/poulet-thon?utm_source=Affilae&amp;utm_medium=Referral&amp;utm_campaign=Lemrock&amp;utm_content=LLM" TargetMode="External" Id="rId1937" /><Relationship Type="http://schemas.openxmlformats.org/officeDocument/2006/relationships/hyperlink" Target="https://franklinpetfood.com/products/mini-tubes-cremeux-poulet-camomille?utm_source=Affilae&amp;utm_medium=Referral&amp;utm_campaign=Lemrock&amp;utm_content=LLM" TargetMode="External" Id="rId1938" /><Relationship Type="http://schemas.openxmlformats.org/officeDocument/2006/relationships/hyperlink" Target="https://franklinpetfood.com/products/jerky-canard?utm_source=Affilae&amp;utm_medium=Referral&amp;utm_campaign=Lemrock&amp;utm_content=LLM" TargetMode="External" Id="rId1939" /><Relationship Type="http://schemas.openxmlformats.org/officeDocument/2006/relationships/hyperlink" Target="https://franklinpetfood.com/products/poissons-a-macher?utm_source=Affilae&amp;utm_medium=Referral&amp;utm_campaign=Lemrock&amp;utm_content=LLM" TargetMode="External" Id="rId1940" /><Relationship Type="http://schemas.openxmlformats.org/officeDocument/2006/relationships/hyperlink" Target="https://franklinpetfood.com/products/noel-gourmand-canard-cranberry?utm_source=Affilae&amp;utm_medium=Referral&amp;utm_campaign=Lemrock&amp;utm_content=LLM" TargetMode="External" Id="rId1941" /><Relationship Type="http://schemas.openxmlformats.org/officeDocument/2006/relationships/hyperlink" Target="https://franklinpetfood.com/products/biscroc-dentaire-copy?utm_source=Affilae&amp;utm_medium=Referral&amp;utm_campaign=Lemrock&amp;utm_content=LLM" TargetMode="External" Id="rId1942" /><Relationship Type="http://schemas.openxmlformats.org/officeDocument/2006/relationships/hyperlink" Target="https://franklinpetfood.com/products/friandise-chien-boeuf-seche-barbecue?utm_source=Affilae&amp;utm_medium=Referral&amp;utm_campaign=Lemrock&amp;utm_content=LLM" TargetMode="External" Id="rId1943" /><Relationship Type="http://schemas.openxmlformats.org/officeDocument/2006/relationships/hyperlink" Target="https://franklinpetfood.com/products/pack-pour-chat-biscroc?utm_source=Affilae&amp;utm_medium=Referral&amp;utm_campaign=Lemrock&amp;utm_content=LLM" TargetMode="External" Id="rId1944" /><Relationship Type="http://schemas.openxmlformats.org/officeDocument/2006/relationships/hyperlink" Target="https://franklinpetfood.com/products/la-brosse-2-en-1-franklin?utm_source=Affilae&amp;utm_medium=Referral&amp;utm_campaign=Lemrock&amp;utm_content=LLM" TargetMode="External" Id="rId1945" /><Relationship Type="http://schemas.openxmlformats.org/officeDocument/2006/relationships/hyperlink" Target="https://franklinpetfood.com/products/sticks-dentaires-au-fromage?utm_source=Affilae&amp;utm_medium=Referral&amp;utm_campaign=Lemrock&amp;utm_content=LLM" TargetMode="External" Id="rId1946" /><Relationship Type="http://schemas.openxmlformats.org/officeDocument/2006/relationships/hyperlink" Target="https://franklinpetfood.com/products/gummies-peau-pelage?utm_source=Affilae&amp;utm_medium=Referral&amp;utm_campaign=Lemrock&amp;utm_content=LLM" TargetMode="External" Id="rId1947" /><Relationship Type="http://schemas.openxmlformats.org/officeDocument/2006/relationships/hyperlink" Target="https://franklinpetfood.com/products/truite-persil?utm_source=Affilae&amp;utm_medium=Referral&amp;utm_campaign=Lemrock&amp;utm_content=LLM" TargetMode="External" Id="rId1948" /><Relationship Type="http://schemas.openxmlformats.org/officeDocument/2006/relationships/hyperlink" Target="https://franklinpetfood.com/products/biscroc-dentaire?utm_source=Affilae&amp;utm_medium=Referral&amp;utm_campaign=Lemrock&amp;utm_content=LLM" TargetMode="External" Id="rId1949" /><Relationship Type="http://schemas.openxmlformats.org/officeDocument/2006/relationships/hyperlink" Target="https://franklinpetfood.com/products/gummies-calme?utm_source=Affilae&amp;utm_medium=Referral&amp;utm_campaign=Lemrock&amp;utm_content=LLM" TargetMode="External" Id="rId1950" /><Relationship Type="http://schemas.openxmlformats.org/officeDocument/2006/relationships/hyperlink" Target="https://franklinpetfood.com/products/huile-de-chanvre-bio-chat?utm_source=Affilae&amp;utm_medium=Referral&amp;utm_campaign=Lemrock&amp;utm_content=LLM" TargetMode="External" Id="rId1951" /><Relationship Type="http://schemas.openxmlformats.org/officeDocument/2006/relationships/hyperlink" Target="https://franklinpetfood.com/products/pack-pour-chat-mini-snack?utm_source=Affilae&amp;utm_medium=Referral&amp;utm_campaign=Lemrock&amp;utm_content=LLM" TargetMode="External" Id="rId1952" /><Relationship Type="http://schemas.openxmlformats.org/officeDocument/2006/relationships/hyperlink" Target="https://franklinpetfood.com/products/jerky-poulet-faisan?utm_source=Affilae&amp;utm_medium=Referral&amp;utm_campaign=Lemrock&amp;utm_content=LLM" TargetMode="External" Id="rId1953" /><Relationship Type="http://schemas.openxmlformats.org/officeDocument/2006/relationships/hyperlink" Target="https://franklinpetfood.com/products/sticks-collagene?utm_source=Affilae&amp;utm_medium=Referral&amp;utm_campaign=Lemrock&amp;utm_content=LLM" TargetMode="External" Id="rId1954" /><Relationship Type="http://schemas.openxmlformats.org/officeDocument/2006/relationships/hyperlink" Target="https://lb.affilae.com/r/?p=643faf32803f8b136b097905&amp;af=478&amp;lp=https%3A%2F%2Ffranklinpetfood.com%2Fproducts%2Fsanglier-myrtille-romarin%3Futm_source%3DAffilae%26utm_medium%3DReferral%26utm_campaign%3DLemrock%26utm_content%3DLLM" TargetMode="External" Id="rId1955" /><Relationship Type="http://schemas.openxmlformats.org/officeDocument/2006/relationships/hyperlink" Target="https://lb.affilae.com/r/?p=643faf32803f8b136b097905&amp;af=478&amp;lp=https%3A%2F%2Ffranklinpetfood.com%2Fproducts%2Fgourde-chien%3Futm_source%3DAffilae%26utm_medium%3DReferral%26utm_campaign%3DLemrock%26utm_content%3DLLM" TargetMode="External" Id="rId1956" /><Relationship Type="http://schemas.openxmlformats.org/officeDocument/2006/relationships/hyperlink" Target="https://lb.affilae.com/r/?p=643faf32803f8b136b097905&amp;af=478&amp;lp=https%3A%2F%2Ffranklinpetfood.com%2Fproducts%2Fdinde-saumon-canneberge%3Futm_source%3DAffilae%26utm_medium%3DReferral%26utm_campaign%3DLemrock%26utm_content%3DLLM" TargetMode="External" Id="rId1957" /><Relationship Type="http://schemas.openxmlformats.org/officeDocument/2006/relationships/hyperlink" Target="https://lb.affilae.com/r/?p=643faf32803f8b136b097905&amp;af=478&amp;lp=https%3A%2F%2Ffranklinpetfood.com%2Fproducts%2Fsaumon-truite-persil%3Futm_source%3DAffilae%26utm_medium%3DReferral%26utm_campaign%3DLemrock%26utm_content%3DLLM" TargetMode="External" Id="rId1958" /><Relationship Type="http://schemas.openxmlformats.org/officeDocument/2006/relationships/hyperlink" Target="https://lb.affilae.com/r/?p=643faf32803f8b136b097905&amp;af=478&amp;lp=https%3A%2F%2Ffranklinpetfood.com%2Fproducts%2Fjouet-tournesol-chat%3Futm_source%3DAffilae%26utm_medium%3DReferral%26utm_campaign%3DLemrock%26utm_content%3DLLM" TargetMode="External" Id="rId1959" /><Relationship Type="http://schemas.openxmlformats.org/officeDocument/2006/relationships/hyperlink" Target="https://lb.affilae.com/r/?p=643faf32803f8b136b097905&amp;af=478&amp;lp=https%3A%2F%2Ffranklinpetfood.com%2Fproducts%2Fdinde-courge-poire%3Futm_source%3DAffilae%26utm_medium%3DReferral%26utm_campaign%3DLemrock%26utm_content%3DLLM" TargetMode="External" Id="rId1960" /><Relationship Type="http://schemas.openxmlformats.org/officeDocument/2006/relationships/hyperlink" Target="https://lb.affilae.com/r/?p=643faf32803f8b136b097905&amp;af=478&amp;lp=https%3A%2F%2Ffranklinpetfood.com%2Fproducts%2Fsaumon-courge-camomille%3Futm_source%3DAffilae%26utm_medium%3DReferral%26utm_campaign%3DLemrock%26utm_content%3DLLM" TargetMode="External" Id="rId1961" /><Relationship Type="http://schemas.openxmlformats.org/officeDocument/2006/relationships/hyperlink" Target="https://lb.affilae.com/r/?p=643faf32803f8b136b097905&amp;af=478&amp;lp=https%3A%2F%2Ffranklinpetfood.com%2Fproducts%2Fhuile-de-chanvre%3Futm_source%3DAffilae%26utm_medium%3DReferral%26utm_campaign%3DLemrock%26utm_content%3DLLM" TargetMode="External" Id="rId1962" /><Relationship Type="http://schemas.openxmlformats.org/officeDocument/2006/relationships/hyperlink" Target="https://lb.affilae.com/r/?p=643faf32803f8b136b097905&amp;af=478&amp;lp=https%3A%2F%2Ffranklinpetfood.com%2Fproducts%2Ffranklin-cup%3Futm_source%3DAffilae%26utm_medium%3DReferral%26utm_campaign%3DLemrock%26utm_content%3DLLM" TargetMode="External" Id="rId1963" /><Relationship Type="http://schemas.openxmlformats.org/officeDocument/2006/relationships/hyperlink" Target="https://lb.affilae.com/r/?p=643faf32803f8b136b097905&amp;af=478&amp;lp=https%3A%2F%2Ffranklinpetfood.com%2Fproducts%2Fpack-decouverte-chien-v2%3Futm_source%3DAffilae%26utm_medium%3DReferral%26utm_campaign%3DLemrock%26utm_content%3DLLM" TargetMode="External" Id="rId1964" /><Relationship Type="http://schemas.openxmlformats.org/officeDocument/2006/relationships/hyperlink" Target="https://lb.affilae.com/r/?p=643faf32803f8b136b097905&amp;af=478&amp;lp=https%3A%2F%2Ffranklinpetfood.com%2Fproducts%2Ftrio-decouverte-filets-chat%3Futm_source%3DAffilae%26utm_medium%3DReferral%26utm_campaign%3DLemrock%26utm_content%3DLLM" TargetMode="External" Id="rId1965" /><Relationship Type="http://schemas.openxmlformats.org/officeDocument/2006/relationships/hyperlink" Target="https://lb.affilae.com/r/?p=643faf32803f8b136b097905&amp;af=478&amp;lp=https%3A%2F%2Ffranklinpetfood.com%2Fproducts%2Fcanard-courge-camomille%3Futm_source%3DAffilae%26utm_medium%3DReferral%26utm_campaign%3DLemrock%26utm_content%3DLLM" TargetMode="External" Id="rId1966" /><Relationship Type="http://schemas.openxmlformats.org/officeDocument/2006/relationships/hyperlink" Target="https://lb.affilae.com/r/?p=643faf32803f8b136b097905&amp;af=478&amp;lp=https%3A%2F%2Ffranklinpetfood.com%2Fproducts%2Fpoulet-saumon-fenouil%3Futm_source%3DAffilae%26utm_medium%3DReferral%26utm_campaign%3DLemrock%26utm_content%3DLLM" TargetMode="External" Id="rId1967" /><Relationship Type="http://schemas.openxmlformats.org/officeDocument/2006/relationships/hyperlink" Target="https://lb.affilae.com/r/?p=643faf32803f8b136b097905&amp;af=478&amp;lp=https%3A%2F%2Ffranklinpetfood.com%2Fproducts%2Fpack-surpoids-chien%3Futm_source%3DAffilae%26utm_medium%3DReferral%26utm_campaign%3DLemrock%26utm_content%3DLLM" TargetMode="External" Id="rId1968" /><Relationship Type="http://schemas.openxmlformats.org/officeDocument/2006/relationships/hyperlink" Target="https://lb.affilae.com/r/?p=643faf32803f8b136b097905&amp;af=478&amp;lp=https%3A%2F%2Ffranklinpetfood.com%2Fproducts%2Fpoulet-framboise-origan%3Futm_source%3DAffilae%26utm_medium%3DReferral%26utm_campaign%3DLemrock%26utm_content%3DLLM" TargetMode="External" Id="rId1969" /><Relationship Type="http://schemas.openxmlformats.org/officeDocument/2006/relationships/hyperlink" Target="https://lb.affilae.com/r/?p=643faf32803f8b136b097905&amp;af=478&amp;lp=https%3A%2F%2Ffranklinpetfood.com%2Fproducts%2Fpoulet-courge-cranberry%3Futm_source%3DAffilae%26utm_medium%3DReferral%26utm_campaign%3DLemrock%26utm_content%3DLLM" TargetMode="External" Id="rId1970" /><Relationship Type="http://schemas.openxmlformats.org/officeDocument/2006/relationships/hyperlink" Target="https://lb.affilae.com/r/?p=643faf32803f8b136b097905&amp;af=478&amp;lp=https%3A%2F%2Ffranklinpetfood.com%2Fproducts%2Fsnack-saumon-chat%3Futm_source%3DAffilae%26utm_medium%3DReferral%26utm_campaign%3DLemrock%26utm_content%3DLLM" TargetMode="External" Id="rId1971" /><Relationship Type="http://schemas.openxmlformats.org/officeDocument/2006/relationships/hyperlink" Target="https://lb.affilae.com/r/?p=643faf32803f8b136b097905&amp;af=478&amp;lp=https%3A%2F%2Ffranklinpetfood.com%2Fproducts%2Fcomplement-elixir-felin%3Futm_source%3DAffilae%26utm_medium%3DReferral%26utm_campaign%3DLemrock%26utm_content%3DLLM" TargetMode="External" Id="rId1972" /><Relationship Type="http://schemas.openxmlformats.org/officeDocument/2006/relationships/hyperlink" Target="https://lb.affilae.com/r/?p=643faf32803f8b136b097905&amp;af=478&amp;lp=https%3A%2F%2Ffranklinpetfood.com%2Fproducts%2Fcroquettes-chien-adulte-digestion-sensible%3Futm_source%3DAffilae%26utm_medium%3DReferral%26utm_campaign%3DLemrock%26utm_content%3DLLM" TargetMode="External" Id="rId1973" /><Relationship Type="http://schemas.openxmlformats.org/officeDocument/2006/relationships/hyperlink" Target="https://lb.affilae.com/r/?p=643faf32803f8b136b097905&amp;af=478&amp;lp=https%3A%2F%2Ffranklinpetfood.com%2Fproducts%2Fpoulet-courge-myrtille%3Futm_source%3DAffilae%26utm_medium%3DReferral%26utm_campaign%3DLemrock%26utm_content%3DLLM" TargetMode="External" Id="rId1974" /><Relationship Type="http://schemas.openxmlformats.org/officeDocument/2006/relationships/hyperlink" Target="https://lb.affilae.com/r/?p=643faf32803f8b136b097905&amp;af=478&amp;lp=https%3A%2F%2Ffranklinpetfood.com%2Fproducts%2Fselection-grand-large%3Futm_source%3DAffilae%26utm_medium%3DReferral%26utm_campaign%3DLemrock%26utm_content%3DLLM" TargetMode="External" Id="rId1975" /><Relationship Type="http://schemas.openxmlformats.org/officeDocument/2006/relationships/hyperlink" Target="https://lb.affilae.com/r/?p=643faf32803f8b136b097905&amp;af=478&amp;lp=https%3A%2F%2Ffranklinpetfood.com%2Fproducts%2Fpoulet-thon-saumon%3Futm_source%3DAffilae%26utm_medium%3DReferral%26utm_campaign%3DLemrock%26utm_content%3DLLM" TargetMode="External" Id="rId1976" /><Relationship Type="http://schemas.openxmlformats.org/officeDocument/2006/relationships/hyperlink" Target="https://lb.affilae.com/r/?p=643faf32803f8b136b097905&amp;af=478&amp;lp=https%3A%2F%2Ffranklinpetfood.com%2Fproducts%2Fagneau-dinde-valeriane%3Futm_source%3DAffilae%26utm_medium%3DReferral%26utm_campaign%3DLemrock%26utm_content%3DLLM" TargetMode="External" Id="rId1977" /><Relationship Type="http://schemas.openxmlformats.org/officeDocument/2006/relationships/hyperlink" Target="https://lb.affilae.com/r/?p=643faf32803f8b136b097905&amp;af=478&amp;lp=https%3A%2F%2Ffranklinpetfood.com%2Fproducts%2Ffriandises-de-dressage-a-lagneau%3Futm_source%3DAffilae%26utm_medium%3DReferral%26utm_campaign%3DLemrock%26utm_content%3DLLM" TargetMode="External" Id="rId1978" /><Relationship Type="http://schemas.openxmlformats.org/officeDocument/2006/relationships/hyperlink" Target="https://lb.affilae.com/r/?p=643faf32803f8b136b097905&amp;af=478&amp;lp=https%3A%2F%2Ffranklinpetfood.com%2Fproducts%2Fcanard-pomme-carotte%3Futm_source%3DAffilae%26utm_medium%3DReferral%26utm_campaign%3DLemrock%26utm_content%3DLLM" TargetMode="External" Id="rId1979" /><Relationship Type="http://schemas.openxmlformats.org/officeDocument/2006/relationships/hyperlink" Target="https://lb.affilae.com/r/?p=643faf32803f8b136b097905&amp;af=478&amp;lp=https%3A%2F%2Ffranklinpetfood.com%2Fproducts%2Fboeuf%3Futm_source%3DAffilae%26utm_medium%3DReferral%26utm_campaign%3DLemrock%26utm_content%3DLLM" TargetMode="External" Id="rId1980" /><Relationship Type="http://schemas.openxmlformats.org/officeDocument/2006/relationships/hyperlink" Target="https://lb.affilae.com/r/?p=643faf32803f8b136b097905&amp;af=478&amp;lp=https%3A%2F%2Ffranklinpetfood.com%2Fproducts%2Fsnack-saumon-chien%3Futm_source%3DAffilae%26utm_medium%3DReferral%26utm_campaign%3DLemrock%26utm_content%3DLLM" TargetMode="External" Id="rId1981" /><Relationship Type="http://schemas.openxmlformats.org/officeDocument/2006/relationships/hyperlink" Target="https://lb.affilae.com/r/?p=643faf32803f8b136b097905&amp;af=478&amp;lp=https%3A%2F%2Ffranklinpetfood.com%2Fproducts%2Fdinde-patate-douce-epinards%3Futm_source%3DAffilae%26utm_medium%3DReferral%26utm_campaign%3DLemrock%26utm_content%3DLLM" TargetMode="External" Id="rId1982" /><Relationship Type="http://schemas.openxmlformats.org/officeDocument/2006/relationships/hyperlink" Target="https://lb.affilae.com/r/?p=643faf32803f8b136b097905&amp;af=478&amp;lp=https%3A%2F%2Ffranklinpetfood.com%2Fproducts%2Fcroquettes-chaton-poulet-saumon-carotte%3Futm_source%3DAffilae%26utm_medium%3DReferral%26utm_campaign%3DLemrock%26utm_content%3DLLM" TargetMode="External" Id="rId1983" /><Relationship Type="http://schemas.openxmlformats.org/officeDocument/2006/relationships/hyperlink" Target="http://www.1001pneus.fr/pirelli-diablo-superbike-180-60-r17-21807024-pn" TargetMode="External" Id="rId1984" /><Relationship Type="http://schemas.openxmlformats.org/officeDocument/2006/relationships/hyperlink" Target="http://www.1001pneus.fr/bridgestone-exedra-g547-110-80-18-58-v-155722-pn" TargetMode="External" Id="rId1985" /><Relationship Type="http://schemas.openxmlformats.org/officeDocument/2006/relationships/hyperlink" Target="http://www.1001pneus.fr/continental-contistreet-70-90-17-38-p-28144618-pn" TargetMode="External" Id="rId1986" /><Relationship Type="http://schemas.openxmlformats.org/officeDocument/2006/relationships/hyperlink" Target="http://www.1001pneus.fr/dunlop-d404-170-80-15-77-h-27773477-pn" TargetMode="External" Id="rId1987" /><Relationship Type="http://schemas.openxmlformats.org/officeDocument/2006/relationships/hyperlink" Target="http://www.1001pneus.fr/nexen-roadian-581-195-65-r15-91-h-28200786-pn" TargetMode="External" Id="rId1988" /><Relationship Type="http://schemas.openxmlformats.org/officeDocument/2006/relationships/hyperlink" Target="http://www.1001pneus.fr/pirelli-scorpion-275-45-r20-110-y-28068968-pn" TargetMode="External" Id="rId1989" /><Relationship Type="http://schemas.openxmlformats.org/officeDocument/2006/relationships/hyperlink" Target="http://www.1001pneus.fr/vredestein-ultrac-plus-215-65-r17-99-v-28207744-pn" TargetMode="External" Id="rId1990" /><Relationship Type="http://schemas.openxmlformats.org/officeDocument/2006/relationships/hyperlink" Target="http://www.1001pneus.fr/continental-tour-28176318-pn" TargetMode="External" Id="rId1991" /><Relationship Type="http://schemas.openxmlformats.org/officeDocument/2006/relationships/hyperlink" Target="http://www.1001pneus.fr/pirelli-cinturato-adventure-700-35c-28145603-pn" TargetMode="External" Id="rId1992" /><Relationship Type="http://schemas.openxmlformats.org/officeDocument/2006/relationships/hyperlink" Target="http://www.1001pneus.fr/goodyear-eqmax-s-385-55-r225-160-k-28206901-pn" TargetMode="External" Id="rId1993" /><Relationship Type="http://schemas.openxmlformats.org/officeDocument/2006/relationships/hyperlink" Target="http://www.1001pneus.fr/pirelli-tg88-315-80-r225-156-k-27076716-pn" TargetMode="External" Id="rId1994" /><Relationship Type="http://schemas.openxmlformats.org/officeDocument/2006/relationships/hyperlink" Target="http://www.1001pneus.fr/fulda-multicontrol-155-65-r14-75-t-24824581-pn" TargetMode="External" Id="rId1995" /><Relationship Type="http://schemas.openxmlformats.org/officeDocument/2006/relationships/hyperlink" Target="http://www.1001pneus.fr/uniroyal-winterexpert-225-60-r18-104-v-27872994-pn" TargetMode="External" Id="rId1996" /><Relationship Type="http://schemas.openxmlformats.org/officeDocument/2006/relationships/hyperlink" Target="http://www.1001pneus.fr/semperit-van-allseason-215-70-r15-109-s-28145485-pn" TargetMode="External" Id="rId1997" /><Relationship Type="http://schemas.openxmlformats.org/officeDocument/2006/relationships/hyperlink" Target="http://www.1001pneus.fr/pirelli-powergy-2-215-55-r18-99-v-28221609-pn" TargetMode="External" Id="rId1998" /><Relationship Type="http://schemas.openxmlformats.org/officeDocument/2006/relationships/hyperlink" Target="http://www.1001pneus.fr/fulda-multicontrol-155-70-r13-75-t-24565989-pn" TargetMode="External" Id="rId1999" /><Relationship Type="http://schemas.openxmlformats.org/officeDocument/2006/relationships/hyperlink" Target="http://www.1001pneus.fr/maxxis-c-824-520-500-10-74-m-27762315-pn" TargetMode="External" Id="rId2000" /><Relationship Type="http://schemas.openxmlformats.org/officeDocument/2006/relationships/hyperlink" Target="http://www.1001pneus.fr/michelin-e-primacy-245-50-r18-104-h-27819637-pn" TargetMode="External" Id="rId2001" /><Relationship Type="http://schemas.openxmlformats.org/officeDocument/2006/relationships/hyperlink" Target="http://www.1001pneus.fr/semperit-van-allseason-215-70-r15-109-s-28145485-pn" TargetMode="External" Id="rId2002" /><Relationship Type="http://schemas.openxmlformats.org/officeDocument/2006/relationships/hyperlink" Target="http://www.1001pneus.fr/fulda-multicontrol-165-65-r14-79-t-24849951-pn" TargetMode="External" Id="rId2003" /><Relationship Type="http://schemas.openxmlformats.org/officeDocument/2006/relationships/hyperlink" Target="http://www.1001pneus.fr/hankook-radial-ra14-225-60-r16-105-t-24172-pn" TargetMode="External" Id="rId2004" /><Relationship Type="http://schemas.openxmlformats.org/officeDocument/2006/relationships/hyperlink" Target="http://www.1001pneus.fr/linglong-green-max-215-55-r17-98-w-28049646-pn" TargetMode="External" Id="rId2005" /><Relationship Type="http://schemas.openxmlformats.org/officeDocument/2006/relationships/hyperlink" Target="http://www.1001pneus.fr/bfgoodrich-advantage-185-60-r15-84-h-27782561-pn" TargetMode="External" Id="rId2006" /><Relationship Type="http://schemas.openxmlformats.org/officeDocument/2006/relationships/hyperlink" Target="http://www.1001pneus.fr/continental-tour-28176318-pn" TargetMode="External" Id="rId2007" /><Relationship Type="http://schemas.openxmlformats.org/officeDocument/2006/relationships/hyperlink" Target="http://www.1001pneus.fr/taurus-winter-175-65-r15-84-t-27179603-pn" TargetMode="External" Id="rId2008" /><Relationship Type="http://schemas.openxmlformats.org/officeDocument/2006/relationships/hyperlink" Target="http://www.1001pneus.fr/uniroyal-winterexpert-225-60-r18-104-v-27872994-pn" TargetMode="External" Id="rId2009" /><Relationship Type="http://schemas.openxmlformats.org/officeDocument/2006/relationships/hyperlink" Target="http://www.1001pneus.fr/continental-contistreet-70-90-17-38-p-28144618-pn" TargetMode="External" Id="rId2010" /><Relationship Type="http://schemas.openxmlformats.org/officeDocument/2006/relationships/hyperlink" Target="http://www.1001pneus.fr/continental-ultracontact-225-55-r16-95-v-28142895-pn" TargetMode="External" Id="rId2011" /><Relationship Type="http://schemas.openxmlformats.org/officeDocument/2006/relationships/hyperlink" Target="http://www.1001pneus.fr/pirelli-cinturato-adventure-700-35c-28145603-pn" TargetMode="External" Id="rId2012" /><Relationship Type="http://schemas.openxmlformats.org/officeDocument/2006/relationships/hyperlink" Target="http://www.1001pneus.fr/vredestein-ultrac-plus-215-65-r17-99-v-28207744-pn" TargetMode="External" Id="rId2013" /><Relationship Type="http://schemas.openxmlformats.org/officeDocument/2006/relationships/hyperlink" Target="http://www.1001pneus.fr/bridgestone-exedra-g547-110-80-18-58-v-155722-pn" TargetMode="External" Id="rId2014" /><Relationship Type="http://schemas.openxmlformats.org/officeDocument/2006/relationships/hyperlink" Target="http://www.1001pneus.fr/michelin-xvs-185-vr15-93-v-27773945-pn" TargetMode="External" Id="rId2015" /><Relationship Type="http://schemas.openxmlformats.org/officeDocument/2006/relationships/hyperlink" Target="http://www.1001pneus.fr/michelin-city-touring-29-240-28209297-pn" TargetMode="External" Id="rId2016" /><Relationship Type="http://schemas.openxmlformats.org/officeDocument/2006/relationships/hyperlink" Target="http://www.1001pneus.fr/goodyear-eqmax-s-385-55-r225-160-k-28206901-pn" TargetMode="External" Id="rId2017" /><Relationship Type="http://schemas.openxmlformats.org/officeDocument/2006/relationships/hyperlink" Target="http://www.1001pneus.fr/pirelli-tg88-315-80-r225-156-k-27076716-pn" TargetMode="External" Id="rId2018" /><Relationship Type="http://schemas.openxmlformats.org/officeDocument/2006/relationships/hyperlink" Target="http://www.1001pneus.fr/pirelli-p6000-185-70-r15-89-w-27762076-pn" TargetMode="External" Id="rId2019" /><Relationship Type="http://schemas.openxmlformats.org/officeDocument/2006/relationships/hyperlink" Target="http://www.1001pneus.fr/taurus-winter-175-65-r15-84-t-27179603-pn" TargetMode="External" Id="rId2020" /><Relationship Type="http://schemas.openxmlformats.org/officeDocument/2006/relationships/hyperlink" Target="http://www.1001pneus.fr/fulda-multicontrol-165-65-r14-79-t-24849951-pn" TargetMode="External" Id="rId2021" /><Relationship Type="http://schemas.openxmlformats.org/officeDocument/2006/relationships/hyperlink" Target="http://www.1001pneus.fr/michelin-e-primacy-245-50-r18-104-h-27819637-pn" TargetMode="External" Id="rId2022" /><Relationship Type="http://schemas.openxmlformats.org/officeDocument/2006/relationships/hyperlink" Target="http://www.1001pneus.fr/bridgestone-r-drive-001-plus-315-80-r225-156-l-28085294-pn" TargetMode="External" Id="rId2023" /><Relationship Type="http://schemas.openxmlformats.org/officeDocument/2006/relationships/hyperlink" Target="http://www.1001pneus.fr/maxxis-c-824-520-500-10-74-m-27762315-pn" TargetMode="External" Id="rId2024" /><Relationship Type="http://schemas.openxmlformats.org/officeDocument/2006/relationships/hyperlink" Target="http://www.1001pneus.fr/yokohama-704r-315-60-r225-152-l-28185531-pn" TargetMode="External" Id="rId2025" /><Relationship Type="http://schemas.openxmlformats.org/officeDocument/2006/relationships/hyperlink" Target="http://www.1001pneus.fr/bridgestone-r-drive-001-plus-315-80-r225-156-l-28085294-pn" TargetMode="External" Id="rId2026" /><Relationship Type="http://schemas.openxmlformats.org/officeDocument/2006/relationships/hyperlink" Target="http://www.1001pneus.fr/fulda-multicontrol-155-65-r14-75-t-24824581-pn" TargetMode="External" Id="rId2027" /><Relationship Type="http://schemas.openxmlformats.org/officeDocument/2006/relationships/hyperlink" Target="http://www.1001pneus.fr/kumho-krs03-275-70-r225-148-m-28103161-pn" TargetMode="External" Id="rId2028" /><Relationship Type="http://schemas.openxmlformats.org/officeDocument/2006/relationships/hyperlink" Target="http://www.1001pneus.fr/pirelli-powergy-2-215-55-r18-99-v-28221609-pn" TargetMode="External" Id="rId2029" /><Relationship Type="http://schemas.openxmlformats.org/officeDocument/2006/relationships/hyperlink" Target="http://www.1001pneus.fr/dunlop-d404-170-80-15-77-h-27773477-pn" TargetMode="External" Id="rId2030" /><Relationship Type="http://schemas.openxmlformats.org/officeDocument/2006/relationships/hyperlink" Target="http://www.1001pneus.fr/radar-rpx-800-185-50-r16-85-v-27785968-pn" TargetMode="External" Id="rId2031" /><Relationship Type="http://schemas.openxmlformats.org/officeDocument/2006/relationships/hyperlink" Target="http://www.1001pneus.fr/bfgoodrich-advantage-185-60-r15-84-h-27782561-pn" TargetMode="External" Id="rId2032" /><Relationship Type="http://schemas.openxmlformats.org/officeDocument/2006/relationships/hyperlink" Target="http://www.1001pneus.fr/falken-e-ziex-215-50-r19-97-v-28185745-pn" TargetMode="External" Id="rId2033" /><Relationship Type="http://schemas.openxmlformats.org/officeDocument/2006/relationships/hyperlink" Target="http://www.1001pneus.fr/pirelli-diablo-superbike-180-60-r17-21807024-pn" TargetMode="External" Id="rId2034" /><Relationship Type="http://schemas.openxmlformats.org/officeDocument/2006/relationships/hyperlink" Target="http://www.1001pneus.fr/yokohama-704r-315-60-r225-152-l-28185531-pn" TargetMode="External" Id="rId2035" /><Relationship Type="http://schemas.openxmlformats.org/officeDocument/2006/relationships/hyperlink" Target="http://www.1001pneus.fr/fulda-multicontrol-155-70-r13-75-t-24565989-pn" TargetMode="External" Id="rId2036" /><Relationship Type="http://schemas.openxmlformats.org/officeDocument/2006/relationships/hyperlink" Target="http://www.1001pneus.fr/hankook-radial-ra14-225-60-r16-105-t-24172-pn" TargetMode="External" Id="rId2037" /><Relationship Type="http://schemas.openxmlformats.org/officeDocument/2006/relationships/hyperlink" Target="http://www.1001pneus.fr/pirelli-scorpion-275-45-r20-110-y-28068968-pn" TargetMode="External" Id="rId2038" /><Relationship Type="http://schemas.openxmlformats.org/officeDocument/2006/relationships/hyperlink" Target="http://www.1001pneus.fr/sailun-atrezzo-zsr-235-50-r18-101-y-24809506-pn" TargetMode="External" Id="rId2039" /><Relationship Type="http://schemas.openxmlformats.org/officeDocument/2006/relationships/hyperlink" Target="http://www.1001pneus.fr/continental-ultracontact-225-55-r16-95-v-28142895-pn" TargetMode="External" Id="rId2040" /><Relationship Type="http://schemas.openxmlformats.org/officeDocument/2006/relationships/hyperlink" Target="http://www.1001pneus.fr/nexen-roadian-581-195-65-r15-91-h-28200786-pn" TargetMode="External" Id="rId2041" /><Relationship Type="http://schemas.openxmlformats.org/officeDocument/2006/relationships/hyperlink" Target="http://www.1001pneus.fr/michelin-city-touring-29-240-28209297-pn" TargetMode="External" Id="rId2042" /><Relationship Type="http://schemas.openxmlformats.org/officeDocument/2006/relationships/hyperlink" Target="http://www.1001pneus.fr/radar-rpx-800-185-50-r16-85-v-27785968-pn" TargetMode="External" Id="rId2043" /><Relationship Type="http://schemas.openxmlformats.org/officeDocument/2006/relationships/hyperlink" Target="http://www.1001pneus.fr/pirelli-tg88-315-80-r225-156-k-27076716-pn" TargetMode="External" Id="rId2044" /><Relationship Type="http://schemas.openxmlformats.org/officeDocument/2006/relationships/hyperlink" Target="http://www.1001pneus.fr/goodyear-eqmax-s-385-55-r225-160-k-28206901-pn" TargetMode="External" Id="rId2045" /><Relationship Type="http://schemas.openxmlformats.org/officeDocument/2006/relationships/hyperlink" Target="http://www.1001pneus.fr/taurus-winter-175-65-r15-84-t-27179603-pn" TargetMode="External" Id="rId2046" /><Relationship Type="http://schemas.openxmlformats.org/officeDocument/2006/relationships/hyperlink" Target="http://www.1001pneus.fr/fulda-multicontrol-165-65-r14-79-t-24849951-pn" TargetMode="External" Id="rId2047" /><Relationship Type="http://schemas.openxmlformats.org/officeDocument/2006/relationships/hyperlink" Target="http://www.1001pneus.fr/yokohama-704r-315-60-r225-152-l-28185531-pn" TargetMode="External" Id="rId2048" /><Relationship Type="http://schemas.openxmlformats.org/officeDocument/2006/relationships/hyperlink" Target="http://www.1001pneus.fr/kumho-krs03-275-70-r225-148-m-28103161-pn" TargetMode="External" Id="rId2049" /><Relationship Type="http://schemas.openxmlformats.org/officeDocument/2006/relationships/hyperlink" Target="http://www.1001pneus.fr/michelin-e-primacy-245-50-r18-104-h-27819637-pn" TargetMode="External" Id="rId2050" /><Relationship Type="http://schemas.openxmlformats.org/officeDocument/2006/relationships/hyperlink" Target="http://www.1001pneus.fr/bridgestone-r-drive-001-plus-315-80-r225-156-l-28085294-pn" TargetMode="External" Id="rId2051" /><Relationship Type="http://schemas.openxmlformats.org/officeDocument/2006/relationships/hyperlink" Target="http://www.1001pneus.fr/maxxis-c-824-520-500-10-74-m-27762315-pn" TargetMode="External" Id="rId2052" /><Relationship Type="http://schemas.openxmlformats.org/officeDocument/2006/relationships/hyperlink" Target="http://www.1001pneus.fr/continental-ultracontact-225-55-r16-95-v-28142895-pn" TargetMode="External" Id="rId2053" /><Relationship Type="http://schemas.openxmlformats.org/officeDocument/2006/relationships/hyperlink" Target="http://www.1001pneus.fr/pirelli-p6000-185-70-r15-89-w-27762076-pn" TargetMode="External" Id="rId2054" /><Relationship Type="http://schemas.openxmlformats.org/officeDocument/2006/relationships/hyperlink" Target="http://www.1001pneus.fr/linglong-green-max-215-55-r17-98-w-28049646-pn" TargetMode="External" Id="rId2055" /><Relationship Type="http://schemas.openxmlformats.org/officeDocument/2006/relationships/hyperlink" Target="http://www.1001pneus.fr/sailun-atrezzo-zsr-235-50-r18-101-y-24809506-pn" TargetMode="External" Id="rId2056" /><Relationship Type="http://schemas.openxmlformats.org/officeDocument/2006/relationships/hyperlink" Target="http://www.1001pneus.fr/falken-e-ziex-215-50-r19-97-v-28185745-pn" TargetMode="External" Id="rId2057" /><Relationship Type="http://schemas.openxmlformats.org/officeDocument/2006/relationships/hyperlink" Target="http://www.1001pneus.fr/pirelli-powergy-2-215-55-r18-99-v-28221609-pn" TargetMode="External" Id="rId2058" /><Relationship Type="http://schemas.openxmlformats.org/officeDocument/2006/relationships/hyperlink" Target="http://www.1001pneus.fr/semperit-van-allseason-215-70-r15-109-s-28145485-pn" TargetMode="External" Id="rId2059" /><Relationship Type="http://schemas.openxmlformats.org/officeDocument/2006/relationships/hyperlink" Target="http://www.1001pneus.fr/michelin-xvs-185-vr15-93-v-27773945-pn" TargetMode="External" Id="rId2060" /><Relationship Type="http://schemas.openxmlformats.org/officeDocument/2006/relationships/hyperlink" Target="http://www.1001pneus.fr/bfgoodrich-advantage-185-60-r15-84-h-27782561-pn" TargetMode="External" Id="rId2061" /><Relationship Type="http://schemas.openxmlformats.org/officeDocument/2006/relationships/hyperlink" Target="http://www.1001pneus.fr/hankook-radial-ra14-225-60-r16-105-t-24172-pn" TargetMode="External" Id="rId2062" /><Relationship Type="http://schemas.openxmlformats.org/officeDocument/2006/relationships/hyperlink" Target="http://www.1001pneus.fr/fulda-multicontrol-155-65-r14-75-t-24824581-pn" TargetMode="External" Id="rId2063" /><Relationship Type="http://schemas.openxmlformats.org/officeDocument/2006/relationships/hyperlink" Target="http://www.1001pneus.fr/uniroyal-winterexpert-225-60-r18-104-v-27872994-pn" TargetMode="External" Id="rId2064" /><Relationship Type="http://schemas.openxmlformats.org/officeDocument/2006/relationships/hyperlink" Target="http://www.1001pneus.fr/fulda-multicontrol-155-70-r13-75-t-24565989-pn" TargetMode="External" Id="rId2065" /><Relationship Type="http://schemas.openxmlformats.org/officeDocument/2006/relationships/hyperlink" Target="https://lamarqueenmoins.fr/products/couches-kit-essai#utm_source=lemrock&amp;utm_medium=cpc&amp;utm_campaign=1" TargetMode="External" Id="rId2066" /><Relationship Type="http://schemas.openxmlformats.org/officeDocument/2006/relationships/hyperlink" Target="https://qaa.ultrapremiumdirect.com/?P4FCFD5874B117S1UB412d4101460V4" TargetMode="External" Id="rId2067" /><Relationship Type="http://schemas.openxmlformats.org/officeDocument/2006/relationships/hyperlink" Target="https://qaa.ultrapremiumdirect.com/?P4FCFD5874B117S1UB412d4101443V4" TargetMode="External" Id="rId2068" /><Relationship Type="http://schemas.openxmlformats.org/officeDocument/2006/relationships/hyperlink" Target="https://qaa.ultrapremiumdirect.com/?P4FCFD5874B117S1UB412d4101444V4" TargetMode="External" Id="rId2069" /><Relationship Type="http://schemas.openxmlformats.org/officeDocument/2006/relationships/hyperlink" Target="https://qaa.ultrapremiumdirect.com/?P4FCFD5874B117S1UB412d4101461V4" TargetMode="External" Id="rId2070" /><Relationship Type="http://schemas.openxmlformats.org/officeDocument/2006/relationships/hyperlink" Target="https://qaa.ultrapremiumdirect.com/?P4FCFD5874B117S1UB412d4101462V4" TargetMode="External" Id="rId2071" /><Relationship Type="http://schemas.openxmlformats.org/officeDocument/2006/relationships/hyperlink" Target="https://qaa.ultrapremiumdirect.com/?P4FCFD5874B117S1UB412d4101451V4" TargetMode="External" Id="rId2072" /><Relationship Type="http://schemas.openxmlformats.org/officeDocument/2006/relationships/hyperlink" Target="https://qaa.ultrapremiumdirect.com/?P4FCFD5874B117S1UB412d4101422V4" TargetMode="External" Id="rId2073" /><Relationship Type="http://schemas.openxmlformats.org/officeDocument/2006/relationships/hyperlink" Target="https://qaa.ultrapremiumdirect.com/?P4FCFD5874B117S1UB412d4101447V4" TargetMode="External" Id="rId2074" /><Relationship Type="http://schemas.openxmlformats.org/officeDocument/2006/relationships/hyperlink" Target="https://qaa.ultrapremiumdirect.com/?P4FCFD5874B117S1UB412d4101374V4" TargetMode="External" Id="rId2075" /><Relationship Type="http://schemas.openxmlformats.org/officeDocument/2006/relationships/hyperlink" Target="https://qaa.ultrapremiumdirect.com/?P4FCFD5874B117S1UB412d4101455V4" TargetMode="External" Id="rId2076" /><Relationship Type="http://schemas.openxmlformats.org/officeDocument/2006/relationships/hyperlink" Target="https://qaa.ultrapremiumdirect.com/?P4FCFD5874B117S1UB412d4101410V4" TargetMode="External" Id="rId2077" /><Relationship Type="http://schemas.openxmlformats.org/officeDocument/2006/relationships/hyperlink" Target="https://qaa.ultrapremiumdirect.com/?P4FCFD5874B117S1UB412d4101449V4" TargetMode="External" Id="rId2078" /><Relationship Type="http://schemas.openxmlformats.org/officeDocument/2006/relationships/hyperlink" Target="https://qaa.ultrapremiumdirect.com/?P4FCFD5874B117S1UB412d4101442V4" TargetMode="External" Id="rId2079" /><Relationship Type="http://schemas.openxmlformats.org/officeDocument/2006/relationships/hyperlink" Target="https://qaa.ultrapremiumdirect.com/?P4FCFD5874B117S1UB412d4101389V4" TargetMode="External" Id="rId2080" /><Relationship Type="http://schemas.openxmlformats.org/officeDocument/2006/relationships/hyperlink" Target="https://qaa.ultrapremiumdirect.com/?P4FCFD5874B117S1UB412d4101384V4" TargetMode="External" Id="rId2081" /><Relationship Type="http://schemas.openxmlformats.org/officeDocument/2006/relationships/hyperlink" Target="https://qaa.ultrapremiumdirect.com/?P4FCFD5874B117S1UB412d4101416V4" TargetMode="External" Id="rId2082" /><Relationship Type="http://schemas.openxmlformats.org/officeDocument/2006/relationships/hyperlink" Target="https://qaa.ultrapremiumdirect.com/?P4FCFD5874B117S1UB412d4101457V4" TargetMode="External" Id="rId2083" /><Relationship Type="http://schemas.openxmlformats.org/officeDocument/2006/relationships/hyperlink" Target="https://qaa.ultrapremiumdirect.com/?P4FCFD5874B117S1UB412d4101448V4" TargetMode="External" Id="rId2084" /><Relationship Type="http://schemas.openxmlformats.org/officeDocument/2006/relationships/hyperlink" Target="https://qaa.ultrapremiumdirect.com/?P4FCFD5874B117S1UB412d4101377V4" TargetMode="External" Id="rId2085" /><Relationship Type="http://schemas.openxmlformats.org/officeDocument/2006/relationships/hyperlink" Target="https://qaa.ultrapremiumdirect.com/?P4FCFD5874B117S1UB412d4101379V4" TargetMode="External" Id="rId2086" /><Relationship Type="http://schemas.openxmlformats.org/officeDocument/2006/relationships/hyperlink" Target="https://qaa.ultrapremiumdirect.com/?P4FCFD5874B117S1UB412d4101407V4" TargetMode="External" Id="rId2087" /><Relationship Type="http://schemas.openxmlformats.org/officeDocument/2006/relationships/hyperlink" Target="https://qaa.ultrapremiumdirect.com/?P4FCFD5874B117S1UB412d4101426V4" TargetMode="External" Id="rId2088" /><Relationship Type="http://schemas.openxmlformats.org/officeDocument/2006/relationships/hyperlink" Target="https://qaa.ultrapremiumdirect.com/?P4FCFD5874B117S1UB412d4101435V4" TargetMode="External" Id="rId2089" /><Relationship Type="http://schemas.openxmlformats.org/officeDocument/2006/relationships/hyperlink" Target="https://qaa.ultrapremiumdirect.com/?P4FCFD5874B117S1UB412d4101425V4" TargetMode="External" Id="rId2090" /><Relationship Type="http://schemas.openxmlformats.org/officeDocument/2006/relationships/hyperlink" Target="https://qaa.ultrapremiumdirect.com/?P4FCFD5874B117S1UB412d4101421V4" TargetMode="External" Id="rId2091" /><Relationship Type="http://schemas.openxmlformats.org/officeDocument/2006/relationships/hyperlink" Target="https://qaa.ultrapremiumdirect.com/?P4FCFD5874B117S1UB412d4101406V4" TargetMode="External" Id="rId2092" /><Relationship Type="http://schemas.openxmlformats.org/officeDocument/2006/relationships/hyperlink" Target="https://qaa.ultrapremiumdirect.com/?P4FCFD5874B117S1UB412d4101413V4" TargetMode="External" Id="rId2093" /><Relationship Type="http://schemas.openxmlformats.org/officeDocument/2006/relationships/hyperlink" Target="https://qaa.ultrapremiumdirect.com/?P4FCFD5874B117S1UB412d4101440V4" TargetMode="External" Id="rId2094" /><Relationship Type="http://schemas.openxmlformats.org/officeDocument/2006/relationships/hyperlink" Target="https://qaa.ultrapremiumdirect.com/?P4FCFD5874B117S1UB412d4101387V4" TargetMode="External" Id="rId2095" /><Relationship Type="http://schemas.openxmlformats.org/officeDocument/2006/relationships/hyperlink" Target="https://qaa.ultrapremiumdirect.com/?P4FCFD5874B117S1UB412d4101402V4" TargetMode="External" Id="rId2096" /><Relationship Type="http://schemas.openxmlformats.org/officeDocument/2006/relationships/hyperlink" Target="https://track.adform.net/C/?bn=89973263;gdpr=${GDPR};gdpr_consent=${GDPR_CONSENT_50}" TargetMode="External" Id="rId2097" /><Relationship Type="http://schemas.openxmlformats.org/officeDocument/2006/relationships/hyperlink" Target="https://www.comptoirdespros.com/commande-d-eclairage-odace-noir-onyx-scn-s940214.html?UTM_source=lemrock" TargetMode="External" Id="rId2098" /><Relationship Type="http://schemas.openxmlformats.org/officeDocument/2006/relationships/hyperlink" Target="https://www.comptoirdespros.com/commande-d-eclairage-odace-noir-onyx-scn-s940214.html?UTM_source=lemrock" TargetMode="External" Id="rId2099" /><Relationship Type="http://schemas.openxmlformats.org/officeDocument/2006/relationships/hyperlink" Target="https://www.comptoirdespros.com/chaussures-de-securite-basses-pegase-pointure-38.html" TargetMode="External" Id="rId2100" /><Relationship Type="http://schemas.openxmlformats.org/officeDocument/2006/relationships/hyperlink" Target="https://www.comptoirdespros.com/veste-r-de-pluie-fluo-monoray-taille-xl.html?UTM_source=lemrock" TargetMode="External" Id="rId2101" /><Relationship Type="http://schemas.openxmlformats.org/officeDocument/2006/relationships/hyperlink" Target="https://www.comptoirdespros.com/visseuse-12v-2-0ah-30-nm-m12-bd-202c-2-batteries-2ah-chargeur-coffret.html" TargetMode="External" Id="rId2102" /><Relationship Type="http://schemas.openxmlformats.org/officeDocument/2006/relationships/hyperlink" Target="https://www.comptoirdespros.com/collier-monobloc-sous-sachet-40-mm-5cm40.html?UTM_source=lemrock" TargetMode="External" Id="rId2103" /><Relationship Type="http://schemas.openxmlformats.org/officeDocument/2006/relationships/hyperlink" Target="https://www.comptoirdespros.com/collier-monobloc-sous-sachet-40-mm-5cm40.html?UTM_source=lemrock" TargetMode="External" Id="rId2104" /><Relationship Type="http://schemas.openxmlformats.org/officeDocument/2006/relationships/hyperlink" Target="https://www.comptoirdespros.com/collier-monobloc-sous-sachet-40-mm-5cm40.html?UTM_source=lemrock" TargetMode="External" Id="rId2105" /><Relationship Type="http://schemas.openxmlformats.org/officeDocument/2006/relationships/hyperlink" Target="https://www.comptoirdespros.com/chaussures-basses-pauline-paulsb0bl-blanc-pointure-37.html" TargetMode="External" Id="rId2106" /><Relationship Type="http://schemas.openxmlformats.org/officeDocument/2006/relationships/hyperlink" Target="https://www.comptoirdespros.com/collier-monobloc-sous-sachet-40-mm-5cm40.html?UTM_source=lemrock" TargetMode="External" Id="rId2107" /><Relationship Type="http://schemas.openxmlformats.org/officeDocument/2006/relationships/hyperlink" Target="https://www.comptoirdespros.com/visseuse-12v-2-0ah-30-nm-m12-bd-202c-2-batteries-2ah-chargeur-coffret.html" TargetMode="External" Id="rId2108" /><Relationship Type="http://schemas.openxmlformats.org/officeDocument/2006/relationships/hyperlink" Target="https://www.comptoirdespros.com/perceuse-visseuse-brushless-18v-m18-bldd-0-coffret-hd-box.html" TargetMode="External" Id="rId2109" /><Relationship Type="http://schemas.openxmlformats.org/officeDocument/2006/relationships/hyperlink" Target="https://www.comptoirdespros.com/verin-30t-a-vis-mecanique.html" TargetMode="External" Id="rId2110" /><Relationship Type="http://schemas.openxmlformats.org/officeDocument/2006/relationships/hyperlink" Target="https://www.comptoirdespros.com/chauffe-eau-electrique-blinde-petite-capacite-chauffeo-sous-evier-326216.html" TargetMode="External" Id="rId2111" /><Relationship Type="http://schemas.openxmlformats.org/officeDocument/2006/relationships/hyperlink" Target="https://www.comptoirdespros.com/chauffe-eau-vertical-mural-blinde-chauffeo-321105.html" TargetMode="External" Id="rId2112" /><Relationship Type="http://schemas.openxmlformats.org/officeDocument/2006/relationships/hyperlink" Target="https://www.comptoirdespros.com/rangement.html" TargetMode="External" Id="rId2113" /><Relationship Type="http://schemas.openxmlformats.org/officeDocument/2006/relationships/hyperlink" Target="https://www.comptoirdespros.com/chauffe-eau-electrique-blinde-petite-capacite-chauffeo-sur-evier-321104.html" TargetMode="External" Id="rId2114" /><Relationship Type="http://schemas.openxmlformats.org/officeDocument/2006/relationships/hyperlink" Target="https://www.comptoirdespros.com/raccord-filete-387-steelpresr-387102015.html" TargetMode="External" Id="rId2115" /><Relationship Type="http://schemas.openxmlformats.org/officeDocument/2006/relationships/hyperlink" Target="https://www.comptoirdespros.com/chauffe-eau-electrique-blinde-petite-capacite-chauffeo-sur-evier-321104.html" TargetMode="External" Id="rId2116" /><Relationship Type="http://schemas.openxmlformats.org/officeDocument/2006/relationships/hyperlink" Target="https://www.comptoirdespros.com/extracteurs-auto-serrants-pour-prise-exterieure-griffes-fines-20-150.html" TargetMode="External" Id="rId2117" /><Relationship Type="http://schemas.openxmlformats.org/officeDocument/2006/relationships/hyperlink" Target="https://www.comptoirdespros.com/extracteurs-auto-serrants-pour-prise-exterieure-griffes-fines-20-150.html" TargetMode="External" Id="rId2118" /><Relationship Type="http://schemas.openxmlformats.org/officeDocument/2006/relationships/hyperlink" Target="https://www.comptoirdespros.com/commande-d-eclairage-odace-noir-onyx-scn-s940214.html?UTM_source=lemrock" TargetMode="External" Id="rId2119" /><Relationship Type="http://schemas.openxmlformats.org/officeDocument/2006/relationships/hyperlink" Target="https://www.comptoirdespros.com/perceuse-visseuse-brushless-18v-m18-bldd-0-coffret-hd-box.html" TargetMode="External" Id="rId2120" /><Relationship Type="http://schemas.openxmlformats.org/officeDocument/2006/relationships/hyperlink" Target="https://www.comptoirdespros.com/chauffe-eau-vertical-mural-blinde-chauffeo-321105.html" TargetMode="External" Id="rId2121" /><Relationship Type="http://schemas.openxmlformats.org/officeDocument/2006/relationships/hyperlink" Target="https://www.comptoirdespros.com/chauffe-eau-vertical-mural-blinde-chauffeo-321105.html" TargetMode="External" Id="rId2122" /><Relationship Type="http://schemas.openxmlformats.org/officeDocument/2006/relationships/hyperlink" Target="https://www.comptoirdespros.com/marques/atlantic/chauffe-eaux-atlantic/chauffe-eaux-thermodynamique-atlantic.html" TargetMode="External" Id="rId2123" /><Relationship Type="http://schemas.openxmlformats.org/officeDocument/2006/relationships/hyperlink" Target="https://www.comptoirdespros.com/gants-antifroid-thermo-lite-plus-wg-348r-wgr-wg348r0912.html?UTM_source=lemrock" TargetMode="External" Id="rId2124" /><Relationship Type="http://schemas.openxmlformats.org/officeDocument/2006/relationships/hyperlink" Target="https://www.comptoirdespros.com/commande-d-eclairage-odace-noir-onyx-scn-s940214.html?UTM_source=lemrock" TargetMode="External" Id="rId2125" /><Relationship Type="http://schemas.openxmlformats.org/officeDocument/2006/relationships/hyperlink" Target="https://www.comptoirdespros.com/raccord-filete-387-steelpresr-387102015.html" TargetMode="External" Id="rId2126" /><Relationship Type="http://schemas.openxmlformats.org/officeDocument/2006/relationships/hyperlink" Target="https://www.comptoirdespros.com/verin-30t-a-vis-mecanique.html" TargetMode="External" Id="rId2127" /><Relationship Type="http://schemas.openxmlformats.org/officeDocument/2006/relationships/hyperlink" Target="https://www.comptoirdespros.com/radiateur-electrique-tenerife-vertical-blanc-1500w.html?UTM_source=lemrock" TargetMode="External" Id="rId2128" /><Relationship Type="http://schemas.openxmlformats.org/officeDocument/2006/relationships/hyperlink" Target="https://www.comptoirdespros.com/raccord-filete-387-steelpresr-387102015.html" TargetMode="External" Id="rId2129" /><Relationship Type="http://schemas.openxmlformats.org/officeDocument/2006/relationships/hyperlink" Target="https://www.comptoirdespros.com/chauffe-eau-electrique-blinde-petite-capacite-chauffeo-sous-evier-326216.html" TargetMode="External" Id="rId2130" /><Relationship Type="http://schemas.openxmlformats.org/officeDocument/2006/relationships/hyperlink" Target="https://www.comptoirdespros.com/chauffe-eau-vertical-mural-blinde-chauffeo-321105.html" TargetMode="External" Id="rId2131" /><Relationship Type="http://schemas.openxmlformats.org/officeDocument/2006/relationships/hyperlink" Target="https://www.comptoirdespros.com/gants-hyflex-11-925-taille-11.html?UTM_source=lemrock" TargetMode="External" Id="rId2132" /><Relationship Type="http://schemas.openxmlformats.org/officeDocument/2006/relationships/hyperlink" Target="https://www.comptoirdespros.com/gants-hon-074006081c.html?UTM_source=lemrock" TargetMode="External" Id="rId2133" /><Relationship Type="http://schemas.openxmlformats.org/officeDocument/2006/relationships/hyperlink" Target="https://www.comptoirdespros.com/raccord-filete-387-steelpresr-387102015.html" TargetMode="External" Id="rId2134" /><Relationship Type="http://schemas.openxmlformats.org/officeDocument/2006/relationships/hyperlink" Target="https://www.comptoirdespros.com/outillage-electroportatif/composition-outils.html" TargetMode="External" Id="rId2135" /><Relationship Type="http://schemas.openxmlformats.org/officeDocument/2006/relationships/hyperlink" Target="https://www.comptoirdespros.com/marques/soudal.html" TargetMode="External" Id="rId2136" /><Relationship Type="http://schemas.openxmlformats.org/officeDocument/2006/relationships/hyperlink" Target="https://www.comptoirdespros.com/commande-d-eclairage-odace-noir-onyx-scn-s940214.html?UTM_source=lemrock" TargetMode="External" Id="rId2137" /><Relationship Type="http://schemas.openxmlformats.org/officeDocument/2006/relationships/hyperlink" Target="https://www.comptoirdespros.com/chauffe-eau-electrique-blinde-petite-capacite-chauffeo-sur-evier-321104.html" TargetMode="External" Id="rId2138" /><Relationship Type="http://schemas.openxmlformats.org/officeDocument/2006/relationships/hyperlink" Target="https://www.comptoirdespros.com/gants-hyflex-11-925-taille-11.html?UTM_source=lemrock" TargetMode="External" Id="rId2139" /><Relationship Type="http://schemas.openxmlformats.org/officeDocument/2006/relationships/hyperlink" Target="https://www.comptoirdespros.com/perceuse-visseuse-brushless-18v-m18-bldd-0-coffret-hd-box.html" TargetMode="External" Id="rId2140" /><Relationship Type="http://schemas.openxmlformats.org/officeDocument/2006/relationships/hyperlink" Target="https://www.comptoirdespros.com/chauffe-eau-electrique-blinde-petite-capacite-chauffeo-sur-evier-321104.html" TargetMode="External" Id="rId2141" /><Relationship Type="http://schemas.openxmlformats.org/officeDocument/2006/relationships/hyperlink" Target="https://www.comptoirdespros.com/chauffe-eau-electrique-blinde-petite-capacite-chauffeo-sous-evier-326216.html" TargetMode="External" Id="rId2142" /><Relationship Type="http://schemas.openxmlformats.org/officeDocument/2006/relationships/hyperlink" Target="https://www.comptoirdespros.com/gants-antifroid-thermo-lite-plus-wg-348r-wgr-wg348r0912.html?UTM_source=lemrock" TargetMode="External" Id="rId2143" /><Relationship Type="http://schemas.openxmlformats.org/officeDocument/2006/relationships/hyperlink" Target="https://www.comptoirdespros.com/chaussures-basses-pauline-paulsb0bl-blanc-pointure-37.html" TargetMode="External" Id="rId2144" /><Relationship Type="http://schemas.openxmlformats.org/officeDocument/2006/relationships/hyperlink" Target="https://www.comptoirdespros.com/radiateur-electrique-tenerife-vertical-blanc-1500w.html?UTM_source=lemrock" TargetMode="External" Id="rId2145" /><Relationship Type="http://schemas.openxmlformats.org/officeDocument/2006/relationships/hyperlink" Target="https://www.comptoirdespros.com/visseuse-12v-2-0ah-30-nm-m12-bd-202c-2-batteries-2ah-chargeur-coffret.html" TargetMode="External" Id="rId2146" /><Relationship Type="http://schemas.openxmlformats.org/officeDocument/2006/relationships/hyperlink" Target="https://www.comptoirdespros.com/chaussures-de-securite-basses-pegase-pointure-38.html" TargetMode="External" Id="rId2147" /><Relationship Type="http://schemas.openxmlformats.org/officeDocument/2006/relationships/hyperlink" Target="https://www.comptoirdespros.com/marques/facom.html" TargetMode="External" Id="rId2148" /><Relationship Type="http://schemas.openxmlformats.org/officeDocument/2006/relationships/hyperlink" Target="https://www.comptoirdespros.com/raccord-filete-387-steelpresr-387102015.html" TargetMode="External" Id="rId2149" /><Relationship Type="http://schemas.openxmlformats.org/officeDocument/2006/relationships/hyperlink" Target="https://www.comptoirdespros.com/gants-hon-074006081c.html?UTM_source=lemrock" TargetMode="External" Id="rId2150" /><Relationship Type="http://schemas.openxmlformats.org/officeDocument/2006/relationships/hyperlink" Target="https://www.comptoirdespros.com/verin-30t-a-vis-mecanique.html" TargetMode="External" Id="rId2151" /><Relationship Type="http://schemas.openxmlformats.org/officeDocument/2006/relationships/hyperlink" Target="https://www.comptoirdespros.com/veste-r-de-pluie-fluo-monoray-taille-xl.html?UTM_source=lemrock" TargetMode="External" Id="rId2152" /><Relationship Type="http://schemas.openxmlformats.org/officeDocument/2006/relationships/hyperlink" Target="https://www.comptoirdespros.com/offre-pro" TargetMode="External" Id="rId2153" /><Relationship Type="http://schemas.openxmlformats.org/officeDocument/2006/relationships/hyperlink" Target="https://www.comptoirdespros.com/extracteurs-auto-serrants-pour-prise-exterieure-griffes-fines-20-150.html" TargetMode="External" Id="rId2154" /><Relationship Type="http://schemas.openxmlformats.org/officeDocument/2006/relationships/hyperlink" Target="https://www.comptoirdespros.com/radiateur-electrique-tenerife-vertical-blanc-1500w.html?UTM_source=lemrock" TargetMode="External" Id="rId2155" /><Relationship Type="http://schemas.openxmlformats.org/officeDocument/2006/relationships/hyperlink" Target="https://www.comptoirdespros.com/marques/henrad.html" TargetMode="External" Id="rId2156" /><Relationship Type="http://schemas.openxmlformats.org/officeDocument/2006/relationships/hyperlink" Target="https://www.comptoirdespros.com/chauffe-eau-vertical-mural-blinde-chauffeo-321105.html" TargetMode="External" Id="rId2157" /><Relationship Type="http://schemas.openxmlformats.org/officeDocument/2006/relationships/hyperlink" Target="https://www.comptoirdespros.com/collier-monobloc-sous-sachet-40-mm-5cm40.html?UTM_source=lemrock" TargetMode="External" Id="rId2158" /><Relationship Type="http://schemas.openxmlformats.org/officeDocument/2006/relationships/hyperlink" Target="https://www.comptoirdespros.com/chauffe-eau-electrique-blinde-petite-capacite-chauffeo-sous-evier-326216.html" TargetMode="External" Id="rId2159" /><Relationship Type="http://schemas.openxmlformats.org/officeDocument/2006/relationships/hyperlink" Target="https://www.comptoirdespros.com/marques/thermance.html" TargetMode="External" Id="rId2160" /><Relationship Type="http://schemas.openxmlformats.org/officeDocument/2006/relationships/hyperlink" Target="https://www.comptoirdespros.com/verin-30t-a-vis-mecanique.html" TargetMode="External" Id="rId2161" /><Relationship Type="http://schemas.openxmlformats.org/officeDocument/2006/relationships/hyperlink" Target="https://www.comptoirdespros.com/raccord-filete-387-steelpresr-387102015.html" TargetMode="External" Id="rId2162" /><Relationship Type="http://schemas.openxmlformats.org/officeDocument/2006/relationships/hyperlink" Target="https://www.comptoirdespros.com/extracteurs-auto-serrants-pour-prise-exterieure-griffes-fines-20-150.html" TargetMode="External" Id="rId2163" /><Relationship Type="http://schemas.openxmlformats.org/officeDocument/2006/relationships/hyperlink" Target="https://www.comptoirdespros.com/gants-hon-074006081c.html?UTM_source=lemrock" TargetMode="External" Id="rId2164" /><Relationship Type="http://schemas.openxmlformats.org/officeDocument/2006/relationships/hyperlink" Target="https://www.comptoirdespros.com/radiateur-electrique-tenerife-vertical-blanc-1500w.html?UTM_source=lemrock" TargetMode="External" Id="rId2165" /><Relationship Type="http://schemas.openxmlformats.org/officeDocument/2006/relationships/hyperlink" Target="https://www.comptoirdespros.com/marques/festool/accessoires-et-consommables.html" TargetMode="External" Id="rId2166" /><Relationship Type="http://schemas.openxmlformats.org/officeDocument/2006/relationships/hyperlink" Target="https://www.comptoirdespros.com/gants-antifroid-thermo-lite-plus-wg-348r-wgr-wg348r0912.html?UTM_source=lemrock" TargetMode="External" Id="rId2167" /><Relationship Type="http://schemas.openxmlformats.org/officeDocument/2006/relationships/hyperlink" Target="https://www.comptoirdespros.com/gants-hyflex-11-925-taille-11.html?UTM_source=lemrock" TargetMode="External" Id="rId2168" /><Relationship Type="http://schemas.openxmlformats.org/officeDocument/2006/relationships/hyperlink" Target="https://www.comptoirdespros.com/chauffage/chaudiere/pieces-detachees-chaudiere.html" TargetMode="External" Id="rId2169" /><Relationship Type="http://schemas.openxmlformats.org/officeDocument/2006/relationships/hyperlink" Target="https://www.comptoirdespros.com/marques/milwaukee/packout-rangement-milwaukee/packout-milwaukee.html" TargetMode="External" Id="rId2170" /><Relationship Type="http://schemas.openxmlformats.org/officeDocument/2006/relationships/hyperlink" Target="https://www.comptoirdespros.com/outillage-main.html" TargetMode="External" Id="rId2171" /><Relationship Type="http://schemas.openxmlformats.org/officeDocument/2006/relationships/hyperlink" Target="https://www.comptoirdespros.com/marques/presto.html" TargetMode="External" Id="rId2172" /><Relationship Type="http://schemas.openxmlformats.org/officeDocument/2006/relationships/hyperlink" Target="https://www.comptoirdespros.com/marques/thermor/seche-serviette-thermor.html" TargetMode="External" Id="rId2173" /></Relationships>
</file>

<file path=xl/worksheets/sheet1.xml><?xml version="1.0" encoding="utf-8"?>
<worksheet xmlns="http://schemas.openxmlformats.org/spreadsheetml/2006/main">
  <sheetPr>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14" customWidth="1" min="3" max="3"/>
    <col width="14" customWidth="1" min="4" max="4"/>
    <col width="11" customWidth="1" min="5" max="5"/>
    <col width="9" customWidth="1" min="6" max="6"/>
    <col width="52" customWidth="1" min="7" max="7"/>
  </cols>
  <sheetData>
    <row r="1">
      <c r="A1" s="1" t="inlineStr">
        <is>
          <t>Ads diffusées &amp; CTR — septembre 2026</t>
        </is>
      </c>
    </row>
    <row r="2">
      <c r="A2" s="2" t="inlineStr">
        <is>
          <t>Annonces directes Lemrock Media Network, 1–30 septembre 2026 (UTC). CTR = clics / impressions.</t>
        </is>
      </c>
    </row>
    <row r="4" ht="30" customHeight="1">
      <c r="A4" s="3" t="inlineStr">
        <is>
          <t>Client</t>
        </is>
      </c>
      <c r="B4" s="3" t="inlineStr">
        <is>
          <t>Statut</t>
        </is>
      </c>
      <c r="C4" s="3" t="inlineStr">
        <is>
          <t>Nb ads diffusées</t>
        </is>
      </c>
      <c r="D4" s="3" t="inlineStr">
        <is>
          <t>Impressions</t>
        </is>
      </c>
      <c r="E4" s="3" t="inlineStr">
        <is>
          <t>Clics</t>
        </is>
      </c>
      <c r="F4" s="3" t="inlineStr">
        <is>
          <t>CTR</t>
        </is>
      </c>
      <c r="G4" s="3" t="inlineStr">
        <is>
          <t>Remarque</t>
        </is>
      </c>
    </row>
    <row r="5">
      <c r="A5" s="4" t="inlineStr">
        <is>
          <t>Clients Live</t>
        </is>
      </c>
      <c r="B5" s="5" t="n"/>
      <c r="C5" s="5" t="n"/>
      <c r="D5" s="5" t="n"/>
      <c r="E5" s="5" t="n"/>
      <c r="F5" s="5" t="n"/>
      <c r="G5" s="5" t="n"/>
    </row>
    <row r="6">
      <c r="A6" s="6" t="inlineStr">
        <is>
          <t>Boulanger</t>
        </is>
      </c>
      <c r="B6" s="6" t="inlineStr">
        <is>
          <t>Live</t>
        </is>
      </c>
      <c r="C6" s="7">
        <f>COUNTIFS('Détail par ad'!$A$2:$A$2174,A6)</f>
        <v/>
      </c>
      <c r="D6" s="7">
        <f>SUMIFS('Détail par ad'!$H$2:$H$2174,'Détail par ad'!$A$2:$A$2174,A6)</f>
        <v/>
      </c>
      <c r="E6" s="7">
        <f>SUMIFS('Détail par ad'!$I$2:$I$2174,'Détail par ad'!$A$2:$A$2174,A6)</f>
        <v/>
      </c>
      <c r="F6" s="8">
        <f>IF(D6=0,"—",E6/D6)</f>
        <v/>
      </c>
      <c r="G6" s="6" t="inlineStr"/>
    </row>
    <row r="7">
      <c r="A7" s="6" t="inlineStr">
        <is>
          <t>Cdiscount Voyages</t>
        </is>
      </c>
      <c r="B7" s="6" t="inlineStr">
        <is>
          <t>Live</t>
        </is>
      </c>
      <c r="C7" s="7">
        <f>COUNTIFS('Détail par ad'!$A$2:$A$2174,A7)</f>
        <v/>
      </c>
      <c r="D7" s="7">
        <f>SUMIFS('Détail par ad'!$H$2:$H$2174,'Détail par ad'!$A$2:$A$2174,A7)</f>
        <v/>
      </c>
      <c r="E7" s="7">
        <f>SUMIFS('Détail par ad'!$I$2:$I$2174,'Détail par ad'!$A$2:$A$2174,A7)</f>
        <v/>
      </c>
      <c r="F7" s="8">
        <f>IF(D7=0,"—",E7/D7)</f>
        <v/>
      </c>
      <c r="G7" s="6" t="inlineStr"/>
    </row>
    <row r="8">
      <c r="A8" s="6" t="inlineStr">
        <is>
          <t>Monoprix</t>
        </is>
      </c>
      <c r="B8" s="6" t="inlineStr">
        <is>
          <t>Live</t>
        </is>
      </c>
      <c r="C8" s="7">
        <f>COUNTIFS('Détail par ad'!$A$2:$A$2174,A8)</f>
        <v/>
      </c>
      <c r="D8" s="7">
        <f>SUMIFS('Détail par ad'!$H$2:$H$2174,'Détail par ad'!$A$2:$A$2174,A8)</f>
        <v/>
      </c>
      <c r="E8" s="7">
        <f>SUMIFS('Détail par ad'!$I$2:$I$2174,'Détail par ad'!$A$2:$A$2174,A8)</f>
        <v/>
      </c>
      <c r="F8" s="8">
        <f>IF(D8=0,"—",E8/D8)</f>
        <v/>
      </c>
      <c r="G8" s="6" t="inlineStr"/>
    </row>
    <row r="9">
      <c r="A9" s="6" t="inlineStr">
        <is>
          <t>Cdiscount Mobile</t>
        </is>
      </c>
      <c r="B9" s="6" t="inlineStr">
        <is>
          <t>Live</t>
        </is>
      </c>
      <c r="C9" s="7">
        <f>COUNTIFS('Détail par ad'!$A$2:$A$2174,A9)</f>
        <v/>
      </c>
      <c r="D9" s="7">
        <f>SUMIFS('Détail par ad'!$H$2:$H$2174,'Détail par ad'!$A$2:$A$2174,A9)</f>
        <v/>
      </c>
      <c r="E9" s="7">
        <f>SUMIFS('Détail par ad'!$I$2:$I$2174,'Détail par ad'!$A$2:$A$2174,A9)</f>
        <v/>
      </c>
      <c r="F9" s="8">
        <f>IF(D9=0,"—",E9/D9)</f>
        <v/>
      </c>
      <c r="G9" s="6" t="inlineStr"/>
    </row>
    <row r="10">
      <c r="A10" s="6" t="inlineStr">
        <is>
          <t>Qonto</t>
        </is>
      </c>
      <c r="B10" s="6" t="inlineStr">
        <is>
          <t>Live</t>
        </is>
      </c>
      <c r="C10" s="7">
        <f>COUNTIFS('Détail par ad'!$A$2:$A$2174,A10)</f>
        <v/>
      </c>
      <c r="D10" s="7">
        <f>SUMIFS('Détail par ad'!$H$2:$H$2174,'Détail par ad'!$A$2:$A$2174,A10)</f>
        <v/>
      </c>
      <c r="E10" s="7">
        <f>SUMIFS('Détail par ad'!$I$2:$I$2174,'Détail par ad'!$A$2:$A$2174,A10)</f>
        <v/>
      </c>
      <c r="F10" s="8">
        <f>IF(D10=0,"—",E10/D10)</f>
        <v/>
      </c>
      <c r="G10" s="6" t="inlineStr"/>
    </row>
    <row r="11">
      <c r="A11" s="6" t="inlineStr">
        <is>
          <t>Basket4ballers</t>
        </is>
      </c>
      <c r="B11" s="6" t="inlineStr">
        <is>
          <t>Live</t>
        </is>
      </c>
      <c r="C11" s="7">
        <f>COUNTIFS('Détail par ad'!$A$2:$A$2174,A11)</f>
        <v/>
      </c>
      <c r="D11" s="7">
        <f>SUMIFS('Détail par ad'!$H$2:$H$2174,'Détail par ad'!$A$2:$A$2174,A11)</f>
        <v/>
      </c>
      <c r="E11" s="7">
        <f>SUMIFS('Détail par ad'!$I$2:$I$2174,'Détail par ad'!$A$2:$A$2174,A11)</f>
        <v/>
      </c>
      <c r="F11" s="8">
        <f>IF(D11=0,"—",E11/D11)</f>
        <v/>
      </c>
      <c r="G11" s="6" t="inlineStr"/>
    </row>
    <row r="12">
      <c r="A12" s="6" t="inlineStr">
        <is>
          <t>FidMe</t>
        </is>
      </c>
      <c r="B12" s="6" t="inlineStr">
        <is>
          <t>Live</t>
        </is>
      </c>
      <c r="C12" s="7">
        <f>COUNTIFS('Détail par ad'!$A$2:$A$2174,A12)</f>
        <v/>
      </c>
      <c r="D12" s="7">
        <f>SUMIFS('Détail par ad'!$H$2:$H$2174,'Détail par ad'!$A$2:$A$2174,A12)</f>
        <v/>
      </c>
      <c r="E12" s="7">
        <f>SUMIFS('Détail par ad'!$I$2:$I$2174,'Détail par ad'!$A$2:$A$2174,A12)</f>
        <v/>
      </c>
      <c r="F12" s="8">
        <f>IF(D12=0,"—",E12/D12)</f>
        <v/>
      </c>
      <c r="G12" s="6" t="inlineStr"/>
    </row>
    <row r="13">
      <c r="A13" s="6" t="inlineStr">
        <is>
          <t>Pour de Bon</t>
        </is>
      </c>
      <c r="B13" s="6" t="inlineStr">
        <is>
          <t>Live</t>
        </is>
      </c>
      <c r="C13" s="7">
        <f>COUNTIFS('Détail par ad'!$A$2:$A$2174,A13)</f>
        <v/>
      </c>
      <c r="D13" s="7">
        <f>SUMIFS('Détail par ad'!$H$2:$H$2174,'Détail par ad'!$A$2:$A$2174,A13)</f>
        <v/>
      </c>
      <c r="E13" s="7">
        <f>SUMIFS('Détail par ad'!$I$2:$I$2174,'Détail par ad'!$A$2:$A$2174,A13)</f>
        <v/>
      </c>
      <c r="F13" s="8">
        <f>IF(D13=0,"—",E13/D13)</f>
        <v/>
      </c>
      <c r="G13" s="6" t="inlineStr"/>
    </row>
    <row r="14">
      <c r="A14" s="6" t="inlineStr">
        <is>
          <t>PV</t>
        </is>
      </c>
      <c r="B14" s="6" t="inlineStr">
        <is>
          <t>Live</t>
        </is>
      </c>
      <c r="C14" s="7">
        <f>COUNTIFS('Détail par ad'!$A$2:$A$2174,A14)</f>
        <v/>
      </c>
      <c r="D14" s="7">
        <f>SUMIFS('Détail par ad'!$H$2:$H$2174,'Détail par ad'!$A$2:$A$2174,A14)</f>
        <v/>
      </c>
      <c r="E14" s="7">
        <f>SUMIFS('Détail par ad'!$I$2:$I$2174,'Détail par ad'!$A$2:$A$2174,A14)</f>
        <v/>
      </c>
      <c r="F14" s="8">
        <f>IF(D14=0,"—",E14/D14)</f>
        <v/>
      </c>
      <c r="G14" s="6" t="inlineStr"/>
    </row>
    <row r="15">
      <c r="A15" s="6" t="inlineStr">
        <is>
          <t>Allo Pneus</t>
        </is>
      </c>
      <c r="B15" s="6" t="inlineStr">
        <is>
          <t>Live</t>
        </is>
      </c>
      <c r="C15" s="7">
        <f>COUNTIFS('Détail par ad'!$A$2:$A$2174,A15)</f>
        <v/>
      </c>
      <c r="D15" s="7">
        <f>SUMIFS('Détail par ad'!$H$2:$H$2174,'Détail par ad'!$A$2:$A$2174,A15)</f>
        <v/>
      </c>
      <c r="E15" s="7">
        <f>SUMIFS('Détail par ad'!$I$2:$I$2174,'Détail par ad'!$A$2:$A$2174,A15)</f>
        <v/>
      </c>
      <c r="F15" s="8">
        <f>IF(D15=0,"—",E15/D15)</f>
        <v/>
      </c>
      <c r="G15" s="6" t="inlineStr"/>
    </row>
    <row r="16">
      <c r="A16" s="6" t="inlineStr">
        <is>
          <t>Marshall</t>
        </is>
      </c>
      <c r="B16" s="6" t="inlineStr">
        <is>
          <t>Live</t>
        </is>
      </c>
      <c r="C16" s="7">
        <f>COUNTIFS('Détail par ad'!$A$2:$A$2174,A16)</f>
        <v/>
      </c>
      <c r="D16" s="7">
        <f>SUMIFS('Détail par ad'!$H$2:$H$2174,'Détail par ad'!$A$2:$A$2174,A16)</f>
        <v/>
      </c>
      <c r="E16" s="7">
        <f>SUMIFS('Détail par ad'!$I$2:$I$2174,'Détail par ad'!$A$2:$A$2174,A16)</f>
        <v/>
      </c>
      <c r="F16" s="8">
        <f>IF(D16=0,"—",E16/D16)</f>
        <v/>
      </c>
      <c r="G16" s="6" t="inlineStr"/>
    </row>
    <row r="17">
      <c r="A17" s="6" t="inlineStr">
        <is>
          <t>Dorel</t>
        </is>
      </c>
      <c r="B17" s="6" t="inlineStr">
        <is>
          <t>Live</t>
        </is>
      </c>
      <c r="C17" s="7">
        <f>COUNTIFS('Détail par ad'!$A$2:$A$2174,A17)</f>
        <v/>
      </c>
      <c r="D17" s="7">
        <f>SUMIFS('Détail par ad'!$H$2:$H$2174,'Détail par ad'!$A$2:$A$2174,A17)</f>
        <v/>
      </c>
      <c r="E17" s="7">
        <f>SUMIFS('Détail par ad'!$I$2:$I$2174,'Détail par ad'!$A$2:$A$2174,A17)</f>
        <v/>
      </c>
      <c r="F17" s="8">
        <f>IF(D17=0,"—",E17/D17)</f>
        <v/>
      </c>
      <c r="G17" s="6" t="inlineStr"/>
    </row>
    <row r="18">
      <c r="A18" s="6" t="inlineStr">
        <is>
          <t>Levi's</t>
        </is>
      </c>
      <c r="B18" s="6" t="inlineStr">
        <is>
          <t>Live</t>
        </is>
      </c>
      <c r="C18" s="7">
        <f>COUNTIFS('Détail par ad'!$A$2:$A$2174,A18)</f>
        <v/>
      </c>
      <c r="D18" s="7">
        <f>SUMIFS('Détail par ad'!$H$2:$H$2174,'Détail par ad'!$A$2:$A$2174,A18)</f>
        <v/>
      </c>
      <c r="E18" s="7">
        <f>SUMIFS('Détail par ad'!$I$2:$I$2174,'Détail par ad'!$A$2:$A$2174,A18)</f>
        <v/>
      </c>
      <c r="F18" s="8">
        <f>IF(D18=0,"—",E18/D18)</f>
        <v/>
      </c>
      <c r="G18" s="6" t="inlineStr"/>
    </row>
    <row r="19">
      <c r="A19" s="6" t="inlineStr">
        <is>
          <t>DSR</t>
        </is>
      </c>
      <c r="B19" s="6" t="inlineStr">
        <is>
          <t>Live</t>
        </is>
      </c>
      <c r="C19" s="7">
        <f>COUNTIFS('Détail par ad'!$A$2:$A$2174,A19)</f>
        <v/>
      </c>
      <c r="D19" s="7">
        <f>SUMIFS('Détail par ad'!$H$2:$H$2174,'Détail par ad'!$A$2:$A$2174,A19)</f>
        <v/>
      </c>
      <c r="E19" s="7">
        <f>SUMIFS('Détail par ad'!$I$2:$I$2174,'Détail par ad'!$A$2:$A$2174,A19)</f>
        <v/>
      </c>
      <c r="F19" s="8">
        <f>IF(D19=0,"—",E19/D19)</f>
        <v/>
      </c>
      <c r="G19" s="6" t="inlineStr"/>
    </row>
    <row r="20">
      <c r="A20" s="6" t="inlineStr">
        <is>
          <t>Bosch</t>
        </is>
      </c>
      <c r="B20" s="6" t="inlineStr">
        <is>
          <t>Live</t>
        </is>
      </c>
      <c r="C20" s="7">
        <f>COUNTIFS('Détail par ad'!$A$2:$A$2174,A20)</f>
        <v/>
      </c>
      <c r="D20" s="7">
        <f>SUMIFS('Détail par ad'!$H$2:$H$2174,'Détail par ad'!$A$2:$A$2174,A20)</f>
        <v/>
      </c>
      <c r="E20" s="7">
        <f>SUMIFS('Détail par ad'!$I$2:$I$2174,'Détail par ad'!$A$2:$A$2174,A20)</f>
        <v/>
      </c>
      <c r="F20" s="8">
        <f>IF(D20=0,"—",E20/D20)</f>
        <v/>
      </c>
      <c r="G20" s="6" t="inlineStr"/>
    </row>
    <row r="21">
      <c r="A21" s="6" t="inlineStr">
        <is>
          <t>Smartphone ID</t>
        </is>
      </c>
      <c r="B21" s="6" t="inlineStr">
        <is>
          <t>Live</t>
        </is>
      </c>
      <c r="C21" s="7">
        <f>COUNTIFS('Détail par ad'!$A$2:$A$2174,A21)</f>
        <v/>
      </c>
      <c r="D21" s="7">
        <f>SUMIFS('Détail par ad'!$H$2:$H$2174,'Détail par ad'!$A$2:$A$2174,A21)</f>
        <v/>
      </c>
      <c r="E21" s="7">
        <f>SUMIFS('Détail par ad'!$I$2:$I$2174,'Détail par ad'!$A$2:$A$2174,A21)</f>
        <v/>
      </c>
      <c r="F21" s="8">
        <f>IF(D21=0,"—",E21/D21)</f>
        <v/>
      </c>
      <c r="G21" s="6" t="inlineStr"/>
    </row>
    <row r="22">
      <c r="A22" s="6" t="inlineStr">
        <is>
          <t>Archipel Kombucha</t>
        </is>
      </c>
      <c r="B22" s="6" t="inlineStr">
        <is>
          <t>Live</t>
        </is>
      </c>
      <c r="C22" s="7">
        <f>COUNTIFS('Détail par ad'!$A$2:$A$2174,A22)</f>
        <v/>
      </c>
      <c r="D22" s="7">
        <f>SUMIFS('Détail par ad'!$H$2:$H$2174,'Détail par ad'!$A$2:$A$2174,A22)</f>
        <v/>
      </c>
      <c r="E22" s="7">
        <f>SUMIFS('Détail par ad'!$I$2:$I$2174,'Détail par ad'!$A$2:$A$2174,A22)</f>
        <v/>
      </c>
      <c r="F22" s="8">
        <f>IF(D22=0,"—",E22/D22)</f>
        <v/>
      </c>
      <c r="G22" s="6" t="inlineStr"/>
    </row>
    <row r="23">
      <c r="A23" s="6" t="inlineStr">
        <is>
          <t>SNCF</t>
        </is>
      </c>
      <c r="B23" s="6" t="inlineStr">
        <is>
          <t>Live</t>
        </is>
      </c>
      <c r="C23" s="7">
        <f>COUNTIFS('Détail par ad'!$A$2:$A$2174,A23)</f>
        <v/>
      </c>
      <c r="D23" s="7">
        <f>SUMIFS('Détail par ad'!$H$2:$H$2174,'Détail par ad'!$A$2:$A$2174,A23)</f>
        <v/>
      </c>
      <c r="E23" s="7">
        <f>SUMIFS('Détail par ad'!$I$2:$I$2174,'Détail par ad'!$A$2:$A$2174,A23)</f>
        <v/>
      </c>
      <c r="F23" s="8">
        <f>IF(D23=0,"—",E23/D23)</f>
        <v/>
      </c>
      <c r="G23" s="6" t="inlineStr">
        <is>
          <t>Lancé le 30/09 : 1 seul jour de diffusion en septembre</t>
        </is>
      </c>
    </row>
    <row r="24">
      <c r="A24" s="6" t="inlineStr">
        <is>
          <t>Elhée</t>
        </is>
      </c>
      <c r="B24" s="6" t="inlineStr">
        <is>
          <t>Live</t>
        </is>
      </c>
      <c r="C24" s="7">
        <f>COUNTIFS('Détail par ad'!$A$2:$A$2174,A24)</f>
        <v/>
      </c>
      <c r="D24" s="7">
        <f>SUMIFS('Détail par ad'!$H$2:$H$2174,'Détail par ad'!$A$2:$A$2174,A24)</f>
        <v/>
      </c>
      <c r="E24" s="7">
        <f>SUMIFS('Détail par ad'!$I$2:$I$2174,'Détail par ad'!$A$2:$A$2174,A24)</f>
        <v/>
      </c>
      <c r="F24" s="8">
        <f>IF(D24=0,"—",E24/D24)</f>
        <v/>
      </c>
      <c r="G24" s="6" t="inlineStr">
        <is>
          <t>Lancé le 07/10 : aucune diffusion en septembre</t>
        </is>
      </c>
    </row>
    <row r="25">
      <c r="A25" s="6" t="inlineStr">
        <is>
          <t>Mabex</t>
        </is>
      </c>
      <c r="B25" s="6" t="inlineStr">
        <is>
          <t>Live</t>
        </is>
      </c>
      <c r="C25" s="7">
        <f>COUNTIFS('Détail par ad'!$A$2:$A$2174,A25)</f>
        <v/>
      </c>
      <c r="D25" s="7">
        <f>SUMIFS('Détail par ad'!$H$2:$H$2174,'Détail par ad'!$A$2:$A$2174,A25)</f>
        <v/>
      </c>
      <c r="E25" s="7">
        <f>SUMIFS('Détail par ad'!$I$2:$I$2174,'Détail par ad'!$A$2:$A$2174,A25)</f>
        <v/>
      </c>
      <c r="F25" s="8">
        <f>IF(D25=0,"—",E25/D25)</f>
        <v/>
      </c>
      <c r="G25" s="6" t="inlineStr">
        <is>
          <t>Aucune diffusion trouvée en septembre</t>
        </is>
      </c>
    </row>
    <row r="26">
      <c r="A26" s="9" t="inlineStr">
        <is>
          <t>Sous-total</t>
        </is>
      </c>
      <c r="B26" s="10" t="n"/>
      <c r="C26" s="11">
        <f>SUM(C6:C25)</f>
        <v/>
      </c>
      <c r="D26" s="11">
        <f>SUM(D6:D25)</f>
        <v/>
      </c>
      <c r="E26" s="11">
        <f>SUM(E6:E25)</f>
        <v/>
      </c>
      <c r="F26" s="12">
        <f>IF(D26=0,"—",E26/D26)</f>
        <v/>
      </c>
      <c r="G26" s="10" t="n"/>
    </row>
    <row r="28">
      <c r="A28" s="4" t="inlineStr">
        <is>
          <t>Clients en fin de campagne (diffusés en septembre)</t>
        </is>
      </c>
      <c r="B28" s="5" t="n"/>
      <c r="C28" s="5" t="n"/>
      <c r="D28" s="5" t="n"/>
      <c r="E28" s="5" t="n"/>
      <c r="F28" s="5" t="n"/>
      <c r="G28" s="5" t="n"/>
    </row>
    <row r="29">
      <c r="A29" s="6" t="inlineStr">
        <is>
          <t>Ryobi</t>
        </is>
      </c>
      <c r="B29" s="6" t="inlineStr">
        <is>
          <t>Terminé</t>
        </is>
      </c>
      <c r="C29" s="7">
        <f>COUNTIFS('Détail par ad'!$A$2:$A$2174,A29)</f>
        <v/>
      </c>
      <c r="D29" s="7">
        <f>SUMIFS('Détail par ad'!$H$2:$H$2174,'Détail par ad'!$A$2:$A$2174,A29)</f>
        <v/>
      </c>
      <c r="E29" s="7">
        <f>SUMIFS('Détail par ad'!$I$2:$I$2174,'Détail par ad'!$A$2:$A$2174,A29)</f>
        <v/>
      </c>
      <c r="F29" s="8">
        <f>IF(D29=0,"—",E29/D29)</f>
        <v/>
      </c>
      <c r="G29" s="6" t="inlineStr"/>
    </row>
    <row r="30">
      <c r="A30" s="6" t="inlineStr">
        <is>
          <t>Iopole</t>
        </is>
      </c>
      <c r="B30" s="6" t="inlineStr">
        <is>
          <t>Terminé</t>
        </is>
      </c>
      <c r="C30" s="7">
        <f>COUNTIFS('Détail par ad'!$A$2:$A$2174,A30)</f>
        <v/>
      </c>
      <c r="D30" s="7">
        <f>SUMIFS('Détail par ad'!$H$2:$H$2174,'Détail par ad'!$A$2:$A$2174,A30)</f>
        <v/>
      </c>
      <c r="E30" s="7">
        <f>SUMIFS('Détail par ad'!$I$2:$I$2174,'Détail par ad'!$A$2:$A$2174,A30)</f>
        <v/>
      </c>
      <c r="F30" s="8">
        <f>IF(D30=0,"—",E30/D30)</f>
        <v/>
      </c>
      <c r="G30" s="6" t="inlineStr"/>
    </row>
    <row r="31">
      <c r="A31" s="6" t="inlineStr">
        <is>
          <t>La redoute</t>
        </is>
      </c>
      <c r="B31" s="6" t="inlineStr">
        <is>
          <t>Terminé</t>
        </is>
      </c>
      <c r="C31" s="7">
        <f>COUNTIFS('Détail par ad'!$A$2:$A$2174,A31)</f>
        <v/>
      </c>
      <c r="D31" s="7">
        <f>SUMIFS('Détail par ad'!$H$2:$H$2174,'Détail par ad'!$A$2:$A$2174,A31)</f>
        <v/>
      </c>
      <c r="E31" s="7">
        <f>SUMIFS('Détail par ad'!$I$2:$I$2174,'Détail par ad'!$A$2:$A$2174,A31)</f>
        <v/>
      </c>
      <c r="F31" s="8">
        <f>IF(D31=0,"—",E31/D31)</f>
        <v/>
      </c>
      <c r="G31" s="6" t="inlineStr"/>
    </row>
    <row r="32">
      <c r="A32" s="6" t="inlineStr">
        <is>
          <t>Bayard Jeunesse</t>
        </is>
      </c>
      <c r="B32" s="6" t="inlineStr">
        <is>
          <t>Terminé</t>
        </is>
      </c>
      <c r="C32" s="7">
        <f>COUNTIFS('Détail par ad'!$A$2:$A$2174,A32)</f>
        <v/>
      </c>
      <c r="D32" s="7">
        <f>SUMIFS('Détail par ad'!$H$2:$H$2174,'Détail par ad'!$A$2:$A$2174,A32)</f>
        <v/>
      </c>
      <c r="E32" s="7">
        <f>SUMIFS('Détail par ad'!$I$2:$I$2174,'Détail par ad'!$A$2:$A$2174,A32)</f>
        <v/>
      </c>
      <c r="F32" s="8">
        <f>IF(D32=0,"—",E32/D32)</f>
        <v/>
      </c>
      <c r="G32" s="6" t="inlineStr"/>
    </row>
    <row r="33">
      <c r="A33" s="6" t="inlineStr">
        <is>
          <t>Franklin Pet Food</t>
        </is>
      </c>
      <c r="B33" s="6" t="inlineStr">
        <is>
          <t>Terminé</t>
        </is>
      </c>
      <c r="C33" s="7">
        <f>COUNTIFS('Détail par ad'!$A$2:$A$2174,A33)</f>
        <v/>
      </c>
      <c r="D33" s="7">
        <f>SUMIFS('Détail par ad'!$H$2:$H$2174,'Détail par ad'!$A$2:$A$2174,A33)</f>
        <v/>
      </c>
      <c r="E33" s="7">
        <f>SUMIFS('Détail par ad'!$I$2:$I$2174,'Détail par ad'!$A$2:$A$2174,A33)</f>
        <v/>
      </c>
      <c r="F33" s="8">
        <f>IF(D33=0,"—",E33/D33)</f>
        <v/>
      </c>
      <c r="G33" s="6" t="inlineStr"/>
    </row>
    <row r="34">
      <c r="A34" s="6" t="inlineStr">
        <is>
          <t>1001 Pneus</t>
        </is>
      </c>
      <c r="B34" s="6" t="inlineStr">
        <is>
          <t>Terminé</t>
        </is>
      </c>
      <c r="C34" s="7">
        <f>COUNTIFS('Détail par ad'!$A$2:$A$2174,A34)</f>
        <v/>
      </c>
      <c r="D34" s="7">
        <f>SUMIFS('Détail par ad'!$H$2:$H$2174,'Détail par ad'!$A$2:$A$2174,A34)</f>
        <v/>
      </c>
      <c r="E34" s="7">
        <f>SUMIFS('Détail par ad'!$I$2:$I$2174,'Détail par ad'!$A$2:$A$2174,A34)</f>
        <v/>
      </c>
      <c r="F34" s="8">
        <f>IF(D34=0,"—",E34/D34)</f>
        <v/>
      </c>
      <c r="G34" s="6" t="inlineStr"/>
    </row>
    <row r="35">
      <c r="A35" s="6" t="inlineStr">
        <is>
          <t>La marque en moins</t>
        </is>
      </c>
      <c r="B35" s="6" t="inlineStr">
        <is>
          <t>Terminé</t>
        </is>
      </c>
      <c r="C35" s="7">
        <f>COUNTIFS('Détail par ad'!$A$2:$A$2174,A35)</f>
        <v/>
      </c>
      <c r="D35" s="7">
        <f>SUMIFS('Détail par ad'!$H$2:$H$2174,'Détail par ad'!$A$2:$A$2174,A35)</f>
        <v/>
      </c>
      <c r="E35" s="7">
        <f>SUMIFS('Détail par ad'!$I$2:$I$2174,'Détail par ad'!$A$2:$A$2174,A35)</f>
        <v/>
      </c>
      <c r="F35" s="8">
        <f>IF(D35=0,"—",E35/D35)</f>
        <v/>
      </c>
      <c r="G35" s="6" t="inlineStr"/>
    </row>
    <row r="36">
      <c r="A36" s="6" t="inlineStr">
        <is>
          <t>Ultra Premium Direct</t>
        </is>
      </c>
      <c r="B36" s="6" t="inlineStr">
        <is>
          <t>Terminé</t>
        </is>
      </c>
      <c r="C36" s="7">
        <f>COUNTIFS('Détail par ad'!$A$2:$A$2174,A36)</f>
        <v/>
      </c>
      <c r="D36" s="7">
        <f>SUMIFS('Détail par ad'!$H$2:$H$2174,'Détail par ad'!$A$2:$A$2174,A36)</f>
        <v/>
      </c>
      <c r="E36" s="7">
        <f>SUMIFS('Détail par ad'!$I$2:$I$2174,'Détail par ad'!$A$2:$A$2174,A36)</f>
        <v/>
      </c>
      <c r="F36" s="8">
        <f>IF(D36=0,"—",E36/D36)</f>
        <v/>
      </c>
      <c r="G36" s="6" t="inlineStr"/>
    </row>
    <row r="37">
      <c r="A37" s="9" t="inlineStr">
        <is>
          <t>Sous-total</t>
        </is>
      </c>
      <c r="B37" s="10" t="n"/>
      <c r="C37" s="11">
        <f>SUM(C29:C36)</f>
        <v/>
      </c>
      <c r="D37" s="11">
        <f>SUM(D29:D36)</f>
        <v/>
      </c>
      <c r="E37" s="11">
        <f>SUM(E29:E36)</f>
        <v/>
      </c>
      <c r="F37" s="12">
        <f>IF(D37=0,"—",E37/D37)</f>
        <v/>
      </c>
      <c r="G37" s="10" t="n"/>
    </row>
    <row r="39">
      <c r="A39" s="4" t="inlineStr">
        <is>
          <t>Hors fichier de suivi</t>
        </is>
      </c>
      <c r="B39" s="5" t="n"/>
      <c r="C39" s="5" t="n"/>
      <c r="D39" s="5" t="n"/>
      <c r="E39" s="5" t="n"/>
      <c r="F39" s="5" t="n"/>
      <c r="G39" s="5" t="n"/>
    </row>
    <row r="40">
      <c r="A40" s="6" t="inlineStr">
        <is>
          <t>MINI</t>
        </is>
      </c>
      <c r="B40" s="6" t="inlineStr">
        <is>
          <t>Hors fichier de suivi</t>
        </is>
      </c>
      <c r="C40" s="7">
        <f>COUNTIFS('Détail par ad'!$A$2:$A$2174,A40)</f>
        <v/>
      </c>
      <c r="D40" s="7">
        <f>SUMIFS('Détail par ad'!$H$2:$H$2174,'Détail par ad'!$A$2:$A$2174,A40)</f>
        <v/>
      </c>
      <c r="E40" s="7">
        <f>SUMIFS('Détail par ad'!$I$2:$I$2174,'Détail par ad'!$A$2:$A$2174,A40)</f>
        <v/>
      </c>
      <c r="F40" s="8">
        <f>IF(D40=0,"—",E40/D40)</f>
        <v/>
      </c>
      <c r="G40" s="6" t="inlineStr">
        <is>
          <t>Annonceur absent du fichier de suivi</t>
        </is>
      </c>
    </row>
    <row r="41">
      <c r="A41" s="6" t="inlineStr">
        <is>
          <t>Comptoir des Pros</t>
        </is>
      </c>
      <c r="B41" s="6" t="inlineStr">
        <is>
          <t>Hors fichier de suivi</t>
        </is>
      </c>
      <c r="C41" s="7">
        <f>COUNTIFS('Détail par ad'!$A$2:$A$2174,A41)</f>
        <v/>
      </c>
      <c r="D41" s="7">
        <f>SUMIFS('Détail par ad'!$H$2:$H$2174,'Détail par ad'!$A$2:$A$2174,A41)</f>
        <v/>
      </c>
      <c r="E41" s="7">
        <f>SUMIFS('Détail par ad'!$I$2:$I$2174,'Détail par ad'!$A$2:$A$2174,A41)</f>
        <v/>
      </c>
      <c r="F41" s="8">
        <f>IF(D41=0,"—",E41/D41)</f>
        <v/>
      </c>
      <c r="G41" s="6" t="inlineStr">
        <is>
          <t>Annonceur absent du fichier de suivi</t>
        </is>
      </c>
    </row>
    <row r="42">
      <c r="A42" s="9" t="inlineStr">
        <is>
          <t>Sous-total</t>
        </is>
      </c>
      <c r="B42" s="10" t="n"/>
      <c r="C42" s="11">
        <f>SUM(C40:C41)</f>
        <v/>
      </c>
      <c r="D42" s="11">
        <f>SUM(D40:D41)</f>
        <v/>
      </c>
      <c r="E42" s="11">
        <f>SUM(E40:E41)</f>
        <v/>
      </c>
      <c r="F42" s="12">
        <f>IF(D42=0,"—",E42/D42)</f>
        <v/>
      </c>
      <c r="G42" s="10" t="n"/>
    </row>
    <row r="44">
      <c r="A44" s="13" t="inlineStr">
        <is>
          <t>TOTAL</t>
        </is>
      </c>
      <c r="B44" s="14" t="n"/>
      <c r="C44" s="15">
        <f>C26+C37+C42</f>
        <v/>
      </c>
      <c r="D44" s="15">
        <f>D26+D37+D42</f>
        <v/>
      </c>
      <c r="E44" s="15">
        <f>E26+E37+E42</f>
        <v/>
      </c>
      <c r="F44" s="16">
        <f>IF(D44=0,"—",E44/D44)</f>
        <v/>
      </c>
      <c r="G44" s="1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7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30" customWidth="1" min="3" max="3"/>
    <col width="26" customWidth="1" min="4" max="4"/>
    <col width="48" customWidth="1" min="5" max="5"/>
    <col width="60" customWidth="1" min="6" max="6"/>
    <col width="45" customWidth="1" min="7" max="7"/>
    <col width="13" customWidth="1" min="8" max="8"/>
    <col width="10" customWidth="1" min="9" max="9"/>
    <col width="9" customWidth="1" min="10" max="10"/>
  </cols>
  <sheetData>
    <row r="1" ht="30" customHeight="1">
      <c r="A1" s="3" t="inlineStr">
        <is>
          <t>Client</t>
        </is>
      </c>
      <c r="B1" s="3" t="inlineStr">
        <is>
          <t>Statut</t>
        </is>
      </c>
      <c r="C1" s="3" t="inlineStr">
        <is>
          <t>Campagne</t>
        </is>
      </c>
      <c r="D1" s="3" t="inlineStr">
        <is>
          <t>Groupe d'annonces</t>
        </is>
      </c>
      <c r="E1" s="3" t="inlineStr">
        <is>
          <t>Titre de l'ad</t>
        </is>
      </c>
      <c r="F1" s="3" t="inlineStr">
        <is>
          <t>Description</t>
        </is>
      </c>
      <c r="G1" s="3" t="inlineStr">
        <is>
          <t>URL de destination</t>
        </is>
      </c>
      <c r="H1" s="3" t="inlineStr">
        <is>
          <t>Impressions</t>
        </is>
      </c>
      <c r="I1" s="3" t="inlineStr">
        <is>
          <t>Clics</t>
        </is>
      </c>
      <c r="J1" s="3" t="inlineStr">
        <is>
          <t>CTR</t>
        </is>
      </c>
    </row>
    <row r="2">
      <c r="A2" s="17" t="inlineStr">
        <is>
          <t>Boulanger</t>
        </is>
      </c>
      <c r="B2" s="17" t="inlineStr">
        <is>
          <t>Live</t>
        </is>
      </c>
      <c r="C2" s="17" t="inlineStr">
        <is>
          <t>Boulanger</t>
        </is>
      </c>
      <c r="D2" s="17" t="inlineStr">
        <is>
          <t>Enceintes et barres de son</t>
        </is>
      </c>
      <c r="E2" s="18" t="inlineStr">
        <is>
          <t>Barre de son BOSE TV Speaker</t>
        </is>
      </c>
      <c r="F2" s="17" t="inlineStr">
        <is>
          <t>Une barre compacte qui rend les dialogues de vos films plus clairs, branchée d’un seul câble sous la télé. Livraison offerte et garantie 2 ans chez Boulanger.</t>
        </is>
      </c>
      <c r="G2" s="19" t="inlineStr">
        <is>
          <t>https://www.boulanger.com/ref/1145344?at_medium=gea&amp;at_campaign=lemrock</t>
        </is>
      </c>
      <c r="H2" s="20" t="n">
        <v>52227</v>
      </c>
      <c r="I2" s="20" t="n">
        <v>147</v>
      </c>
      <c r="J2" s="21">
        <f>IF(H2=0,0,I2/H2)</f>
        <v/>
      </c>
    </row>
    <row r="3">
      <c r="A3" s="17" t="inlineStr">
        <is>
          <t>Boulanger</t>
        </is>
      </c>
      <c r="B3" s="17" t="inlineStr">
        <is>
          <t>Live</t>
        </is>
      </c>
      <c r="C3" s="17" t="inlineStr">
        <is>
          <t>Boulanger</t>
        </is>
      </c>
      <c r="D3" s="17" t="inlineStr">
        <is>
          <t>Smartphones et accessoires</t>
        </is>
      </c>
      <c r="E3" s="18" t="inlineStr">
        <is>
          <t>Smartphone SAMSUNG Galaxy S24 Ultra Gris</t>
        </is>
      </c>
      <c r="F3" s="17" t="inlineStr">
        <is>
          <t>Bienvenue dans la nouvelle ère de l'Intelligence Artificielle mobile. Entre vos mains, le Galaxy S24 Ultra vous ouvre de nouveaux horizons. Productifs d'abord, avec des</t>
        </is>
      </c>
      <c r="G3" s="19" t="inlineStr">
        <is>
          <t>https://www.boulanger.com/ref/1200027?at_medium=gea&amp;at_campaign=lemrock</t>
        </is>
      </c>
      <c r="H3" s="20" t="n">
        <v>42500</v>
      </c>
      <c r="I3" s="20" t="n">
        <v>217</v>
      </c>
      <c r="J3" s="21">
        <f>IF(H3=0,0,I3/H3)</f>
        <v/>
      </c>
    </row>
    <row r="4">
      <c r="A4" s="17" t="inlineStr">
        <is>
          <t>Boulanger</t>
        </is>
      </c>
      <c r="B4" s="17" t="inlineStr">
        <is>
          <t>Live</t>
        </is>
      </c>
      <c r="C4" s="17" t="inlineStr">
        <is>
          <t>Boulanger</t>
        </is>
      </c>
      <c r="D4" s="17" t="inlineStr">
        <is>
          <t>Consoles de jeux</t>
        </is>
      </c>
      <c r="E4" s="18" t="inlineStr">
        <is>
          <t>Console Portable ASUS Rog Xbox Ally</t>
        </is>
      </c>
      <c r="F4" s="17" t="inlineStr">
        <is>
          <t>Console portable Asus qui fait tourner vos jeux Xbox et PC partout, sans télé ; reprise de votre ancienne console et retrait en une heure en magasin Boulanger.</t>
        </is>
      </c>
      <c r="G4" s="19" t="inlineStr">
        <is>
          <t>https://www.boulanger.com/ref/1224182?at_medium=gea&amp;at_campaign=lemrock</t>
        </is>
      </c>
      <c r="H4" s="20" t="n">
        <v>40605</v>
      </c>
      <c r="I4" s="20" t="n">
        <v>1390</v>
      </c>
      <c r="J4" s="21">
        <f>IF(H4=0,0,I4/H4)</f>
        <v/>
      </c>
    </row>
    <row r="5">
      <c r="A5" s="17" t="inlineStr">
        <is>
          <t>Boulanger</t>
        </is>
      </c>
      <c r="B5" s="17" t="inlineStr">
        <is>
          <t>Live</t>
        </is>
      </c>
      <c r="C5" s="17" t="inlineStr">
        <is>
          <t>Boulanger</t>
        </is>
      </c>
      <c r="D5" s="17" t="inlineStr">
        <is>
          <t>Consoles de jeux</t>
        </is>
      </c>
      <c r="E5" s="18" t="inlineStr">
        <is>
          <t>Console NINTENDO Switch 2</t>
        </is>
      </c>
      <c r="F5" s="17" t="inlineStr">
        <is>
          <t>La nouvelle console Nintendo, jouable sur la TV ou en déplacement, pour toute la famille ; retirez la Switch 2 en une heure dans votre magasin Boulanger, garantie 2 ans.</t>
        </is>
      </c>
      <c r="G5" s="19" t="inlineStr">
        <is>
          <t>https://www.boulanger.com/ref/1220464?at_medium=gea&amp;at_campaign=lemrock</t>
        </is>
      </c>
      <c r="H5" s="20" t="n">
        <v>39174</v>
      </c>
      <c r="I5" s="20" t="n">
        <v>346</v>
      </c>
      <c r="J5" s="21">
        <f>IF(H5=0,0,I5/H5)</f>
        <v/>
      </c>
    </row>
    <row r="6">
      <c r="A6" s="17" t="inlineStr">
        <is>
          <t>Boulanger</t>
        </is>
      </c>
      <c r="B6" s="17" t="inlineStr">
        <is>
          <t>Live</t>
        </is>
      </c>
      <c r="C6" s="17" t="inlineStr">
        <is>
          <t>Boulanger</t>
        </is>
      </c>
      <c r="D6" s="17" t="inlineStr">
        <is>
          <t>Consumer Electronics</t>
        </is>
      </c>
      <c r="E6" s="18" t="inlineStr">
        <is>
          <t>Informatique, son et téléphonie prix bas | Boulanger</t>
        </is>
      </c>
      <c r="F6" s="17" t="inlineStr">
        <is>
          <t>Chargeur secteur Watt and Co Uni. 3000 mAh : une solution de charge universelle, compatible avec la plupart de vos appareils, à retrouver chez Boulanger.</t>
        </is>
      </c>
      <c r="G6" s="19" t="inlineStr">
        <is>
          <t>https://www.boulanger.com/ref/151244?at_medium=gea&amp;at_campaign=lemrock</t>
        </is>
      </c>
      <c r="H6" s="20" t="n">
        <v>38962</v>
      </c>
      <c r="I6" s="20" t="n">
        <v>373</v>
      </c>
      <c r="J6" s="21">
        <f>IF(H6=0,0,I6/H6)</f>
        <v/>
      </c>
    </row>
    <row r="7">
      <c r="A7" s="17" t="inlineStr">
        <is>
          <t>Boulanger</t>
        </is>
      </c>
      <c r="B7" s="17" t="inlineStr">
        <is>
          <t>Live</t>
        </is>
      </c>
      <c r="C7" s="17" t="inlineStr">
        <is>
          <t>Boulanger</t>
        </is>
      </c>
      <c r="D7" s="17" t="inlineStr">
        <is>
          <t>Electronics and Appliance Stores</t>
        </is>
      </c>
      <c r="E7" s="18" t="inlineStr">
        <is>
          <t>High-tech et électroménager au meilleur prix | Boulanger</t>
        </is>
      </c>
      <c r="F7" s="17" t="inlineStr">
        <is>
          <t>Piano de cuisson mixte Falcon Delux 110 noir et laiton : le savoir-faire britannique, un design de tradition et des performances de cuisine pro.</t>
        </is>
      </c>
      <c r="G7" s="19" t="inlineStr">
        <is>
          <t>https://www.boulanger.com/ref/777415?at_medium=gea&amp;at_campaign=lemrock</t>
        </is>
      </c>
      <c r="H7" s="20" t="n">
        <v>29388</v>
      </c>
      <c r="I7" s="20" t="n">
        <v>186</v>
      </c>
      <c r="J7" s="21">
        <f>IF(H7=0,0,I7/H7)</f>
        <v/>
      </c>
    </row>
    <row r="8">
      <c r="A8" s="17" t="inlineStr">
        <is>
          <t>Boulanger</t>
        </is>
      </c>
      <c r="B8" s="17" t="inlineStr">
        <is>
          <t>Live</t>
        </is>
      </c>
      <c r="C8" s="17" t="inlineStr">
        <is>
          <t>Boulanger</t>
        </is>
      </c>
      <c r="D8" s="17" t="inlineStr">
        <is>
          <t>Informatique</t>
        </is>
      </c>
      <c r="E8" s="18" t="inlineStr">
        <is>
          <t>Clavier+Souris LOGITECH MK330</t>
        </is>
      </c>
      <c r="F8" s="17" t="inlineStr">
        <is>
          <t>Logitech Wireless Combo MK330. L'ensemble clavier/souris qui combine divertissement et portabilité. Les 11 touches de raccourci et les 12 touches F programmables vous permettent</t>
        </is>
      </c>
      <c r="G8" s="19" t="inlineStr">
        <is>
          <t>https://www.boulanger.com/ref/137017?at_medium=gea&amp;at_campaign=lemrock</t>
        </is>
      </c>
      <c r="H8" s="20" t="n">
        <v>28415</v>
      </c>
      <c r="I8" s="20" t="n">
        <v>210</v>
      </c>
      <c r="J8" s="21">
        <f>IF(H8=0,0,I8/H8)</f>
        <v/>
      </c>
    </row>
    <row r="9">
      <c r="A9" s="17" t="inlineStr">
        <is>
          <t>Boulanger</t>
        </is>
      </c>
      <c r="B9" s="17" t="inlineStr">
        <is>
          <t>Live</t>
        </is>
      </c>
      <c r="C9" s="17" t="inlineStr">
        <is>
          <t>Boulanger</t>
        </is>
      </c>
      <c r="D9" s="17" t="inlineStr">
        <is>
          <t>Informatique</t>
        </is>
      </c>
      <c r="E9" s="18" t="inlineStr">
        <is>
          <t>Ecran ASUS ZENSCREEN MB16AWP Portable 16</t>
        </is>
      </c>
      <c r="F9" s="17" t="inlineStr">
        <is>
          <t>Avec sa batterie et son Wi-Fi intégrés, l'écran ASUS Zenscreen MB16AWP saura séduire les travailleurs qui se déplacent régulièrement. Un ordinateur léger, élégant et portatif</t>
        </is>
      </c>
      <c r="G9" s="19" t="inlineStr">
        <is>
          <t>https://www.boulanger.com/ref/1179218?at_medium=gea&amp;at_campaign=lemrock</t>
        </is>
      </c>
      <c r="H9" s="20" t="n">
        <v>28172</v>
      </c>
      <c r="I9" s="20" t="n">
        <v>157</v>
      </c>
      <c r="J9" s="21">
        <f>IF(H9=0,0,I9/H9)</f>
        <v/>
      </c>
    </row>
    <row r="10">
      <c r="A10" s="17" t="inlineStr">
        <is>
          <t>Boulanger</t>
        </is>
      </c>
      <c r="B10" s="17" t="inlineStr">
        <is>
          <t>Live</t>
        </is>
      </c>
      <c r="C10" s="17" t="inlineStr">
        <is>
          <t>Boulanger</t>
        </is>
      </c>
      <c r="D10" s="17" t="inlineStr">
        <is>
          <t>GPS auto et vélo</t>
        </is>
      </c>
      <c r="E10" s="18" t="inlineStr">
        <is>
          <t>GPS vélo GARMIN Edge Explore 2 - support potence</t>
        </is>
      </c>
      <c r="F10" s="17" t="inlineStr">
        <is>
          <t>Compteur GPS Garmin avec support de potence fourni, pour suivre votre itinéraire et vos sorties vélo sans sortir le téléphone ; livraison offerte et garantie 2 ans.</t>
        </is>
      </c>
      <c r="G10" s="19" t="inlineStr">
        <is>
          <t>https://www.boulanger.com/ref/1205648?at_medium=gea&amp;at_campaign=lemrock</t>
        </is>
      </c>
      <c r="H10" s="20" t="n">
        <v>26642</v>
      </c>
      <c r="I10" s="20" t="n">
        <v>125</v>
      </c>
      <c r="J10" s="21">
        <f>IF(H10=0,0,I10/H10)</f>
        <v/>
      </c>
    </row>
    <row r="11">
      <c r="A11" s="17" t="inlineStr">
        <is>
          <t>Boulanger</t>
        </is>
      </c>
      <c r="B11" s="17" t="inlineStr">
        <is>
          <t>Live</t>
        </is>
      </c>
      <c r="C11" s="17" t="inlineStr">
        <is>
          <t>Boulanger</t>
        </is>
      </c>
      <c r="D11" s="17" t="inlineStr">
        <is>
          <t>GPS auto et vélo</t>
        </is>
      </c>
      <c r="E11" s="18" t="inlineStr">
        <is>
          <t>GPS TOMTOM GO CLASSIC 5'' EU nouvelle génération</t>
        </is>
      </c>
      <c r="F11" s="17" t="inlineStr">
        <is>
          <t>Écran 5 pouces et cartes d’Europe mises à jour pour rouler l’esprit tranquille, sans sortir votre téléphone. Livraison offerte et garantie 2 ans chez Boulanger.</t>
        </is>
      </c>
      <c r="G11" s="19" t="inlineStr">
        <is>
          <t>https://www.boulanger.com/ref/1213099?at_medium=gea&amp;at_campaign=lemrock</t>
        </is>
      </c>
      <c r="H11" s="20" t="n">
        <v>26461</v>
      </c>
      <c r="I11" s="20" t="n">
        <v>70</v>
      </c>
      <c r="J11" s="21">
        <f>IF(H11=0,0,I11/H11)</f>
        <v/>
      </c>
    </row>
    <row r="12">
      <c r="A12" s="17" t="inlineStr">
        <is>
          <t>Boulanger</t>
        </is>
      </c>
      <c r="B12" s="17" t="inlineStr">
        <is>
          <t>Live</t>
        </is>
      </c>
      <c r="C12" s="17" t="inlineStr">
        <is>
          <t>Boulanger</t>
        </is>
      </c>
      <c r="D12" s="17" t="inlineStr">
        <is>
          <t>Enceintes et audio</t>
        </is>
      </c>
      <c r="E12" s="18" t="inlineStr">
        <is>
          <t>Enc. YAMAHA MusicCast 20 blanc</t>
        </is>
      </c>
      <c r="F12" s="17" t="inlineStr">
        <is>
          <t>Libérez-vous de tout câble et profitez de vos musiques préférez où que vous soyez avec l'enceinte connecté Yamaha MusicCast 20. Avec ses deux haut-parleurs deux voies avec un</t>
        </is>
      </c>
      <c r="G12" s="19" t="inlineStr">
        <is>
          <t>https://www.boulanger.com/ref/1112317?at_medium=gea&amp;at_campaign=lemrock</t>
        </is>
      </c>
      <c r="H12" s="20" t="n">
        <v>26410</v>
      </c>
      <c r="I12" s="20" t="n">
        <v>147</v>
      </c>
      <c r="J12" s="21">
        <f>IF(H12=0,0,I12/H12)</f>
        <v/>
      </c>
    </row>
    <row r="13">
      <c r="A13" s="17" t="inlineStr">
        <is>
          <t>Boulanger</t>
        </is>
      </c>
      <c r="B13" s="17" t="inlineStr">
        <is>
          <t>Live</t>
        </is>
      </c>
      <c r="C13" s="17" t="inlineStr">
        <is>
          <t>Boulanger</t>
        </is>
      </c>
      <c r="D13" s="17" t="inlineStr">
        <is>
          <t>Printers/Copiers/Scanners/Fax</t>
        </is>
      </c>
      <c r="E13" s="18" t="inlineStr">
        <is>
          <t>Imprimantes et multifonctions au meilleur prix | Boulanger</t>
        </is>
      </c>
      <c r="F13" s="17" t="inlineStr">
        <is>
          <t>La cartouche d’encre Canon CLI-551 XL Cyan joue la haute capacité pour des impressions durables, à retrouver avec les imprimantes Boulanger.</t>
        </is>
      </c>
      <c r="G13" s="19" t="inlineStr">
        <is>
          <t>https://www.boulanger.com/ref/142796?at_medium=gea&amp;at_campaign=lemrock</t>
        </is>
      </c>
      <c r="H13" s="20" t="n">
        <v>24922</v>
      </c>
      <c r="I13" s="20" t="n">
        <v>152</v>
      </c>
      <c r="J13" s="21">
        <f>IF(H13=0,0,I13/H13)</f>
        <v/>
      </c>
    </row>
    <row r="14">
      <c r="A14" s="17" t="inlineStr">
        <is>
          <t>Boulanger</t>
        </is>
      </c>
      <c r="B14" s="17" t="inlineStr">
        <is>
          <t>Live</t>
        </is>
      </c>
      <c r="C14" s="17" t="inlineStr">
        <is>
          <t>Boulanger</t>
        </is>
      </c>
      <c r="D14" s="17" t="inlineStr">
        <is>
          <t>Enceintes et barres de son</t>
        </is>
      </c>
      <c r="E14" s="18" t="inlineStr">
        <is>
          <t>Enceinte résidentielle SONOS Era 100 Blanc</t>
        </is>
      </c>
      <c r="F14" s="17" t="inlineStr">
        <is>
          <t>Enceinte connectée en Wi-Fi et Bluetooth, blanche, à associer à d’autres Sonos pour sonoriser chaque pièce. Retrait 1h en magasin ou livraison offerte, garantie 2 ans.</t>
        </is>
      </c>
      <c r="G14" s="19" t="inlineStr">
        <is>
          <t>https://www.boulanger.com/ref/1188708?at_medium=gea&amp;at_campaign=lemrock</t>
        </is>
      </c>
      <c r="H14" s="20" t="n">
        <v>24759</v>
      </c>
      <c r="I14" s="20" t="n">
        <v>101</v>
      </c>
      <c r="J14" s="21">
        <f>IF(H14=0,0,I14/H14)</f>
        <v/>
      </c>
    </row>
    <row r="15">
      <c r="A15" s="17" t="inlineStr">
        <is>
          <t>Boulanger</t>
        </is>
      </c>
      <c r="B15" s="17" t="inlineStr">
        <is>
          <t>Live</t>
        </is>
      </c>
      <c r="C15" s="17" t="inlineStr">
        <is>
          <t>Boulanger</t>
        </is>
      </c>
      <c r="D15" s="17" t="inlineStr">
        <is>
          <t>Informatique</t>
        </is>
      </c>
      <c r="E15" s="18" t="inlineStr">
        <is>
          <t>PC Gamer MSI CreatorPro X18 HX A14VMG-44</t>
        </is>
      </c>
      <c r="F15" s="17" t="inlineStr">
        <is>
          <t>MSI CreatorPro X18 HX A14VMG-448FR : La Puissance au Service de la Créativité Une Performance Inégalée pour les Créateurs Le MSI CreatorPro X18 HX A14VMG-448FR est conçu pour</t>
        </is>
      </c>
      <c r="G15" s="19" t="inlineStr">
        <is>
          <t>https://www.boulanger.com/ref/1209059?at_medium=gea&amp;at_campaign=lemrock</t>
        </is>
      </c>
      <c r="H15" s="20" t="n">
        <v>24640</v>
      </c>
      <c r="I15" s="20" t="n">
        <v>140</v>
      </c>
      <c r="J15" s="21">
        <f>IF(H15=0,0,I15/H15)</f>
        <v/>
      </c>
    </row>
    <row r="16">
      <c r="A16" s="17" t="inlineStr">
        <is>
          <t>Boulanger</t>
        </is>
      </c>
      <c r="B16" s="17" t="inlineStr">
        <is>
          <t>Live</t>
        </is>
      </c>
      <c r="C16" s="17" t="inlineStr">
        <is>
          <t>Boulanger</t>
        </is>
      </c>
      <c r="D16" s="17" t="inlineStr">
        <is>
          <t>Smartphones et accessoires</t>
        </is>
      </c>
      <c r="E16" s="18" t="inlineStr">
        <is>
          <t>Coque HUAWEI P20 Lite Transparent</t>
        </is>
      </c>
      <c r="F16" s="17" t="inlineStr">
        <is>
          <t>Cette coque transparente a été fabriquée à base de TPU. Elle est faite pour protéger votre Huawei P20 Lite des chocs et des rayures. Cette coque semi-rigide permet un accès aisé à</t>
        </is>
      </c>
      <c r="G16" s="19" t="inlineStr">
        <is>
          <t>https://www.boulanger.com/ref/1106584?at_medium=gea&amp;at_campaign=lemrock</t>
        </is>
      </c>
      <c r="H16" s="20" t="n">
        <v>24376</v>
      </c>
      <c r="I16" s="20" t="n">
        <v>126</v>
      </c>
      <c r="J16" s="21">
        <f>IF(H16=0,0,I16/H16)</f>
        <v/>
      </c>
    </row>
    <row r="17">
      <c r="A17" s="17" t="inlineStr">
        <is>
          <t>Boulanger</t>
        </is>
      </c>
      <c r="B17" s="17" t="inlineStr">
        <is>
          <t>Live</t>
        </is>
      </c>
      <c r="C17" s="17" t="inlineStr">
        <is>
          <t>Boulanger</t>
        </is>
      </c>
      <c r="D17" s="17" t="inlineStr">
        <is>
          <t>Enceintes et barres de son</t>
        </is>
      </c>
      <c r="E17" s="18" t="inlineStr">
        <is>
          <t>Enceinte portable JBL Charge 6 Noir</t>
        </is>
      </c>
      <c r="F17" s="17" t="inlineStr">
        <is>
          <t>Enceinte JBL étanche qui tient toute une soirée et recharge votre téléphone sur sa batterie ; à retirer en une heure dans votre magasin Boulanger, garantie 2 ans.</t>
        </is>
      </c>
      <c r="G17" s="19" t="inlineStr">
        <is>
          <t>https://www.boulanger.com/ref/1218045?at_medium=gea&amp;at_campaign=lemrock</t>
        </is>
      </c>
      <c r="H17" s="20" t="n">
        <v>23885</v>
      </c>
      <c r="I17" s="20" t="n">
        <v>76</v>
      </c>
      <c r="J17" s="21">
        <f>IF(H17=0,0,I17/H17)</f>
        <v/>
      </c>
    </row>
    <row r="18">
      <c r="A18" s="17" t="inlineStr">
        <is>
          <t>Boulanger</t>
        </is>
      </c>
      <c r="B18" s="17" t="inlineStr">
        <is>
          <t>Live</t>
        </is>
      </c>
      <c r="C18" s="17" t="inlineStr">
        <is>
          <t>Boulanger</t>
        </is>
      </c>
      <c r="D18" s="17" t="inlineStr">
        <is>
          <t>Consommables et pièces détachées</t>
        </is>
      </c>
      <c r="E18" s="18" t="inlineStr">
        <is>
          <t>Câble BELKIN Jack 3.5mm spirale noir - 1</t>
        </is>
      </c>
      <c r="F18" s="17" t="inlineStr">
        <is>
          <t>Adoptez un look vintage pour vos câbles de son avec ce câble Belkin. Ce câble Belkin permet de brancher tous vos appareils sonores et propose robustesse et un certain design. Un</t>
        </is>
      </c>
      <c r="G18" s="19" t="inlineStr">
        <is>
          <t>https://www.boulanger.com/ref/284091?at_medium=gea&amp;at_campaign=lemrock</t>
        </is>
      </c>
      <c r="H18" s="20" t="n">
        <v>23662</v>
      </c>
      <c r="I18" s="20" t="n">
        <v>140</v>
      </c>
      <c r="J18" s="21">
        <f>IF(H18=0,0,I18/H18)</f>
        <v/>
      </c>
    </row>
    <row r="19">
      <c r="A19" s="17" t="inlineStr">
        <is>
          <t>Boulanger</t>
        </is>
      </c>
      <c r="B19" s="17" t="inlineStr">
        <is>
          <t>Live</t>
        </is>
      </c>
      <c r="C19" s="17" t="inlineStr">
        <is>
          <t>Boulanger</t>
        </is>
      </c>
      <c r="D19" s="17" t="inlineStr">
        <is>
          <t>Smartphones et accessoires</t>
        </is>
      </c>
      <c r="E19" s="18" t="inlineStr">
        <is>
          <t>Alimentation WATT AND CO Uni.3000 mAh</t>
        </is>
      </c>
      <c r="F19" s="17" t="inlineStr">
        <is>
          <t>Chargeur Secteur WATT AND CO Uni.3000 mAh : La Solution de Charge Universelle Polyvalence et Compatibilité Étendue Le Chargeur secteur WATT AND CO Uni.3000 mAh est conçu pour</t>
        </is>
      </c>
      <c r="G19" s="19" t="inlineStr">
        <is>
          <t>https://www.boulanger.com/ref/151244?at_medium=gea&amp;at_campaign=lemrock</t>
        </is>
      </c>
      <c r="H19" s="20" t="n">
        <v>23399</v>
      </c>
      <c r="I19" s="20" t="n">
        <v>126</v>
      </c>
      <c r="J19" s="21">
        <f>IF(H19=0,0,I19/H19)</f>
        <v/>
      </c>
    </row>
    <row r="20">
      <c r="A20" s="17" t="inlineStr">
        <is>
          <t>Boulanger</t>
        </is>
      </c>
      <c r="B20" s="17" t="inlineStr">
        <is>
          <t>Live</t>
        </is>
      </c>
      <c r="C20" s="17" t="inlineStr">
        <is>
          <t>Boulanger</t>
        </is>
      </c>
      <c r="D20" s="17" t="inlineStr">
        <is>
          <t>Consommables et pièces détachées</t>
        </is>
      </c>
      <c r="E20" s="18" t="inlineStr">
        <is>
          <t>Cartouche CANON CLI551 XL Cyan</t>
        </is>
      </c>
      <c r="F20" s="17" t="inlineStr">
        <is>
          <t>Cartouche d'encre CANON CLI551 XL Cyan : Qualité et Performance pour vos Impressions Une cartouche haute capacité pour des impressions durables La cartouche d'encre CANON CLI551</t>
        </is>
      </c>
      <c r="G20" s="19" t="inlineStr">
        <is>
          <t>https://www.boulanger.com/ref/142796?at_medium=gea&amp;at_campaign=lemrock</t>
        </is>
      </c>
      <c r="H20" s="20" t="n">
        <v>21965</v>
      </c>
      <c r="I20" s="20" t="n">
        <v>138</v>
      </c>
      <c r="J20" s="21">
        <f>IF(H20=0,0,I20/H20)</f>
        <v/>
      </c>
    </row>
    <row r="21">
      <c r="A21" s="17" t="inlineStr">
        <is>
          <t>Boulanger</t>
        </is>
      </c>
      <c r="B21" s="17" t="inlineStr">
        <is>
          <t>Live</t>
        </is>
      </c>
      <c r="C21" s="17" t="inlineStr">
        <is>
          <t>Boulanger</t>
        </is>
      </c>
      <c r="D21" s="17" t="inlineStr">
        <is>
          <t>Casques et écouteurs</t>
        </is>
      </c>
      <c r="E21" s="18" t="inlineStr">
        <is>
          <t>Casque SONY MDR-ZX310 noir</t>
        </is>
      </c>
      <c r="F21" s="17" t="inlineStr">
        <is>
          <t>Un son hors du commun, de qualité exceptionnelle, et une fiabilité à toute épreuve, c'est ce que vous promet le casque Sony MDRZX310. Bénéficiez de la qualité d'une grande marque</t>
        </is>
      </c>
      <c r="G21" s="19" t="inlineStr">
        <is>
          <t>https://www.boulanger.com/ref/1028500?at_medium=gea&amp;at_campaign=lemrock</t>
        </is>
      </c>
      <c r="H21" s="20" t="n">
        <v>21772</v>
      </c>
      <c r="I21" s="20" t="n">
        <v>135</v>
      </c>
      <c r="J21" s="21">
        <f>IF(H21=0,0,I21/H21)</f>
        <v/>
      </c>
    </row>
    <row r="22">
      <c r="A22" s="17" t="inlineStr">
        <is>
          <t>Boulanger</t>
        </is>
      </c>
      <c r="B22" s="17" t="inlineStr">
        <is>
          <t>Live</t>
        </is>
      </c>
      <c r="C22" s="17" t="inlineStr">
        <is>
          <t>Boulanger</t>
        </is>
      </c>
      <c r="D22" s="17" t="inlineStr">
        <is>
          <t>Consumer Electronics</t>
        </is>
      </c>
      <c r="E22" s="18" t="inlineStr">
        <is>
          <t>Informatique, son et téléphonie prix bas | Boulanger</t>
        </is>
      </c>
      <c r="F22" s="17" t="inlineStr">
        <is>
          <t>PC portable MSI CreatorPro X18 HX A14VMG : une station de travail conçue pour les créateurs, avec la puissance qu’exigent les gros fichiers.</t>
        </is>
      </c>
      <c r="G22" s="19" t="inlineStr">
        <is>
          <t>https://www.boulanger.com/ref/1209059?at_medium=gea&amp;at_campaign=lemrock</t>
        </is>
      </c>
      <c r="H22" s="20" t="n">
        <v>21679</v>
      </c>
      <c r="I22" s="20" t="n">
        <v>119</v>
      </c>
      <c r="J22" s="21">
        <f>IF(H22=0,0,I22/H22)</f>
        <v/>
      </c>
    </row>
    <row r="23">
      <c r="A23" s="17" t="inlineStr">
        <is>
          <t>Boulanger</t>
        </is>
      </c>
      <c r="B23" s="17" t="inlineStr">
        <is>
          <t>Live</t>
        </is>
      </c>
      <c r="C23" s="17" t="inlineStr">
        <is>
          <t>Boulanger</t>
        </is>
      </c>
      <c r="D23" s="17" t="inlineStr">
        <is>
          <t>Enceintes et barres de son</t>
        </is>
      </c>
      <c r="E23" s="18" t="inlineStr">
        <is>
          <t>Enceinte portable JBL GO 5 Noir</t>
        </is>
      </c>
      <c r="F23" s="17" t="inlineStr">
        <is>
          <t>Petite enceinte JBL étanche qui se glisse dans un sac et suit vos sorties ; la garantie 2 ans et le SAV Boulanger 7 jours sur 7 sont compris dans le prix.</t>
        </is>
      </c>
      <c r="G23" s="19" t="inlineStr">
        <is>
          <t>https://www.boulanger.com/ref/1237495?at_medium=gea&amp;at_campaign=lemrock</t>
        </is>
      </c>
      <c r="H23" s="20" t="n">
        <v>21608</v>
      </c>
      <c r="I23" s="20" t="n">
        <v>113</v>
      </c>
      <c r="J23" s="21">
        <f>IF(H23=0,0,I23/H23)</f>
        <v/>
      </c>
    </row>
    <row r="24">
      <c r="A24" s="17" t="inlineStr">
        <is>
          <t>Boulanger</t>
        </is>
      </c>
      <c r="B24" s="17" t="inlineStr">
        <is>
          <t>Live</t>
        </is>
      </c>
      <c r="C24" s="17" t="inlineStr">
        <is>
          <t>Boulanger</t>
        </is>
      </c>
      <c r="D24" s="17" t="inlineStr">
        <is>
          <t>Consommables et pièces détachées</t>
        </is>
      </c>
      <c r="E24" s="18" t="inlineStr">
        <is>
          <t>Clavier+Souris LOGITECH MK330</t>
        </is>
      </c>
      <c r="F24" s="17" t="inlineStr">
        <is>
          <t>Logitech Wireless Combo MK330. L'ensemble clavier/souris qui combine divertissement et portabilité. Les 11 touches de raccourci et les 12 touches F programmables vous permettent</t>
        </is>
      </c>
      <c r="G24" s="19" t="inlineStr">
        <is>
          <t>https://www.boulanger.com/ref/137017?at_medium=gea&amp;at_campaign=lemrock</t>
        </is>
      </c>
      <c r="H24" s="20" t="n">
        <v>21290</v>
      </c>
      <c r="I24" s="20" t="n">
        <v>122</v>
      </c>
      <c r="J24" s="21">
        <f>IF(H24=0,0,I24/H24)</f>
        <v/>
      </c>
    </row>
    <row r="25">
      <c r="A25" s="17" t="inlineStr">
        <is>
          <t>Boulanger</t>
        </is>
      </c>
      <c r="B25" s="17" t="inlineStr">
        <is>
          <t>Live</t>
        </is>
      </c>
      <c r="C25" s="17" t="inlineStr">
        <is>
          <t>Boulanger</t>
        </is>
      </c>
      <c r="D25" s="17" t="inlineStr">
        <is>
          <t>Consommables et pièces détachées</t>
        </is>
      </c>
      <c r="E25" s="18" t="inlineStr">
        <is>
          <t>Kit POLTI 4 serpillères &amp; 6 bonnettes</t>
        </is>
      </c>
      <c r="F25" s="17" t="inlineStr">
        <is>
          <t>Le kit se compose de 4 serpillières et 6 bonnettes : les serpillières sont conçues pour nettoyer tous les types de sols, les bonnettes, pour le nettoyage des tissus d'ameublement</t>
        </is>
      </c>
      <c r="G25" s="19" t="inlineStr">
        <is>
          <t>https://www.boulanger.com/ref/149847?at_medium=gea&amp;at_campaign=lemrock</t>
        </is>
      </c>
      <c r="H25" s="20" t="n">
        <v>20986</v>
      </c>
      <c r="I25" s="20" t="n">
        <v>145</v>
      </c>
      <c r="J25" s="21">
        <f>IF(H25=0,0,I25/H25)</f>
        <v/>
      </c>
    </row>
    <row r="26">
      <c r="A26" s="17" t="inlineStr">
        <is>
          <t>Boulanger</t>
        </is>
      </c>
      <c r="B26" s="17" t="inlineStr">
        <is>
          <t>Live</t>
        </is>
      </c>
      <c r="C26" s="17" t="inlineStr">
        <is>
          <t>Boulanger</t>
        </is>
      </c>
      <c r="D26" s="17" t="inlineStr">
        <is>
          <t>Montres connectées et sport</t>
        </is>
      </c>
      <c r="E26" s="18" t="inlineStr">
        <is>
          <t>Montre santé WITHINGS Scanwatch Light Blanche</t>
        </is>
      </c>
      <c r="F26" s="17" t="inlineStr">
        <is>
          <t>Montre hybride qui suit votre cœur, votre sommeil et vos pas, avec une autonomie de plusieurs semaines. SAV 7j/7 et garantie 2 ans chez Boulanger.</t>
        </is>
      </c>
      <c r="G26" s="19" t="inlineStr">
        <is>
          <t>https://www.boulanger.com/ref/1195702?at_medium=gea&amp;at_campaign=lemrock</t>
        </is>
      </c>
      <c r="H26" s="20" t="n">
        <v>20922</v>
      </c>
      <c r="I26" s="20" t="n">
        <v>110</v>
      </c>
      <c r="J26" s="21">
        <f>IF(H26=0,0,I26/H26)</f>
        <v/>
      </c>
    </row>
    <row r="27">
      <c r="A27" s="17" t="inlineStr">
        <is>
          <t>Boulanger</t>
        </is>
      </c>
      <c r="B27" s="17" t="inlineStr">
        <is>
          <t>Live</t>
        </is>
      </c>
      <c r="C27" s="17" t="inlineStr">
        <is>
          <t>Boulanger</t>
        </is>
      </c>
      <c r="D27" s="17" t="inlineStr">
        <is>
          <t>Consumer Electronics</t>
        </is>
      </c>
      <c r="E27" s="18" t="inlineStr">
        <is>
          <t>Informatique, son et téléphonie prix bas | Boulanger</t>
        </is>
      </c>
      <c r="F27" s="17" t="inlineStr">
        <is>
          <t>Écran portable Asus ZenScreen MB16AWP de 16 pouces, batterie et Wi-Fi intégrés : le second écran léger de ceux qui travaillent en déplacement.</t>
        </is>
      </c>
      <c r="G27" s="19" t="inlineStr">
        <is>
          <t>https://www.boulanger.com/ref/1179218?at_medium=gea&amp;at_campaign=lemrock</t>
        </is>
      </c>
      <c r="H27" s="20" t="n">
        <v>20897</v>
      </c>
      <c r="I27" s="20" t="n">
        <v>126</v>
      </c>
      <c r="J27" s="21">
        <f>IF(H27=0,0,I27/H27)</f>
        <v/>
      </c>
    </row>
    <row r="28">
      <c r="A28" s="17" t="inlineStr">
        <is>
          <t>Boulanger</t>
        </is>
      </c>
      <c r="B28" s="17" t="inlineStr">
        <is>
          <t>Live</t>
        </is>
      </c>
      <c r="C28" s="17" t="inlineStr">
        <is>
          <t>Boulanger</t>
        </is>
      </c>
      <c r="D28" s="17" t="inlineStr">
        <is>
          <t>Téléviseurs</t>
        </is>
      </c>
      <c r="E28" s="18" t="inlineStr">
        <is>
          <t>TV SONY KD32W800P1-32 pouces (80cm)</t>
        </is>
      </c>
      <c r="F28" s="17" t="inlineStr">
        <is>
          <t>Véritable centre de divertissement, le téléviseur Sony KD32W800P1 d'une diagonale de 80 cm est idéal pour profiter de vos films et de vos séries ou pour jouer, y compris en HDR.</t>
        </is>
      </c>
      <c r="G28" s="19" t="inlineStr">
        <is>
          <t>https://www.boulanger.com/ref/1187547?at_medium=gea&amp;at_campaign=lemrock</t>
        </is>
      </c>
      <c r="H28" s="20" t="n">
        <v>20730</v>
      </c>
      <c r="I28" s="20" t="n">
        <v>121</v>
      </c>
      <c r="J28" s="21">
        <f>IF(H28=0,0,I28/H28)</f>
        <v/>
      </c>
    </row>
    <row r="29">
      <c r="A29" s="17" t="inlineStr">
        <is>
          <t>Boulanger</t>
        </is>
      </c>
      <c r="B29" s="17" t="inlineStr">
        <is>
          <t>Live</t>
        </is>
      </c>
      <c r="C29" s="17" t="inlineStr">
        <is>
          <t>Boulanger</t>
        </is>
      </c>
      <c r="D29" s="17" t="inlineStr">
        <is>
          <t>Gros électroménager</t>
        </is>
      </c>
      <c r="E29" s="18" t="inlineStr">
        <is>
          <t>Combi BOSCH KGN33NWEB</t>
        </is>
      </c>
      <c r="F29" s="17" t="inlineStr">
        <is>
          <t>Allez à l'essentiel ! Grâce au Combi BOSCH KGN33NWEB, vous disposerez d'un appareil polyvalent pour conserver simplement une grande quantité d'aliments. Un rangement simplifié En</t>
        </is>
      </c>
      <c r="G29" s="19" t="inlineStr">
        <is>
          <t>https://www.boulanger.com/ref/1147684?at_medium=gea&amp;at_campaign=lemrock</t>
        </is>
      </c>
      <c r="H29" s="20" t="n">
        <v>20730</v>
      </c>
      <c r="I29" s="20" t="n">
        <v>114</v>
      </c>
      <c r="J29" s="21">
        <f>IF(H29=0,0,I29/H29)</f>
        <v/>
      </c>
    </row>
    <row r="30">
      <c r="A30" s="17" t="inlineStr">
        <is>
          <t>Boulanger</t>
        </is>
      </c>
      <c r="B30" s="17" t="inlineStr">
        <is>
          <t>Live</t>
        </is>
      </c>
      <c r="C30" s="17" t="inlineStr">
        <is>
          <t>Boulanger</t>
        </is>
      </c>
      <c r="D30" s="17" t="inlineStr">
        <is>
          <t>Gros électroménager</t>
        </is>
      </c>
      <c r="E30" s="18" t="inlineStr">
        <is>
          <t>Grde Cuisine FALCON DELUX110 MIXT NOIR L</t>
        </is>
      </c>
      <c r="F30" s="17" t="inlineStr">
        <is>
          <t>FALCON DELUX110 MIXT NOIR LAITON: L'excellence du savoir-faire britannique en cuisine Design et performances au coeur de la tradition Le Piano de cuisson mixte FALCON DELUX110</t>
        </is>
      </c>
      <c r="G30" s="19" t="inlineStr">
        <is>
          <t>https://www.boulanger.com/ref/777415?at_medium=gea&amp;at_campaign=lemrock</t>
        </is>
      </c>
      <c r="H30" s="20" t="n">
        <v>20702</v>
      </c>
      <c r="I30" s="20" t="n">
        <v>112</v>
      </c>
      <c r="J30" s="21">
        <f>IF(H30=0,0,I30/H30)</f>
        <v/>
      </c>
    </row>
    <row r="31">
      <c r="A31" s="17" t="inlineStr">
        <is>
          <t>Boulanger</t>
        </is>
      </c>
      <c r="B31" s="17" t="inlineStr">
        <is>
          <t>Live</t>
        </is>
      </c>
      <c r="C31" s="17" t="inlineStr">
        <is>
          <t>Boulanger</t>
        </is>
      </c>
      <c r="D31" s="17" t="inlineStr">
        <is>
          <t>Petit électroménager cuisine</t>
        </is>
      </c>
      <c r="E31" s="18" t="inlineStr">
        <is>
          <t>Th-plongeur RIVIERA ET BAR TPL 350</t>
        </is>
      </c>
      <c r="F31" s="17" t="inlineStr">
        <is>
          <t>Thermoplongeur RIVIERA ET BAR TPL 350 : l'efficacité en toute simplicité Conception optimisée pour un usage quotidien Le Thermoplongeur RIVIERA ET BAR TPL 350, d'une puissance de</t>
        </is>
      </c>
      <c r="G31" s="19" t="inlineStr">
        <is>
          <t>https://www.boulanger.com/ref/51277?at_medium=gea&amp;at_campaign=lemrock</t>
        </is>
      </c>
      <c r="H31" s="20" t="n">
        <v>20655</v>
      </c>
      <c r="I31" s="20" t="n">
        <v>125</v>
      </c>
      <c r="J31" s="21">
        <f>IF(H31=0,0,I31/H31)</f>
        <v/>
      </c>
    </row>
    <row r="32">
      <c r="A32" s="17" t="inlineStr">
        <is>
          <t>Boulanger</t>
        </is>
      </c>
      <c r="B32" s="17" t="inlineStr">
        <is>
          <t>Live</t>
        </is>
      </c>
      <c r="C32" s="17" t="inlineStr">
        <is>
          <t>Boulanger</t>
        </is>
      </c>
      <c r="D32" s="17" t="inlineStr">
        <is>
          <t>Gros électroménager</t>
        </is>
      </c>
      <c r="E32" s="18" t="inlineStr">
        <is>
          <t>Four Email SMEG SF6905P1</t>
        </is>
      </c>
      <c r="F32" s="17" t="inlineStr">
        <is>
          <t>Place au goût ! Smeg met entre vos mains un four ultra-performant avec le SF6905P1. Des performances professionnelles À vous les repas de chef étoilé dans le confort de votre</t>
        </is>
      </c>
      <c r="G32" s="19" t="inlineStr">
        <is>
          <t>https://www.boulanger.com/ref/1096918?at_medium=gea&amp;at_campaign=lemrock</t>
        </is>
      </c>
      <c r="H32" s="20" t="n">
        <v>20631</v>
      </c>
      <c r="I32" s="20" t="n">
        <v>136</v>
      </c>
      <c r="J32" s="21">
        <f>IF(H32=0,0,I32/H32)</f>
        <v/>
      </c>
    </row>
    <row r="33">
      <c r="A33" s="17" t="inlineStr">
        <is>
          <t>Boulanger</t>
        </is>
      </c>
      <c r="B33" s="17" t="inlineStr">
        <is>
          <t>Live</t>
        </is>
      </c>
      <c r="C33" s="17" t="inlineStr">
        <is>
          <t>Boulanger</t>
        </is>
      </c>
      <c r="D33" s="17" t="inlineStr">
        <is>
          <t>Consumer Electronics</t>
        </is>
      </c>
      <c r="E33" s="18" t="inlineStr">
        <is>
          <t>Informatique, son et téléphonie prix bas | Boulanger</t>
        </is>
      </c>
      <c r="F33" s="17" t="inlineStr">
        <is>
          <t>Ensemble clavier-souris sans fil Logitech MK330 : 11 touches de raccourci et 12 touches F programmables, pour travailler comme pour vous divertir.</t>
        </is>
      </c>
      <c r="G33" s="19" t="inlineStr">
        <is>
          <t>https://www.boulanger.com/ref/137017?at_medium=gea&amp;at_campaign=lemrock</t>
        </is>
      </c>
      <c r="H33" s="20" t="n">
        <v>20537</v>
      </c>
      <c r="I33" s="20" t="n">
        <v>137</v>
      </c>
      <c r="J33" s="21">
        <f>IF(H33=0,0,I33/H33)</f>
        <v/>
      </c>
    </row>
    <row r="34">
      <c r="A34" s="17" t="inlineStr">
        <is>
          <t>Boulanger</t>
        </is>
      </c>
      <c r="B34" s="17" t="inlineStr">
        <is>
          <t>Live</t>
        </is>
      </c>
      <c r="C34" s="17" t="inlineStr">
        <is>
          <t>Boulanger</t>
        </is>
      </c>
      <c r="D34" s="17" t="inlineStr">
        <is>
          <t>Petit électroménager cuisine</t>
        </is>
      </c>
      <c r="E34" s="18" t="inlineStr">
        <is>
          <t>Cafetière BIALETTI french press Preziosa</t>
        </is>
      </c>
      <c r="F34" s="17" t="inlineStr">
        <is>
          <t>Découvrez la cafetière à piston BIALETTI French Press Preziosa 1 Litre Un design élégant et fonctionnel La cafetière à piston BIALETTI French Press Preziosa 1 Litre est un</t>
        </is>
      </c>
      <c r="G34" s="19" t="inlineStr">
        <is>
          <t>https://www.boulanger.com/ref/138444?at_medium=gea&amp;at_campaign=lemrock</t>
        </is>
      </c>
      <c r="H34" s="20" t="n">
        <v>20506</v>
      </c>
      <c r="I34" s="20" t="n">
        <v>120</v>
      </c>
      <c r="J34" s="21">
        <f>IF(H34=0,0,I34/H34)</f>
        <v/>
      </c>
    </row>
    <row r="35">
      <c r="A35" s="17" t="inlineStr">
        <is>
          <t>Boulanger</t>
        </is>
      </c>
      <c r="B35" s="17" t="inlineStr">
        <is>
          <t>Live</t>
        </is>
      </c>
      <c r="C35" s="17" t="inlineStr">
        <is>
          <t>Boulanger</t>
        </is>
      </c>
      <c r="D35" s="17" t="inlineStr">
        <is>
          <t>Consumer Electronics</t>
        </is>
      </c>
      <c r="E35" s="18" t="inlineStr">
        <is>
          <t>Smartphones, TV et high-tech au meilleur prix | Boulanger</t>
        </is>
      </c>
      <c r="F35" s="17" t="inlineStr">
        <is>
          <t>Le Samsung Galaxy S24 Ultra place l’intelligence artificielle mobile dans votre main, avec une productivité et une créativité repensées.</t>
        </is>
      </c>
      <c r="G35" s="19" t="inlineStr">
        <is>
          <t>https://www.boulanger.com/ref/1200027?at_medium=gea&amp;at_campaign=lemrock</t>
        </is>
      </c>
      <c r="H35" s="20" t="n">
        <v>20505</v>
      </c>
      <c r="I35" s="20" t="n">
        <v>122</v>
      </c>
      <c r="J35" s="21">
        <f>IF(H35=0,0,I35/H35)</f>
        <v/>
      </c>
    </row>
    <row r="36">
      <c r="A36" s="17" t="inlineStr">
        <is>
          <t>Boulanger</t>
        </is>
      </c>
      <c r="B36" s="17" t="inlineStr">
        <is>
          <t>Live</t>
        </is>
      </c>
      <c r="C36" s="17" t="inlineStr">
        <is>
          <t>Boulanger</t>
        </is>
      </c>
      <c r="D36" s="17" t="inlineStr">
        <is>
          <t>Electronics and Appliance Stores</t>
        </is>
      </c>
      <c r="E36" s="18" t="inlineStr">
        <is>
          <t>Cafetière BIALETTI french press Preziosa</t>
        </is>
      </c>
      <c r="F36" s="17" t="inlineStr">
        <is>
          <t>Découvrez la cafetière à piston BIALETTI French Press Preziosa 1 Litre Un design élégant et fonctionnel La cafetière à piston BIALETTI French Press Preziosa 1 Litre est un</t>
        </is>
      </c>
      <c r="G36" s="19" t="inlineStr">
        <is>
          <t>https://www.boulanger.com/ref/138444?at_medium=gea&amp;at_campaign=lemrock</t>
        </is>
      </c>
      <c r="H36" s="20" t="n">
        <v>20432</v>
      </c>
      <c r="I36" s="20" t="n">
        <v>107</v>
      </c>
      <c r="J36" s="21">
        <f>IF(H36=0,0,I36/H36)</f>
        <v/>
      </c>
    </row>
    <row r="37">
      <c r="A37" s="17" t="inlineStr">
        <is>
          <t>Boulanger</t>
        </is>
      </c>
      <c r="B37" s="17" t="inlineStr">
        <is>
          <t>Live</t>
        </is>
      </c>
      <c r="C37" s="17" t="inlineStr">
        <is>
          <t>Boulanger</t>
        </is>
      </c>
      <c r="D37" s="17" t="inlineStr">
        <is>
          <t>Headphones</t>
        </is>
      </c>
      <c r="E37" s="18" t="inlineStr">
        <is>
          <t>Casques et enceintes au meilleur prix | Boulanger</t>
        </is>
      </c>
      <c r="F37" s="17" t="inlineStr">
        <is>
          <t>Enceinte connectée Yamaha MusicCast 20 blanche : deux haut-parleurs deux voies et une écoute sans fil, dans la pièce que vous voulez.</t>
        </is>
      </c>
      <c r="G37" s="19" t="inlineStr">
        <is>
          <t>https://www.boulanger.com/ref/1112317?at_medium=gea&amp;at_campaign=lemrock</t>
        </is>
      </c>
      <c r="H37" s="20" t="n">
        <v>20407</v>
      </c>
      <c r="I37" s="20" t="n">
        <v>95</v>
      </c>
      <c r="J37" s="21">
        <f>IF(H37=0,0,I37/H37)</f>
        <v/>
      </c>
    </row>
    <row r="38">
      <c r="A38" s="17" t="inlineStr">
        <is>
          <t>Boulanger</t>
        </is>
      </c>
      <c r="B38" s="17" t="inlineStr">
        <is>
          <t>Live</t>
        </is>
      </c>
      <c r="C38" s="17" t="inlineStr">
        <is>
          <t>Boulanger</t>
        </is>
      </c>
      <c r="D38" s="17" t="inlineStr">
        <is>
          <t>Petit électroménager cuisine</t>
        </is>
      </c>
      <c r="E38" s="18" t="inlineStr">
        <is>
          <t>Gril STAUB 24x24cm manche silicone</t>
        </is>
      </c>
      <c r="F38" s="17" t="inlineStr">
        <is>
          <t>Poêle STAUB 24x24cm avec manche en silicone : l'allié robuste de votre cuisine Conception en fonte émaillée pour une cuisson parfaite La Poêle STAUB 24x24cm se distingue par sa</t>
        </is>
      </c>
      <c r="G38" s="19" t="inlineStr">
        <is>
          <t>https://www.boulanger.com/ref/846110?at_medium=gea&amp;at_campaign=lemrock</t>
        </is>
      </c>
      <c r="H38" s="20" t="n">
        <v>20297</v>
      </c>
      <c r="I38" s="20" t="n">
        <v>143</v>
      </c>
      <c r="J38" s="21">
        <f>IF(H38=0,0,I38/H38)</f>
        <v/>
      </c>
    </row>
    <row r="39">
      <c r="A39" s="17" t="inlineStr">
        <is>
          <t>Boulanger</t>
        </is>
      </c>
      <c r="B39" s="17" t="inlineStr">
        <is>
          <t>Live</t>
        </is>
      </c>
      <c r="C39" s="17" t="inlineStr">
        <is>
          <t>Boulanger</t>
        </is>
      </c>
      <c r="D39" s="17" t="inlineStr">
        <is>
          <t>Consumer Electronics</t>
        </is>
      </c>
      <c r="E39" s="18" t="inlineStr">
        <is>
          <t>Informatique, son et téléphonie prix bas | Boulanger</t>
        </is>
      </c>
      <c r="F39" s="17" t="inlineStr">
        <is>
          <t>Câble Belkin jack 3,5 mm à cordon spiralé noir d’un mètre : il relie tous vos appareils sonores et joue la robustesse autant que le look vintage.</t>
        </is>
      </c>
      <c r="G39" s="19" t="inlineStr">
        <is>
          <t>https://www.boulanger.com/ref/284091?at_medium=gea&amp;at_campaign=lemrock</t>
        </is>
      </c>
      <c r="H39" s="20" t="n">
        <v>20219</v>
      </c>
      <c r="I39" s="20" t="n">
        <v>96</v>
      </c>
      <c r="J39" s="21">
        <f>IF(H39=0,0,I39/H39)</f>
        <v/>
      </c>
    </row>
    <row r="40">
      <c r="A40" s="17" t="inlineStr">
        <is>
          <t>Boulanger</t>
        </is>
      </c>
      <c r="B40" s="17" t="inlineStr">
        <is>
          <t>Live</t>
        </is>
      </c>
      <c r="C40" s="17" t="inlineStr">
        <is>
          <t>Boulanger</t>
        </is>
      </c>
      <c r="D40" s="17" t="inlineStr">
        <is>
          <t>Electronics and Appliance Stores</t>
        </is>
      </c>
      <c r="E40" s="18" t="inlineStr">
        <is>
          <t>Magasin high-tech et électroménager prix bas | Boulanger</t>
        </is>
      </c>
      <c r="F40" s="17" t="inlineStr">
        <is>
          <t>Le combiné Bosch KGN33NWEB conserve une grande quantité d’aliments avec un rangement simplifié, un appareil polyvalent qui va à l’essentiel.</t>
        </is>
      </c>
      <c r="G40" s="19" t="inlineStr">
        <is>
          <t>https://www.boulanger.com/ref/1147684?at_medium=gea&amp;at_campaign=lemrock</t>
        </is>
      </c>
      <c r="H40" s="20" t="n">
        <v>19955</v>
      </c>
      <c r="I40" s="20" t="n">
        <v>94</v>
      </c>
      <c r="J40" s="21">
        <f>IF(H40=0,0,I40/H40)</f>
        <v/>
      </c>
    </row>
    <row r="41">
      <c r="A41" s="17" t="inlineStr">
        <is>
          <t>Boulanger</t>
        </is>
      </c>
      <c r="B41" s="17" t="inlineStr">
        <is>
          <t>Live</t>
        </is>
      </c>
      <c r="C41" s="17" t="inlineStr">
        <is>
          <t>Boulanger</t>
        </is>
      </c>
      <c r="D41" s="17" t="inlineStr">
        <is>
          <t>Consommables et pièces détachées</t>
        </is>
      </c>
      <c r="E41" s="18" t="inlineStr">
        <is>
          <t>Alimentation WATT AND CO Uni.3000 mAh</t>
        </is>
      </c>
      <c r="F41" s="17" t="inlineStr">
        <is>
          <t>Chargeur Secteur WATT AND CO Uni.3000 mAh : La Solution de Charge Universelle Polyvalence et Compatibilité Étendue Le Chargeur secteur WATT AND CO Uni.3000 mAh est conçu pour</t>
        </is>
      </c>
      <c r="G41" s="19" t="inlineStr">
        <is>
          <t>https://www.boulanger.com/ref/151244?at_medium=gea&amp;at_campaign=lemrock</t>
        </is>
      </c>
      <c r="H41" s="20" t="n">
        <v>19927</v>
      </c>
      <c r="I41" s="20" t="n">
        <v>121</v>
      </c>
      <c r="J41" s="21">
        <f>IF(H41=0,0,I41/H41)</f>
        <v/>
      </c>
    </row>
    <row r="42">
      <c r="A42" s="17" t="inlineStr">
        <is>
          <t>Boulanger</t>
        </is>
      </c>
      <c r="B42" s="17" t="inlineStr">
        <is>
          <t>Live</t>
        </is>
      </c>
      <c r="C42" s="17" t="inlineStr">
        <is>
          <t>Boulanger</t>
        </is>
      </c>
      <c r="D42" s="17" t="inlineStr">
        <is>
          <t>Electronics and Appliance Stores</t>
        </is>
      </c>
      <c r="E42" s="18" t="inlineStr">
        <is>
          <t>High-tech et électroménager au meilleur prix | Boulanger</t>
        </is>
      </c>
      <c r="F42" s="17" t="inlineStr">
        <is>
          <t>Cartouche d’encre Canon CLI551 XL cyan, haute capacité : de quoi imprimer longtemps sans rouvrir l’imprimante, avec la qualité d’une encre d’origine.</t>
        </is>
      </c>
      <c r="G42" s="19" t="inlineStr">
        <is>
          <t>https://www.boulanger.com/ref/142796?at_medium=gea&amp;at_campaign=lemrock</t>
        </is>
      </c>
      <c r="H42" s="20" t="n">
        <v>19766</v>
      </c>
      <c r="I42" s="20" t="n">
        <v>126</v>
      </c>
      <c r="J42" s="21">
        <f>IF(H42=0,0,I42/H42)</f>
        <v/>
      </c>
    </row>
    <row r="43">
      <c r="A43" s="17" t="inlineStr">
        <is>
          <t>Boulanger</t>
        </is>
      </c>
      <c r="B43" s="17" t="inlineStr">
        <is>
          <t>Live</t>
        </is>
      </c>
      <c r="C43" s="17" t="inlineStr">
        <is>
          <t>Boulanger</t>
        </is>
      </c>
      <c r="D43" s="17" t="inlineStr">
        <is>
          <t>Electronics and Appliance Stores</t>
        </is>
      </c>
      <c r="E43" s="18" t="inlineStr">
        <is>
          <t>High-tech et électroménager au meilleur prix | Boulanger</t>
        </is>
      </c>
      <c r="F43" s="17" t="inlineStr">
        <is>
          <t>PC portable MSI CreatorPro X18 HX A14VMG : une station de travail conçue pour les créateurs, avec la puissance qu’exigent les gros fichiers.</t>
        </is>
      </c>
      <c r="G43" s="19" t="inlineStr">
        <is>
          <t>https://www.boulanger.com/ref/1209059?at_medium=gea&amp;at_campaign=lemrock</t>
        </is>
      </c>
      <c r="H43" s="20" t="n">
        <v>19741</v>
      </c>
      <c r="I43" s="20" t="n">
        <v>113</v>
      </c>
      <c r="J43" s="21">
        <f>IF(H43=0,0,I43/H43)</f>
        <v/>
      </c>
    </row>
    <row r="44">
      <c r="A44" s="17" t="inlineStr">
        <is>
          <t>Boulanger</t>
        </is>
      </c>
      <c r="B44" s="17" t="inlineStr">
        <is>
          <t>Live</t>
        </is>
      </c>
      <c r="C44" s="17" t="inlineStr">
        <is>
          <t>Boulanger</t>
        </is>
      </c>
      <c r="D44" s="17" t="inlineStr">
        <is>
          <t>Consumer Electronics</t>
        </is>
      </c>
      <c r="E44" s="18" t="inlineStr">
        <is>
          <t>Smartphones, TV et high-tech au meilleur prix | Boulanger</t>
        </is>
      </c>
      <c r="F44" s="17" t="inlineStr">
        <is>
          <t>Véritable centre de divertissement, le téléviseur Sony KD32W800P1 de 80 cm de diagonale passe des films aux séries et aux jeux, HDR compris.</t>
        </is>
      </c>
      <c r="G44" s="19" t="inlineStr">
        <is>
          <t>https://www.boulanger.com/ref/1187547?at_medium=gea&amp;at_campaign=lemrock</t>
        </is>
      </c>
      <c r="H44" s="20" t="n">
        <v>19684</v>
      </c>
      <c r="I44" s="20" t="n">
        <v>129</v>
      </c>
      <c r="J44" s="21">
        <f>IF(H44=0,0,I44/H44)</f>
        <v/>
      </c>
    </row>
    <row r="45">
      <c r="A45" s="17" t="inlineStr">
        <is>
          <t>Boulanger</t>
        </is>
      </c>
      <c r="B45" s="17" t="inlineStr">
        <is>
          <t>Live</t>
        </is>
      </c>
      <c r="C45" s="17" t="inlineStr">
        <is>
          <t>Boulanger</t>
        </is>
      </c>
      <c r="D45" s="17" t="inlineStr">
        <is>
          <t>Electronics and Appliance Stores</t>
        </is>
      </c>
      <c r="E45" s="18" t="inlineStr">
        <is>
          <t>High-tech et électroménager au meilleur prix | Boulanger</t>
        </is>
      </c>
      <c r="F45" s="17" t="inlineStr">
        <is>
          <t>Ensemble clavier-souris sans fil Logitech MK330 : 11 touches de raccourci et 12 touches F programmables, pour travailler comme pour vous divertir.</t>
        </is>
      </c>
      <c r="G45" s="19" t="inlineStr">
        <is>
          <t>https://www.boulanger.com/ref/137017?at_medium=gea&amp;at_campaign=lemrock</t>
        </is>
      </c>
      <c r="H45" s="20" t="n">
        <v>19471</v>
      </c>
      <c r="I45" s="20" t="n">
        <v>101</v>
      </c>
      <c r="J45" s="21">
        <f>IF(H45=0,0,I45/H45)</f>
        <v/>
      </c>
    </row>
    <row r="46">
      <c r="A46" s="17" t="inlineStr">
        <is>
          <t>Boulanger</t>
        </is>
      </c>
      <c r="B46" s="17" t="inlineStr">
        <is>
          <t>Live</t>
        </is>
      </c>
      <c r="C46" s="17" t="inlineStr">
        <is>
          <t>Boulanger</t>
        </is>
      </c>
      <c r="D46" s="17" t="inlineStr">
        <is>
          <t>Consumer Electronics</t>
        </is>
      </c>
      <c r="E46" s="18" t="inlineStr">
        <is>
          <t>Informatique, son et téléphonie prix bas | Boulanger</t>
        </is>
      </c>
      <c r="F46" s="17" t="inlineStr">
        <is>
          <t>Enceinte connectée Yamaha MusicCast 20 blanche : deux haut-parleurs deux voies et une écoute sans fil, dans la pièce que vous voulez.</t>
        </is>
      </c>
      <c r="G46" s="19" t="inlineStr">
        <is>
          <t>https://www.boulanger.com/ref/1112317?at_medium=gea&amp;at_campaign=lemrock</t>
        </is>
      </c>
      <c r="H46" s="20" t="n">
        <v>19407</v>
      </c>
      <c r="I46" s="20" t="n">
        <v>109</v>
      </c>
      <c r="J46" s="21">
        <f>IF(H46=0,0,I46/H46)</f>
        <v/>
      </c>
    </row>
    <row r="47">
      <c r="A47" s="17" t="inlineStr">
        <is>
          <t>Boulanger</t>
        </is>
      </c>
      <c r="B47" s="17" t="inlineStr">
        <is>
          <t>Live</t>
        </is>
      </c>
      <c r="C47" s="17" t="inlineStr">
        <is>
          <t>Boulanger</t>
        </is>
      </c>
      <c r="D47" s="17" t="inlineStr">
        <is>
          <t>Consumer Electronics</t>
        </is>
      </c>
      <c r="E47" s="18" t="inlineStr">
        <is>
          <t>Informatique, son et téléphonie prix bas | Boulanger</t>
        </is>
      </c>
      <c r="F47" s="17" t="inlineStr">
        <is>
          <t>Cartouche d’encre Canon CLI551 XL cyan, haute capacité : de quoi imprimer longtemps sans rouvrir l’imprimante, avec la qualité d’une encre d’origine.</t>
        </is>
      </c>
      <c r="G47" s="19" t="inlineStr">
        <is>
          <t>https://www.boulanger.com/ref/142796?at_medium=gea&amp;at_campaign=lemrock</t>
        </is>
      </c>
      <c r="H47" s="20" t="n">
        <v>19336</v>
      </c>
      <c r="I47" s="20" t="n">
        <v>120</v>
      </c>
      <c r="J47" s="21">
        <f>IF(H47=0,0,I47/H47)</f>
        <v/>
      </c>
    </row>
    <row r="48">
      <c r="A48" s="17" t="inlineStr">
        <is>
          <t>Boulanger</t>
        </is>
      </c>
      <c r="B48" s="17" t="inlineStr">
        <is>
          <t>Live</t>
        </is>
      </c>
      <c r="C48" s="17" t="inlineStr">
        <is>
          <t>Boulanger</t>
        </is>
      </c>
      <c r="D48" s="17" t="inlineStr">
        <is>
          <t>Household Appliances</t>
        </is>
      </c>
      <c r="E48" s="18" t="inlineStr">
        <is>
          <t>Électroménager prix bas | Boulanger</t>
        </is>
      </c>
      <c r="F48" s="17" t="inlineStr">
        <is>
          <t>Réfrigérateur combiné Bosch KGN33NWEB : de la place pour conserver une grande quantité d’aliments et un rangement simplifié sur toute la hauteur.</t>
        </is>
      </c>
      <c r="G48" s="19" t="inlineStr">
        <is>
          <t>https://www.boulanger.com/ref/1147684?at_medium=gea&amp;at_campaign=lemrock</t>
        </is>
      </c>
      <c r="H48" s="20" t="n">
        <v>19292</v>
      </c>
      <c r="I48" s="20" t="n">
        <v>110</v>
      </c>
      <c r="J48" s="21">
        <f>IF(H48=0,0,I48/H48)</f>
        <v/>
      </c>
    </row>
    <row r="49">
      <c r="A49" s="17" t="inlineStr">
        <is>
          <t>Boulanger</t>
        </is>
      </c>
      <c r="B49" s="17" t="inlineStr">
        <is>
          <t>Live</t>
        </is>
      </c>
      <c r="C49" s="17" t="inlineStr">
        <is>
          <t>Boulanger</t>
        </is>
      </c>
      <c r="D49" s="17" t="inlineStr">
        <is>
          <t>Electronics and Appliance Stores</t>
        </is>
      </c>
      <c r="E49" s="18" t="inlineStr">
        <is>
          <t>High-tech et électroménager au meilleur prix | Boulanger</t>
        </is>
      </c>
      <c r="F49" s="17" t="inlineStr">
        <is>
          <t>Thermoplongeur Riviera et Bar TPL 350 : de quoi chauffer une tasse d’eau là où vous êtes, sans bouilloire ni casserole, pour un usage régulier.</t>
        </is>
      </c>
      <c r="G49" s="19" t="inlineStr">
        <is>
          <t>https://www.boulanger.com/ref/51277?at_medium=gea&amp;at_campaign=lemrock</t>
        </is>
      </c>
      <c r="H49" s="20" t="n">
        <v>19233</v>
      </c>
      <c r="I49" s="20" t="n">
        <v>120</v>
      </c>
      <c r="J49" s="21">
        <f>IF(H49=0,0,I49/H49)</f>
        <v/>
      </c>
    </row>
    <row r="50">
      <c r="A50" s="17" t="inlineStr">
        <is>
          <t>Boulanger</t>
        </is>
      </c>
      <c r="B50" s="17" t="inlineStr">
        <is>
          <t>Live</t>
        </is>
      </c>
      <c r="C50" s="17" t="inlineStr">
        <is>
          <t>Boulanger</t>
        </is>
      </c>
      <c r="D50" s="17" t="inlineStr">
        <is>
          <t>Consumer Electronics</t>
        </is>
      </c>
      <c r="E50" s="18" t="inlineStr">
        <is>
          <t>Informatique, son et téléphonie prix bas | Boulanger</t>
        </is>
      </c>
      <c r="F50" s="17" t="inlineStr">
        <is>
          <t>Coque transparente en TPU semi-rigide pour Huawei P20 Lite : elle protège des chocs et des rayures en laissant l’accès aux boutons et aux ports.</t>
        </is>
      </c>
      <c r="G50" s="19" t="inlineStr">
        <is>
          <t>https://www.boulanger.com/ref/1106584?at_medium=gea&amp;at_campaign=lemrock</t>
        </is>
      </c>
      <c r="H50" s="20" t="n">
        <v>19164</v>
      </c>
      <c r="I50" s="20" t="n">
        <v>139</v>
      </c>
      <c r="J50" s="21">
        <f>IF(H50=0,0,I50/H50)</f>
        <v/>
      </c>
    </row>
    <row r="51">
      <c r="A51" s="17" t="inlineStr">
        <is>
          <t>Boulanger</t>
        </is>
      </c>
      <c r="B51" s="17" t="inlineStr">
        <is>
          <t>Live</t>
        </is>
      </c>
      <c r="C51" s="17" t="inlineStr">
        <is>
          <t>Boulanger</t>
        </is>
      </c>
      <c r="D51" s="17" t="inlineStr">
        <is>
          <t>Gros électroménager</t>
        </is>
      </c>
      <c r="E51" s="18" t="inlineStr">
        <is>
          <t>Gril STAUB 24x24cm manche silicone</t>
        </is>
      </c>
      <c r="F51" s="17" t="inlineStr">
        <is>
          <t>Poêle STAUB 24x24cm avec manche en silicone : l'allié robuste de votre cuisine Conception en fonte émaillée pour une cuisson parfaite La Poêle STAUB 24x24cm se distingue par sa</t>
        </is>
      </c>
      <c r="G51" s="19" t="inlineStr">
        <is>
          <t>https://www.boulanger.com/ref/846110?at_medium=gea&amp;at_campaign=lemrock</t>
        </is>
      </c>
      <c r="H51" s="20" t="n">
        <v>19090</v>
      </c>
      <c r="I51" s="20" t="n">
        <v>105</v>
      </c>
      <c r="J51" s="21">
        <f>IF(H51=0,0,I51/H51)</f>
        <v/>
      </c>
    </row>
    <row r="52">
      <c r="A52" s="17" t="inlineStr">
        <is>
          <t>Boulanger</t>
        </is>
      </c>
      <c r="B52" s="17" t="inlineStr">
        <is>
          <t>Live</t>
        </is>
      </c>
      <c r="C52" s="17" t="inlineStr">
        <is>
          <t>Boulanger</t>
        </is>
      </c>
      <c r="D52" s="17" t="inlineStr">
        <is>
          <t>Household Appliances</t>
        </is>
      </c>
      <c r="E52" s="18" t="inlineStr">
        <is>
          <t>Électroménager prix bas | Boulanger</t>
        </is>
      </c>
      <c r="F52" s="17" t="inlineStr">
        <is>
          <t>Thermoplongeur Riviera et Bar TPL 350 : de quoi chauffer une tasse d’eau là où vous êtes, sans bouilloire ni casserole, pour un usage régulier.</t>
        </is>
      </c>
      <c r="G52" s="19" t="inlineStr">
        <is>
          <t>https://www.boulanger.com/ref/51277?at_medium=gea&amp;at_campaign=lemrock</t>
        </is>
      </c>
      <c r="H52" s="20" t="n">
        <v>19065</v>
      </c>
      <c r="I52" s="20" t="n">
        <v>122</v>
      </c>
      <c r="J52" s="21">
        <f>IF(H52=0,0,I52/H52)</f>
        <v/>
      </c>
    </row>
    <row r="53">
      <c r="A53" s="17" t="inlineStr">
        <is>
          <t>Boulanger</t>
        </is>
      </c>
      <c r="B53" s="17" t="inlineStr">
        <is>
          <t>Live</t>
        </is>
      </c>
      <c r="C53" s="17" t="inlineStr">
        <is>
          <t>Boulanger</t>
        </is>
      </c>
      <c r="D53" s="17" t="inlineStr">
        <is>
          <t>Computers</t>
        </is>
      </c>
      <c r="E53" s="18" t="inlineStr">
        <is>
          <t>PC portables et ordinateurs fixes prix bas | Boulanger</t>
        </is>
      </c>
      <c r="F53" s="17" t="inlineStr">
        <is>
          <t>Le MSI CreatorPro X18 HX A14VMG-448FR met une performance de station de travail au service des créateurs, dans un format portable de 18 pouces.</t>
        </is>
      </c>
      <c r="G53" s="19" t="inlineStr">
        <is>
          <t>https://www.boulanger.com/ref/1209059?at_medium=gea&amp;at_campaign=lemrock</t>
        </is>
      </c>
      <c r="H53" s="20" t="n">
        <v>19047</v>
      </c>
      <c r="I53" s="20" t="n">
        <v>122</v>
      </c>
      <c r="J53" s="21">
        <f>IF(H53=0,0,I53/H53)</f>
        <v/>
      </c>
    </row>
    <row r="54">
      <c r="A54" s="17" t="inlineStr">
        <is>
          <t>Boulanger</t>
        </is>
      </c>
      <c r="B54" s="17" t="inlineStr">
        <is>
          <t>Live</t>
        </is>
      </c>
      <c r="C54" s="17" t="inlineStr">
        <is>
          <t>Boulanger</t>
        </is>
      </c>
      <c r="D54" s="17" t="inlineStr">
        <is>
          <t>Consumer Electronics</t>
        </is>
      </c>
      <c r="E54" s="18" t="inlineStr">
        <is>
          <t>Informatique, son et téléphonie prix bas | Boulanger</t>
        </is>
      </c>
      <c r="F54" s="17" t="inlineStr">
        <is>
          <t>Casque Sony MDR-ZX310 noir : un son ample et une fiabilité à toute épreuve, signés par une grande marque de l’audio depuis des décennies.</t>
        </is>
      </c>
      <c r="G54" s="19" t="inlineStr">
        <is>
          <t>https://www.boulanger.com/ref/1028500?at_medium=gea&amp;at_campaign=lemrock</t>
        </is>
      </c>
      <c r="H54" s="20" t="n">
        <v>18981</v>
      </c>
      <c r="I54" s="20" t="n">
        <v>116</v>
      </c>
      <c r="J54" s="21">
        <f>IF(H54=0,0,I54/H54)</f>
        <v/>
      </c>
    </row>
    <row r="55">
      <c r="A55" s="17" t="inlineStr">
        <is>
          <t>Boulanger</t>
        </is>
      </c>
      <c r="B55" s="17" t="inlineStr">
        <is>
          <t>Live</t>
        </is>
      </c>
      <c r="C55" s="17" t="inlineStr">
        <is>
          <t>Boulanger</t>
        </is>
      </c>
      <c r="D55" s="17" t="inlineStr">
        <is>
          <t>Household Appliances</t>
        </is>
      </c>
      <c r="E55" s="18" t="inlineStr">
        <is>
          <t>Aspirateurs et gros électroménager prix bas | Boulanger</t>
        </is>
      </c>
      <c r="F55" s="17" t="inlineStr">
        <is>
          <t>Le piano de cuisson mixte Falcon Delux 110 en noir et laiton porte l’excellence du savoir-faire britannique, entre design et performances.</t>
        </is>
      </c>
      <c r="G55" s="19" t="inlineStr">
        <is>
          <t>https://www.boulanger.com/ref/777415?at_medium=gea&amp;at_campaign=lemrock</t>
        </is>
      </c>
      <c r="H55" s="20" t="n">
        <v>18835</v>
      </c>
      <c r="I55" s="20" t="n">
        <v>105</v>
      </c>
      <c r="J55" s="21">
        <f>IF(H55=0,0,I55/H55)</f>
        <v/>
      </c>
    </row>
    <row r="56">
      <c r="A56" s="17" t="inlineStr">
        <is>
          <t>Boulanger</t>
        </is>
      </c>
      <c r="B56" s="17" t="inlineStr">
        <is>
          <t>Live</t>
        </is>
      </c>
      <c r="C56" s="17" t="inlineStr">
        <is>
          <t>Boulanger</t>
        </is>
      </c>
      <c r="D56" s="17" t="inlineStr">
        <is>
          <t>Electronics and Appliance Stores</t>
        </is>
      </c>
      <c r="E56" s="18" t="inlineStr">
        <is>
          <t>High-tech et électroménager au meilleur prix | Boulanger</t>
        </is>
      </c>
      <c r="F56" s="17" t="inlineStr">
        <is>
          <t>Téléviseur Sony KD32W800P1 de 80 cm de diagonale : un vrai centre de divertissement pour vos films, vos séries et vos parties, HDR comprise.</t>
        </is>
      </c>
      <c r="G56" s="19" t="inlineStr">
        <is>
          <t>https://www.boulanger.com/ref/1187547?at_medium=gea&amp;at_campaign=lemrock</t>
        </is>
      </c>
      <c r="H56" s="20" t="n">
        <v>18671</v>
      </c>
      <c r="I56" s="20" t="n">
        <v>91</v>
      </c>
      <c r="J56" s="21">
        <f>IF(H56=0,0,I56/H56)</f>
        <v/>
      </c>
    </row>
    <row r="57">
      <c r="A57" s="17" t="inlineStr">
        <is>
          <t>Boulanger</t>
        </is>
      </c>
      <c r="B57" s="17" t="inlineStr">
        <is>
          <t>Live</t>
        </is>
      </c>
      <c r="C57" s="17" t="inlineStr">
        <is>
          <t>Boulanger</t>
        </is>
      </c>
      <c r="D57" s="17" t="inlineStr">
        <is>
          <t>Electronics and Appliance Stores</t>
        </is>
      </c>
      <c r="E57" s="18" t="inlineStr">
        <is>
          <t>High-tech et électroménager au meilleur prix | Boulanger</t>
        </is>
      </c>
      <c r="F57" s="17" t="inlineStr">
        <is>
          <t>Enceinte connectée Yamaha MusicCast 20 blanche : deux haut-parleurs deux voies et une écoute sans fil, dans la pièce que vous voulez.</t>
        </is>
      </c>
      <c r="G57" s="19" t="inlineStr">
        <is>
          <t>https://www.boulanger.com/ref/1112317?at_medium=gea&amp;at_campaign=lemrock</t>
        </is>
      </c>
      <c r="H57" s="20" t="n">
        <v>18630</v>
      </c>
      <c r="I57" s="20" t="n">
        <v>117</v>
      </c>
      <c r="J57" s="21">
        <f>IF(H57=0,0,I57/H57)</f>
        <v/>
      </c>
    </row>
    <row r="58">
      <c r="A58" s="17" t="inlineStr">
        <is>
          <t>Boulanger</t>
        </is>
      </c>
      <c r="B58" s="17" t="inlineStr">
        <is>
          <t>Live</t>
        </is>
      </c>
      <c r="C58" s="17" t="inlineStr">
        <is>
          <t>Boulanger</t>
        </is>
      </c>
      <c r="D58" s="17" t="inlineStr">
        <is>
          <t>Headphones</t>
        </is>
      </c>
      <c r="E58" s="18" t="inlineStr">
        <is>
          <t>Casques et enceintes au meilleur prix | Boulanger</t>
        </is>
      </c>
      <c r="F58" s="17" t="inlineStr">
        <is>
          <t>Casque Sony MDR-ZX310 noir : un son ample et une fiabilité à toute épreuve, signés par une grande marque de l’audio depuis des décennies.</t>
        </is>
      </c>
      <c r="G58" s="19" t="inlineStr">
        <is>
          <t>https://www.boulanger.com/ref/1028500?at_medium=gea&amp;at_campaign=lemrock</t>
        </is>
      </c>
      <c r="H58" s="20" t="n">
        <v>18603</v>
      </c>
      <c r="I58" s="20" t="n">
        <v>117</v>
      </c>
      <c r="J58" s="21">
        <f>IF(H58=0,0,I58/H58)</f>
        <v/>
      </c>
    </row>
    <row r="59">
      <c r="A59" s="17" t="inlineStr">
        <is>
          <t>Boulanger</t>
        </is>
      </c>
      <c r="B59" s="17" t="inlineStr">
        <is>
          <t>Live</t>
        </is>
      </c>
      <c r="C59" s="17" t="inlineStr">
        <is>
          <t>Boulanger</t>
        </is>
      </c>
      <c r="D59" s="17" t="inlineStr">
        <is>
          <t>Consommables et pièces détachées</t>
        </is>
      </c>
      <c r="E59" s="18" t="inlineStr">
        <is>
          <t>Coque HUAWEI P20 Lite Transparent</t>
        </is>
      </c>
      <c r="F59" s="17" t="inlineStr">
        <is>
          <t>Cette coque transparente a été fabriquée à base de TPU. Elle est faite pour protéger votre Huawei P20 Lite des chocs et des rayures. Cette coque semi-rigide permet un accès aisé à</t>
        </is>
      </c>
      <c r="G59" s="19" t="inlineStr">
        <is>
          <t>https://www.boulanger.com/ref/1106584?at_medium=gea&amp;at_campaign=lemrock</t>
        </is>
      </c>
      <c r="H59" s="20" t="n">
        <v>18593</v>
      </c>
      <c r="I59" s="20" t="n">
        <v>141</v>
      </c>
      <c r="J59" s="21">
        <f>IF(H59=0,0,I59/H59)</f>
        <v/>
      </c>
    </row>
    <row r="60">
      <c r="A60" s="17" t="inlineStr">
        <is>
          <t>Boulanger</t>
        </is>
      </c>
      <c r="B60" s="17" t="inlineStr">
        <is>
          <t>Live</t>
        </is>
      </c>
      <c r="C60" s="17" t="inlineStr">
        <is>
          <t>Boulanger</t>
        </is>
      </c>
      <c r="D60" s="17" t="inlineStr">
        <is>
          <t>Household Appliances</t>
        </is>
      </c>
      <c r="E60" s="18" t="inlineStr">
        <is>
          <t>Électroménager prix bas | Boulanger</t>
        </is>
      </c>
      <c r="F60" s="17" t="inlineStr">
        <is>
          <t>Four émail Smeg SF6905P1 : des performances de four professionnel pour cuisiner comme un chef chez vous, à retrouver au rayon cuisson Boulanger.</t>
        </is>
      </c>
      <c r="G60" s="19" t="inlineStr">
        <is>
          <t>https://www.boulanger.com/ref/1096918?at_medium=gea&amp;at_campaign=lemrock</t>
        </is>
      </c>
      <c r="H60" s="20" t="n">
        <v>18542</v>
      </c>
      <c r="I60" s="20" t="n">
        <v>113</v>
      </c>
      <c r="J60" s="21">
        <f>IF(H60=0,0,I60/H60)</f>
        <v/>
      </c>
    </row>
    <row r="61">
      <c r="A61" s="17" t="inlineStr">
        <is>
          <t>Boulanger</t>
        </is>
      </c>
      <c r="B61" s="17" t="inlineStr">
        <is>
          <t>Live</t>
        </is>
      </c>
      <c r="C61" s="17" t="inlineStr">
        <is>
          <t>Boulanger</t>
        </is>
      </c>
      <c r="D61" s="17" t="inlineStr">
        <is>
          <t>Electronics and Appliance Stores</t>
        </is>
      </c>
      <c r="E61" s="18" t="inlineStr">
        <is>
          <t>High-tech et électroménager au meilleur prix | Boulanger</t>
        </is>
      </c>
      <c r="F61" s="17" t="inlineStr">
        <is>
          <t>Casque Sony MDR-ZX310 noir : un son ample et une fiabilité à toute épreuve, signés par une grande marque de l’audio depuis des décennies.</t>
        </is>
      </c>
      <c r="G61" s="19" t="inlineStr">
        <is>
          <t>https://www.boulanger.com/ref/1028500?at_medium=gea&amp;at_campaign=lemrock</t>
        </is>
      </c>
      <c r="H61" s="20" t="n">
        <v>18534</v>
      </c>
      <c r="I61" s="20" t="n">
        <v>117</v>
      </c>
      <c r="J61" s="21">
        <f>IF(H61=0,0,I61/H61)</f>
        <v/>
      </c>
    </row>
    <row r="62">
      <c r="A62" s="17" t="inlineStr">
        <is>
          <t>Boulanger</t>
        </is>
      </c>
      <c r="B62" s="17" t="inlineStr">
        <is>
          <t>Live</t>
        </is>
      </c>
      <c r="C62" s="17" t="inlineStr">
        <is>
          <t>Boulanger</t>
        </is>
      </c>
      <c r="D62" s="17" t="inlineStr">
        <is>
          <t>Computers</t>
        </is>
      </c>
      <c r="E62" s="18" t="inlineStr">
        <is>
          <t>Ordinateurs, écrans et claviers au meilleur prix | Boulanger</t>
        </is>
      </c>
      <c r="F62" s="17" t="inlineStr">
        <is>
          <t>Ensemble clavier-souris sans fil Logitech MK330 : 11 touches de raccourci et 12 touches F programmables, pour travailler comme pour vous divertir.</t>
        </is>
      </c>
      <c r="G62" s="19" t="inlineStr">
        <is>
          <t>https://www.boulanger.com/ref/137017?at_medium=gea&amp;at_campaign=lemrock</t>
        </is>
      </c>
      <c r="H62" s="20" t="n">
        <v>18481</v>
      </c>
      <c r="I62" s="20" t="n">
        <v>118</v>
      </c>
      <c r="J62" s="21">
        <f>IF(H62=0,0,I62/H62)</f>
        <v/>
      </c>
    </row>
    <row r="63">
      <c r="A63" s="17" t="inlineStr">
        <is>
          <t>Boulanger</t>
        </is>
      </c>
      <c r="B63" s="17" t="inlineStr">
        <is>
          <t>Live</t>
        </is>
      </c>
      <c r="C63" s="17" t="inlineStr">
        <is>
          <t>Boulanger</t>
        </is>
      </c>
      <c r="D63" s="17" t="inlineStr">
        <is>
          <t>Household Appliances</t>
        </is>
      </c>
      <c r="E63" s="18" t="inlineStr">
        <is>
          <t>Électroménager prix bas | Boulanger</t>
        </is>
      </c>
      <c r="F63" s="17" t="inlineStr">
        <is>
          <t>Kit Polti de 4 serpillières et 6 bonnettes : les serpillières nettoient tous les types de sols, les bonnettes s’occupent des tissus d’ameublement.</t>
        </is>
      </c>
      <c r="G63" s="19" t="inlineStr">
        <is>
          <t>https://www.boulanger.com/ref/149847?at_medium=gea&amp;at_campaign=lemrock</t>
        </is>
      </c>
      <c r="H63" s="20" t="n">
        <v>18463</v>
      </c>
      <c r="I63" s="20" t="n">
        <v>123</v>
      </c>
      <c r="J63" s="21">
        <f>IF(H63=0,0,I63/H63)</f>
        <v/>
      </c>
    </row>
    <row r="64">
      <c r="A64" s="17" t="inlineStr">
        <is>
          <t>Boulanger</t>
        </is>
      </c>
      <c r="B64" s="17" t="inlineStr">
        <is>
          <t>Live</t>
        </is>
      </c>
      <c r="C64" s="17" t="inlineStr">
        <is>
          <t>Boulanger</t>
        </is>
      </c>
      <c r="D64" s="17" t="inlineStr">
        <is>
          <t>Computers</t>
        </is>
      </c>
      <c r="E64" s="18" t="inlineStr">
        <is>
          <t>Ordinateurs, écrans et claviers au meilleur prix | Boulanger</t>
        </is>
      </c>
      <c r="F64" s="17" t="inlineStr">
        <is>
          <t>Écran portable Asus ZenScreen MB16AWP de 16 pouces, batterie et Wi-Fi intégrés : le second écran léger de ceux qui travaillent en déplacement.</t>
        </is>
      </c>
      <c r="G64" s="19" t="inlineStr">
        <is>
          <t>https://www.boulanger.com/ref/1179218?at_medium=gea&amp;at_campaign=lemrock</t>
        </is>
      </c>
      <c r="H64" s="20" t="n">
        <v>18447</v>
      </c>
      <c r="I64" s="20" t="n">
        <v>130</v>
      </c>
      <c r="J64" s="21">
        <f>IF(H64=0,0,I64/H64)</f>
        <v/>
      </c>
    </row>
    <row r="65">
      <c r="A65" s="17" t="inlineStr">
        <is>
          <t>Boulanger</t>
        </is>
      </c>
      <c r="B65" s="17" t="inlineStr">
        <is>
          <t>Live</t>
        </is>
      </c>
      <c r="C65" s="17" t="inlineStr">
        <is>
          <t>Boulanger</t>
        </is>
      </c>
      <c r="D65" s="17" t="inlineStr">
        <is>
          <t>Electronics and Appliance Stores</t>
        </is>
      </c>
      <c r="E65" s="18" t="inlineStr">
        <is>
          <t>High-tech et électroménager au meilleur prix | Boulanger</t>
        </is>
      </c>
      <c r="F65" s="17" t="inlineStr">
        <is>
          <t>Kit Polti de 4 serpillières et 6 bonnettes : les serpillières nettoient tous les types de sols, les bonnettes s’occupent des tissus d’ameublement.</t>
        </is>
      </c>
      <c r="G65" s="19" t="inlineStr">
        <is>
          <t>https://www.boulanger.com/ref/149847?at_medium=gea&amp;at_campaign=lemrock</t>
        </is>
      </c>
      <c r="H65" s="20" t="n">
        <v>18434</v>
      </c>
      <c r="I65" s="20" t="n">
        <v>102</v>
      </c>
      <c r="J65" s="21">
        <f>IF(H65=0,0,I65/H65)</f>
        <v/>
      </c>
    </row>
    <row r="66">
      <c r="A66" s="17" t="inlineStr">
        <is>
          <t>Boulanger</t>
        </is>
      </c>
      <c r="B66" s="17" t="inlineStr">
        <is>
          <t>Live</t>
        </is>
      </c>
      <c r="C66" s="17" t="inlineStr">
        <is>
          <t>Boulanger</t>
        </is>
      </c>
      <c r="D66" s="17" t="inlineStr">
        <is>
          <t>Electronics and Appliance Stores</t>
        </is>
      </c>
      <c r="E66" s="18" t="inlineStr">
        <is>
          <t>High-tech et électroménager au meilleur prix | Boulanger</t>
        </is>
      </c>
      <c r="F66" s="17" t="inlineStr">
        <is>
          <t>Four émail Smeg SF6905P1 : des performances de four professionnel pour cuisiner comme un chef chez vous, à retrouver au rayon cuisson Boulanger.</t>
        </is>
      </c>
      <c r="G66" s="19" t="inlineStr">
        <is>
          <t>https://www.boulanger.com/ref/1096918?at_medium=gea&amp;at_campaign=lemrock</t>
        </is>
      </c>
      <c r="H66" s="20" t="n">
        <v>18422</v>
      </c>
      <c r="I66" s="20" t="n">
        <v>119</v>
      </c>
      <c r="J66" s="21">
        <f>IF(H66=0,0,I66/H66)</f>
        <v/>
      </c>
    </row>
    <row r="67">
      <c r="A67" s="17" t="inlineStr">
        <is>
          <t>Boulanger</t>
        </is>
      </c>
      <c r="B67" s="17" t="inlineStr">
        <is>
          <t>Live</t>
        </is>
      </c>
      <c r="C67" s="17" t="inlineStr">
        <is>
          <t>Boulanger</t>
        </is>
      </c>
      <c r="D67" s="17" t="inlineStr">
        <is>
          <t>Electronics and Appliance Stores</t>
        </is>
      </c>
      <c r="E67" s="18" t="inlineStr">
        <is>
          <t>High-tech et électroménager au meilleur prix | Boulanger</t>
        </is>
      </c>
      <c r="F67" s="17" t="inlineStr">
        <is>
          <t>Écran portable Asus ZenScreen MB16AWP de 16 pouces, batterie et Wi-Fi intégrés : le second écran léger de ceux qui travaillent en déplacement.</t>
        </is>
      </c>
      <c r="G67" s="19" t="inlineStr">
        <is>
          <t>https://www.boulanger.com/ref/1179218?at_medium=gea&amp;at_campaign=lemrock</t>
        </is>
      </c>
      <c r="H67" s="20" t="n">
        <v>18316</v>
      </c>
      <c r="I67" s="20" t="n">
        <v>102</v>
      </c>
      <c r="J67" s="21">
        <f>IF(H67=0,0,I67/H67)</f>
        <v/>
      </c>
    </row>
    <row r="68">
      <c r="A68" s="17" t="inlineStr">
        <is>
          <t>Boulanger</t>
        </is>
      </c>
      <c r="B68" s="17" t="inlineStr">
        <is>
          <t>Live</t>
        </is>
      </c>
      <c r="C68" s="17" t="inlineStr">
        <is>
          <t>Boulanger</t>
        </is>
      </c>
      <c r="D68" s="17" t="inlineStr">
        <is>
          <t>Imprimantes</t>
        </is>
      </c>
      <c r="E68" s="18" t="inlineStr">
        <is>
          <t>Imprimante jet d'encre HP Smart Tank 5106</t>
        </is>
      </c>
      <c r="F68" s="17" t="inlineStr">
        <is>
          <t>Ses réservoirs d’encre se remplissent à la bouteille : fini les cartouches à racheter sans cesse. Livraison offerte et garantie 2 ans chez Boulanger.</t>
        </is>
      </c>
      <c r="G68" s="19" t="inlineStr">
        <is>
          <t>https://www.boulanger.com/ref/1189229?at_medium=gea&amp;at_campaign=lemrock</t>
        </is>
      </c>
      <c r="H68" s="20" t="n">
        <v>18124</v>
      </c>
      <c r="I68" s="20" t="n">
        <v>103</v>
      </c>
      <c r="J68" s="21">
        <f>IF(H68=0,0,I68/H68)</f>
        <v/>
      </c>
    </row>
    <row r="69">
      <c r="A69" s="17" t="inlineStr">
        <is>
          <t>Boulanger</t>
        </is>
      </c>
      <c r="B69" s="17" t="inlineStr">
        <is>
          <t>Live</t>
        </is>
      </c>
      <c r="C69" s="17" t="inlineStr">
        <is>
          <t>Boulanger</t>
        </is>
      </c>
      <c r="D69" s="17" t="inlineStr">
        <is>
          <t>Electronics and Appliance Stores</t>
        </is>
      </c>
      <c r="E69" s="18" t="inlineStr">
        <is>
          <t>High-tech et électroménager au meilleur prix | Boulanger</t>
        </is>
      </c>
      <c r="F69" s="17" t="inlineStr">
        <is>
          <t>Smartphone Samsung Galaxy S24 Ultra gris : l’intelligence artificielle mobile mise au service de votre productivité, écran et photo compris.</t>
        </is>
      </c>
      <c r="G69" s="19" t="inlineStr">
        <is>
          <t>https://www.boulanger.com/ref/1200027?at_medium=gea&amp;at_campaign=lemrock</t>
        </is>
      </c>
      <c r="H69" s="20" t="n">
        <v>18115</v>
      </c>
      <c r="I69" s="20" t="n">
        <v>102</v>
      </c>
      <c r="J69" s="21">
        <f>IF(H69=0,0,I69/H69)</f>
        <v/>
      </c>
    </row>
    <row r="70">
      <c r="A70" s="17" t="inlineStr">
        <is>
          <t>Boulanger</t>
        </is>
      </c>
      <c r="B70" s="17" t="inlineStr">
        <is>
          <t>Live</t>
        </is>
      </c>
      <c r="C70" s="17" t="inlineStr">
        <is>
          <t>Boulanger</t>
        </is>
      </c>
      <c r="D70" s="17" t="inlineStr">
        <is>
          <t>Electronics and Appliance Stores</t>
        </is>
      </c>
      <c r="E70" s="18" t="inlineStr">
        <is>
          <t>Gril STAUB 24x24cm manche silicone</t>
        </is>
      </c>
      <c r="F70" s="17" t="inlineStr">
        <is>
          <t>Poêle STAUB 24x24cm avec manche en silicone : l'allié robuste de votre cuisine Conception en fonte émaillée pour une cuisson parfaite La Poêle STAUB 24x24cm se distingue par sa</t>
        </is>
      </c>
      <c r="G70" s="19" t="inlineStr">
        <is>
          <t>https://www.boulanger.com/ref/846110?at_medium=gea&amp;at_campaign=lemrock</t>
        </is>
      </c>
      <c r="H70" s="20" t="n">
        <v>18102</v>
      </c>
      <c r="I70" s="20" t="n">
        <v>98</v>
      </c>
      <c r="J70" s="21">
        <f>IF(H70=0,0,I70/H70)</f>
        <v/>
      </c>
    </row>
    <row r="71">
      <c r="A71" s="17" t="inlineStr">
        <is>
          <t>Boulanger</t>
        </is>
      </c>
      <c r="B71" s="17" t="inlineStr">
        <is>
          <t>Live</t>
        </is>
      </c>
      <c r="C71" s="17" t="inlineStr">
        <is>
          <t>Boulanger</t>
        </is>
      </c>
      <c r="D71" s="17" t="inlineStr">
        <is>
          <t>Electronics and Appliance Stores</t>
        </is>
      </c>
      <c r="E71" s="18" t="inlineStr">
        <is>
          <t>High-tech et électroménager au meilleur prix | Boulanger</t>
        </is>
      </c>
      <c r="F71" s="17" t="inlineStr">
        <is>
          <t>Coque transparente en TPU semi-rigide pour Huawei P20 Lite : elle protège des chocs et des rayures en laissant l’accès aux boutons et aux ports.</t>
        </is>
      </c>
      <c r="G71" s="19" t="inlineStr">
        <is>
          <t>https://www.boulanger.com/ref/1106584?at_medium=gea&amp;at_campaign=lemrock</t>
        </is>
      </c>
      <c r="H71" s="20" t="n">
        <v>18032</v>
      </c>
      <c r="I71" s="20" t="n">
        <v>113</v>
      </c>
      <c r="J71" s="21">
        <f>IF(H71=0,0,I71/H71)</f>
        <v/>
      </c>
    </row>
    <row r="72">
      <c r="A72" s="17" t="inlineStr">
        <is>
          <t>Boulanger</t>
        </is>
      </c>
      <c r="B72" s="17" t="inlineStr">
        <is>
          <t>Live</t>
        </is>
      </c>
      <c r="C72" s="17" t="inlineStr">
        <is>
          <t>Boulanger</t>
        </is>
      </c>
      <c r="D72" s="17" t="inlineStr">
        <is>
          <t>Electronics and Appliance Stores</t>
        </is>
      </c>
      <c r="E72" s="18" t="inlineStr">
        <is>
          <t>High-tech et électroménager au meilleur prix | Boulanger</t>
        </is>
      </c>
      <c r="F72" s="17" t="inlineStr">
        <is>
          <t>Câble Belkin jack 3,5 mm à cordon spiralé noir d’un mètre : il relie tous vos appareils sonores et joue la robustesse autant que le look vintage.</t>
        </is>
      </c>
      <c r="G72" s="19" t="inlineStr">
        <is>
          <t>https://www.boulanger.com/ref/284091?at_medium=gea&amp;at_campaign=lemrock</t>
        </is>
      </c>
      <c r="H72" s="20" t="n">
        <v>17995</v>
      </c>
      <c r="I72" s="20" t="n">
        <v>117</v>
      </c>
      <c r="J72" s="21">
        <f>IF(H72=0,0,I72/H72)</f>
        <v/>
      </c>
    </row>
    <row r="73">
      <c r="A73" s="17" t="inlineStr">
        <is>
          <t>Boulanger</t>
        </is>
      </c>
      <c r="B73" s="17" t="inlineStr">
        <is>
          <t>Live</t>
        </is>
      </c>
      <c r="C73" s="17" t="inlineStr">
        <is>
          <t>Boulanger</t>
        </is>
      </c>
      <c r="D73" s="17" t="inlineStr">
        <is>
          <t>Electronics and Appliance Stores</t>
        </is>
      </c>
      <c r="E73" s="18" t="inlineStr">
        <is>
          <t>High-tech et électroménager au meilleur prix | Boulanger</t>
        </is>
      </c>
      <c r="F73" s="17" t="inlineStr">
        <is>
          <t>Chargeur secteur Watt and Co Uni. 3000 mAh : une solution de charge universelle, compatible avec la plupart de vos appareils, à retrouver chez Boulanger.</t>
        </is>
      </c>
      <c r="G73" s="19" t="inlineStr">
        <is>
          <t>https://www.boulanger.com/ref/151244?at_medium=gea&amp;at_campaign=lemrock</t>
        </is>
      </c>
      <c r="H73" s="20" t="n">
        <v>17994</v>
      </c>
      <c r="I73" s="20" t="n">
        <v>108</v>
      </c>
      <c r="J73" s="21">
        <f>IF(H73=0,0,I73/H73)</f>
        <v/>
      </c>
    </row>
    <row r="74">
      <c r="A74" s="17" t="inlineStr">
        <is>
          <t>Boulanger</t>
        </is>
      </c>
      <c r="B74" s="17" t="inlineStr">
        <is>
          <t>Live</t>
        </is>
      </c>
      <c r="C74" s="17" t="inlineStr">
        <is>
          <t>Boulanger</t>
        </is>
      </c>
      <c r="D74" s="17" t="inlineStr">
        <is>
          <t>Gros électroménager</t>
        </is>
      </c>
      <c r="E74" s="18" t="inlineStr">
        <is>
          <t>Cafetière BIALETTI french press Preziosa</t>
        </is>
      </c>
      <c r="F74" s="17" t="inlineStr">
        <is>
          <t>Découvrez la cafetière à piston BIALETTI French Press Preziosa 1 Litre Un design élégant et fonctionnel La cafetière à piston BIALETTI French Press Preziosa 1 Litre est un</t>
        </is>
      </c>
      <c r="G74" s="19" t="inlineStr">
        <is>
          <t>https://www.boulanger.com/ref/138444?at_medium=gea&amp;at_campaign=lemrock</t>
        </is>
      </c>
      <c r="H74" s="20" t="n">
        <v>17942</v>
      </c>
      <c r="I74" s="20" t="n">
        <v>136</v>
      </c>
      <c r="J74" s="21">
        <f>IF(H74=0,0,I74/H74)</f>
        <v/>
      </c>
    </row>
    <row r="75">
      <c r="A75" s="17" t="inlineStr">
        <is>
          <t>Boulanger</t>
        </is>
      </c>
      <c r="B75" s="17" t="inlineStr">
        <is>
          <t>Live</t>
        </is>
      </c>
      <c r="C75" s="17" t="inlineStr">
        <is>
          <t>Boulanger</t>
        </is>
      </c>
      <c r="D75" s="17" t="inlineStr">
        <is>
          <t>Écrans PC</t>
        </is>
      </c>
      <c r="E75" s="18" t="inlineStr">
        <is>
          <t>Ecran PC LG 32U631A-B 32" IPS QHD 100 Hz HDR</t>
        </is>
      </c>
      <c r="F75" s="17" t="inlineStr">
        <is>
          <t>Dalle IPS 32 pouces en QHD, 100 Hz et HDR : plus de place pour vos fenêtres et une image fluide en jeu comme au bureau. Livraison offerte, garantie 2 ans Boulanger.</t>
        </is>
      </c>
      <c r="G75" s="19" t="inlineStr">
        <is>
          <t>https://www.boulanger.com/ref/1221504?at_medium=gea&amp;at_campaign=lemrock</t>
        </is>
      </c>
      <c r="H75" s="20" t="n">
        <v>16392</v>
      </c>
      <c r="I75" s="20" t="n">
        <v>120</v>
      </c>
      <c r="J75" s="21">
        <f>IF(H75=0,0,I75/H75)</f>
        <v/>
      </c>
    </row>
    <row r="76">
      <c r="A76" s="17" t="inlineStr">
        <is>
          <t>Boulanger</t>
        </is>
      </c>
      <c r="B76" s="17" t="inlineStr">
        <is>
          <t>Live</t>
        </is>
      </c>
      <c r="C76" s="17" t="inlineStr">
        <is>
          <t>Boulanger</t>
        </is>
      </c>
      <c r="D76" s="17" t="inlineStr">
        <is>
          <t>Imprimantes</t>
        </is>
      </c>
      <c r="E76" s="18" t="inlineStr">
        <is>
          <t>Imprimante jet d'encre CANON MAXIFY BX110</t>
        </is>
      </c>
      <c r="F76" s="17" t="inlineStr">
        <is>
          <t>Imprimante jet d’encre Canon Maxify faite pour le bureau : des documents nets sans le coût du laser ; livraison offerte et garantie 2 ans chez Boulanger.</t>
        </is>
      </c>
      <c r="G76" s="19" t="inlineStr">
        <is>
          <t>https://www.boulanger.com/ref/1220474?at_medium=gea&amp;at_campaign=lemrock</t>
        </is>
      </c>
      <c r="H76" s="20" t="n">
        <v>16317</v>
      </c>
      <c r="I76" s="20" t="n">
        <v>65</v>
      </c>
      <c r="J76" s="21">
        <f>IF(H76=0,0,I76/H76)</f>
        <v/>
      </c>
    </row>
    <row r="77">
      <c r="A77" s="17" t="inlineStr">
        <is>
          <t>Boulanger</t>
        </is>
      </c>
      <c r="B77" s="17" t="inlineStr">
        <is>
          <t>Live</t>
        </is>
      </c>
      <c r="C77" s="17" t="inlineStr">
        <is>
          <t>Boulanger</t>
        </is>
      </c>
      <c r="D77" s="17" t="inlineStr">
        <is>
          <t>Consoles de jeux</t>
        </is>
      </c>
      <c r="E77" s="18" t="inlineStr">
        <is>
          <t>Console SONY PS5 Slim Digital Chassis E</t>
        </is>
      </c>
      <c r="F77" s="17" t="inlineStr">
        <is>
          <t>La PS5 Slim en version tout numérique, sans lecteur de disque, moins encombrante sous la télé ; garantie 2 ans, à retirer en une heure dans votre magasin Boulanger.</t>
        </is>
      </c>
      <c r="G77" s="19" t="inlineStr">
        <is>
          <t>https://www.boulanger.com/ref/1228868?at_medium=gea&amp;at_campaign=lemrock</t>
        </is>
      </c>
      <c r="H77" s="20" t="n">
        <v>16298</v>
      </c>
      <c r="I77" s="20" t="n">
        <v>123</v>
      </c>
      <c r="J77" s="21">
        <f>IF(H77=0,0,I77/H77)</f>
        <v/>
      </c>
    </row>
    <row r="78">
      <c r="A78" s="17" t="inlineStr">
        <is>
          <t>Boulanger</t>
        </is>
      </c>
      <c r="B78" s="17" t="inlineStr">
        <is>
          <t>Live</t>
        </is>
      </c>
      <c r="C78" s="17" t="inlineStr">
        <is>
          <t>Boulanger</t>
        </is>
      </c>
      <c r="D78" s="17" t="inlineStr">
        <is>
          <t>Ordinateurs portables et fixes</t>
        </is>
      </c>
      <c r="E78" s="18" t="inlineStr">
        <is>
          <t>Ordinateur portable ACER Aspire AG14-72P-7542 14" Intel Core 7 150U 16 Go RAM SSD 512 Go</t>
        </is>
      </c>
      <c r="F78" s="17" t="inlineStr">
        <is>
          <t>Écran 14 pouces, Intel Core 7, 16 Go de RAM et SSD 512 Go : de quoi travailler vite sans ralentir. Reprise de votre ancien PC et garantie 2 ans chez Boulanger.</t>
        </is>
      </c>
      <c r="G78" s="19" t="inlineStr">
        <is>
          <t>https://www.boulanger.com/ref/1233709?at_medium=gea&amp;at_campaign=lemrock</t>
        </is>
      </c>
      <c r="H78" s="20" t="n">
        <v>15602</v>
      </c>
      <c r="I78" s="20" t="n">
        <v>95</v>
      </c>
      <c r="J78" s="21">
        <f>IF(H78=0,0,I78/H78)</f>
        <v/>
      </c>
    </row>
    <row r="79">
      <c r="A79" s="17" t="inlineStr">
        <is>
          <t>Boulanger</t>
        </is>
      </c>
      <c r="B79" s="17" t="inlineStr">
        <is>
          <t>Live</t>
        </is>
      </c>
      <c r="C79" s="17" t="inlineStr">
        <is>
          <t>Boulanger</t>
        </is>
      </c>
      <c r="D79" s="17" t="inlineStr">
        <is>
          <t>Lessive</t>
        </is>
      </c>
      <c r="E79" s="18" t="inlineStr">
        <is>
          <t>Lessive MIELE Lessive UltraPhase 1</t>
        </is>
      </c>
      <c r="F79" s="17" t="inlineStr">
        <is>
          <t>Lessive liquide en cartouche pour le dosage automatique TwinDos des lave-linge Miele : plus rien à mesurer. Livraison offerte et SAV 7j/7 chez Boulanger.</t>
        </is>
      </c>
      <c r="G79" s="19" t="inlineStr">
        <is>
          <t>https://www.boulanger.com/ref/1181723?at_medium=gea&amp;at_campaign=lemrock</t>
        </is>
      </c>
      <c r="H79" s="20" t="n">
        <v>15378</v>
      </c>
      <c r="I79" s="20" t="n">
        <v>63</v>
      </c>
      <c r="J79" s="21">
        <f>IF(H79=0,0,I79/H79)</f>
        <v/>
      </c>
    </row>
    <row r="80">
      <c r="A80" s="17" t="inlineStr">
        <is>
          <t>Boulanger</t>
        </is>
      </c>
      <c r="B80" s="17" t="inlineStr">
        <is>
          <t>Live</t>
        </is>
      </c>
      <c r="C80" s="17" t="inlineStr">
        <is>
          <t>Boulanger</t>
        </is>
      </c>
      <c r="D80" s="17" t="inlineStr">
        <is>
          <t>Ordinateurs portables et fixes</t>
        </is>
      </c>
      <c r="E80" s="18" t="inlineStr">
        <is>
          <t>Chromebook ASUS CX3402CVA-MW1284 14" Tactile Intel Core i3 100U 8 Go RAM LPDDR5x SSD 128 Go sacoche incluse</t>
        </is>
      </c>
      <c r="F80" s="17" t="inlineStr">
        <is>
          <t>Écran tactile 14 pouces, Core i3, 8 Go de RAM et SSD 128 Go, sacoche incluse : léger et prêt pour les cours. Retrait 1h en magasin Boulanger, garantie 2 ans.</t>
        </is>
      </c>
      <c r="G80" s="19" t="inlineStr">
        <is>
          <t>https://www.boulanger.com/ref/1233471?at_medium=gea&amp;at_campaign=lemrock</t>
        </is>
      </c>
      <c r="H80" s="20" t="n">
        <v>15344</v>
      </c>
      <c r="I80" s="20" t="n">
        <v>131</v>
      </c>
      <c r="J80" s="21">
        <f>IF(H80=0,0,I80/H80)</f>
        <v/>
      </c>
    </row>
    <row r="81">
      <c r="A81" s="17" t="inlineStr">
        <is>
          <t>Boulanger</t>
        </is>
      </c>
      <c r="B81" s="17" t="inlineStr">
        <is>
          <t>Live</t>
        </is>
      </c>
      <c r="C81" s="17" t="inlineStr">
        <is>
          <t>Boulanger</t>
        </is>
      </c>
      <c r="D81" s="17" t="inlineStr">
        <is>
          <t>Montres connectées et sport</t>
        </is>
      </c>
      <c r="E81" s="18" t="inlineStr">
        <is>
          <t>Montre sport GARMIN Forerunner 55 Running GPS BT 42 mm Noire</t>
        </is>
      </c>
      <c r="F81" s="17" t="inlineStr">
        <is>
          <t>GPS intégré, boîtier 42 mm et Bluetooth : la Forerunner 55 mesure vos sorties running sans emporter le téléphone. À retirer en une heure dans votre magasin Boulanger.</t>
        </is>
      </c>
      <c r="G81" s="19" t="inlineStr">
        <is>
          <t>https://www.boulanger.com/ref/1165223?at_medium=gea&amp;at_campaign=lemrock</t>
        </is>
      </c>
      <c r="H81" s="20" t="n">
        <v>14623</v>
      </c>
      <c r="I81" s="20" t="n">
        <v>82</v>
      </c>
      <c r="J81" s="21">
        <f>IF(H81=0,0,I81/H81)</f>
        <v/>
      </c>
    </row>
    <row r="82">
      <c r="A82" s="17" t="inlineStr">
        <is>
          <t>Boulanger</t>
        </is>
      </c>
      <c r="B82" s="17" t="inlineStr">
        <is>
          <t>Live</t>
        </is>
      </c>
      <c r="C82" s="17" t="inlineStr">
        <is>
          <t>Boulanger</t>
        </is>
      </c>
      <c r="D82" s="17" t="inlineStr">
        <is>
          <t>Ordinateurs portables et fixes</t>
        </is>
      </c>
      <c r="E82" s="18" t="inlineStr">
        <is>
          <t>Ordinateur tout-en-un LENOVO Lenovo A105 24</t>
        </is>
      </c>
      <c r="F82" s="17" t="inlineStr">
        <is>
          <t>Écran 24 pouces et unité centrale dans un seul bloc : moins de câbles et un bureau dégagé. Retrait en une heure dans votre magasin Boulanger, garantie 2 ans.</t>
        </is>
      </c>
      <c r="G82" s="19" t="inlineStr">
        <is>
          <t>https://www.boulanger.com/ref/1240405?at_medium=gea&amp;at_campaign=lemrock</t>
        </is>
      </c>
      <c r="H82" s="20" t="n">
        <v>14108</v>
      </c>
      <c r="I82" s="20" t="n">
        <v>111</v>
      </c>
      <c r="J82" s="21">
        <f>IF(H82=0,0,I82/H82)</f>
        <v/>
      </c>
    </row>
    <row r="83">
      <c r="A83" s="17" t="inlineStr">
        <is>
          <t>Boulanger</t>
        </is>
      </c>
      <c r="B83" s="17" t="inlineStr">
        <is>
          <t>Live</t>
        </is>
      </c>
      <c r="C83" s="17" t="inlineStr">
        <is>
          <t>Boulanger</t>
        </is>
      </c>
      <c r="D83" s="17" t="inlineStr">
        <is>
          <t>Claviers, chargeurs et stockage</t>
        </is>
      </c>
      <c r="E83" s="18" t="inlineStr">
        <is>
          <t>Câble BELKIN Jack 3.5mm spirale noir - 1</t>
        </is>
      </c>
      <c r="F83" s="17" t="inlineStr">
        <is>
          <t>Adoptez un look vintage pour vos câbles de son avec ce câble Belkin. Ce câble Belkin permet de brancher tous vos appareils sonores et propose robustesse et un certain design. Un</t>
        </is>
      </c>
      <c r="G83" s="19" t="inlineStr">
        <is>
          <t>https://www.boulanger.com/ref/284091?at_medium=gea&amp;at_campaign=lemrock</t>
        </is>
      </c>
      <c r="H83" s="20" t="n">
        <v>13686</v>
      </c>
      <c r="I83" s="20" t="n">
        <v>100</v>
      </c>
      <c r="J83" s="21">
        <f>IF(H83=0,0,I83/H83)</f>
        <v/>
      </c>
    </row>
    <row r="84">
      <c r="A84" s="17" t="inlineStr">
        <is>
          <t>Boulanger</t>
        </is>
      </c>
      <c r="B84" s="17" t="inlineStr">
        <is>
          <t>Live</t>
        </is>
      </c>
      <c r="C84" s="17" t="inlineStr">
        <is>
          <t>Boulanger</t>
        </is>
      </c>
      <c r="D84" s="17" t="inlineStr">
        <is>
          <t>Appareils photo et drones</t>
        </is>
      </c>
      <c r="E84" s="18" t="inlineStr">
        <is>
          <t>Appareil photo Compact KODAK Snapic A1 35mm Film Camera - Ivory White</t>
        </is>
      </c>
      <c r="F84" s="17" t="inlineStr">
        <is>
          <t>Un appareil argentique 35 mm blanc ivoire, réutilisable : le grain et les couleurs de la pellicule sur chaque photo. Retrait 1h en magasin Boulanger ou livraison offerte.</t>
        </is>
      </c>
      <c r="G84" s="19" t="inlineStr">
        <is>
          <t>https://www.boulanger.com/ref/1239432?at_medium=gea&amp;at_campaign=lemrock</t>
        </is>
      </c>
      <c r="H84" s="20" t="n">
        <v>13522</v>
      </c>
      <c r="I84" s="20" t="n">
        <v>107</v>
      </c>
      <c r="J84" s="21">
        <f>IF(H84=0,0,I84/H84)</f>
        <v/>
      </c>
    </row>
    <row r="85">
      <c r="A85" s="17" t="inlineStr">
        <is>
          <t>Boulanger</t>
        </is>
      </c>
      <c r="B85" s="17" t="inlineStr">
        <is>
          <t>Live</t>
        </is>
      </c>
      <c r="C85" s="17" t="inlineStr">
        <is>
          <t>Boulanger</t>
        </is>
      </c>
      <c r="D85" s="17" t="inlineStr">
        <is>
          <t>Robots tondeuses</t>
        </is>
      </c>
      <c r="E85" s="18" t="inlineStr">
        <is>
          <t>Robot tondeuse MOVA Viax 250 sans fil périphérique, 250 m² de superficie, cartographie assistée par l'IA</t>
        </is>
      </c>
      <c r="F85" s="17" t="inlineStr">
        <is>
          <t>Sans fil périphérique à enterrer, jusqu’à 250 m² de pelouse tondus tout seul grâce à la cartographie par IA : votre gazon s’entretient sans vous. Livraison offerte.</t>
        </is>
      </c>
      <c r="G85" s="19" t="inlineStr">
        <is>
          <t>https://www.boulanger.com/ref/1235315?at_medium=gea&amp;at_campaign=lemrock</t>
        </is>
      </c>
      <c r="H85" s="20" t="n">
        <v>13330</v>
      </c>
      <c r="I85" s="20" t="n">
        <v>56</v>
      </c>
      <c r="J85" s="21">
        <f>IF(H85=0,0,I85/H85)</f>
        <v/>
      </c>
    </row>
    <row r="86">
      <c r="A86" s="17" t="inlineStr">
        <is>
          <t>Boulanger</t>
        </is>
      </c>
      <c r="B86" s="17" t="inlineStr">
        <is>
          <t>Live</t>
        </is>
      </c>
      <c r="C86" s="17" t="inlineStr">
        <is>
          <t>Boulanger</t>
        </is>
      </c>
      <c r="D86" s="17" t="inlineStr">
        <is>
          <t>Appareils photo et drones</t>
        </is>
      </c>
      <c r="E86" s="18" t="inlineStr">
        <is>
          <t>Drone DJI Neo 2 Fly More Combo</t>
        </is>
      </c>
      <c r="F86" s="17" t="inlineStr">
        <is>
          <t>Pack Fly More avec batteries supplémentaires pour voler plus longtemps et filmer vos sorties sans recharger. Garantie 2 ans et SAV 7j/7 chez Boulanger.</t>
        </is>
      </c>
      <c r="G86" s="19" t="inlineStr">
        <is>
          <t>https://www.boulanger.com/ref/1230778?at_medium=gea&amp;at_campaign=lemrock</t>
        </is>
      </c>
      <c r="H86" s="20" t="n">
        <v>13292</v>
      </c>
      <c r="I86" s="20" t="n">
        <v>71</v>
      </c>
      <c r="J86" s="21">
        <f>IF(H86=0,0,I86/H86)</f>
        <v/>
      </c>
    </row>
    <row r="87">
      <c r="A87" s="17" t="inlineStr">
        <is>
          <t>Boulanger</t>
        </is>
      </c>
      <c r="B87" s="17" t="inlineStr">
        <is>
          <t>Live</t>
        </is>
      </c>
      <c r="C87" s="17" t="inlineStr">
        <is>
          <t>Boulanger</t>
        </is>
      </c>
      <c r="D87" s="17" t="inlineStr">
        <is>
          <t>iPhone 17</t>
        </is>
      </c>
      <c r="E87" s="18" t="inlineStr">
        <is>
          <t>iPhone - Achetez votre nouveau Smartphone Apple</t>
        </is>
      </c>
      <c r="F87" s="17" t="inlineStr">
        <is>
          <t>Tous les iPhone, du modèle neuf au reconditionné garanti, avec reprise de votre ancien téléphone et livraison offerte : Boulanger vous aide à changer sans vous ruiner.</t>
        </is>
      </c>
      <c r="G87" s="19" t="inlineStr">
        <is>
          <t>https://www.boulanger.com/c/iphone/?at_medium=gea&amp;at_campaign=lemrock</t>
        </is>
      </c>
      <c r="H87" s="20" t="n">
        <v>13151</v>
      </c>
      <c r="I87" s="20" t="n">
        <v>79</v>
      </c>
      <c r="J87" s="21">
        <f>IF(H87=0,0,I87/H87)</f>
        <v/>
      </c>
    </row>
    <row r="88">
      <c r="A88" s="17" t="inlineStr">
        <is>
          <t>Boulanger</t>
        </is>
      </c>
      <c r="B88" s="17" t="inlineStr">
        <is>
          <t>Live</t>
        </is>
      </c>
      <c r="C88" s="17" t="inlineStr">
        <is>
          <t>Boulanger</t>
        </is>
      </c>
      <c r="D88" s="17" t="inlineStr">
        <is>
          <t>Écrans PC</t>
        </is>
      </c>
      <c r="E88" s="18" t="inlineStr">
        <is>
          <t>Ecran PC Gamer MSI MAG 245C 24" VA Full HD 240 Hz HDR 2x HDMI 2.1</t>
        </is>
      </c>
      <c r="F88" s="17" t="inlineStr">
        <is>
          <t>Dalle VA incurvée 24 pouces, Full HD à 240 Hz et HDR : des images fluides pour jouer sans traînée. Deux ports HDMI 2.1 et garantie 2 ans chez Boulanger.</t>
        </is>
      </c>
      <c r="G88" s="19" t="inlineStr">
        <is>
          <t>https://www.boulanger.com/ref/1237327?at_medium=gea&amp;at_campaign=lemrock</t>
        </is>
      </c>
      <c r="H88" s="20" t="n">
        <v>13066</v>
      </c>
      <c r="I88" s="20" t="n">
        <v>79</v>
      </c>
      <c r="J88" s="21">
        <f>IF(H88=0,0,I88/H88)</f>
        <v/>
      </c>
    </row>
    <row r="89">
      <c r="A89" s="17" t="inlineStr">
        <is>
          <t>Boulanger</t>
        </is>
      </c>
      <c r="B89" s="17" t="inlineStr">
        <is>
          <t>Live</t>
        </is>
      </c>
      <c r="C89" s="17" t="inlineStr">
        <is>
          <t>Boulanger</t>
        </is>
      </c>
      <c r="D89" s="17" t="inlineStr">
        <is>
          <t>Écrans PC</t>
        </is>
      </c>
      <c r="E89" s="18" t="inlineStr">
        <is>
          <t>Ecran PC LENOVO L24D-4C 24'' Full HD WLED USB C 75W</t>
        </is>
      </c>
      <c r="F89" s="17" t="inlineStr">
        <is>
          <t>Écran 24 pouces Full HD Lenovo avec USB-C 75 W : un seul câble pour l’image et la recharge de votre portable ; à retirer en une heure en magasin Boulanger.</t>
        </is>
      </c>
      <c r="G89" s="19" t="inlineStr">
        <is>
          <t>https://www.boulanger.com/ref/1235058?at_medium=gea&amp;at_campaign=lemrock</t>
        </is>
      </c>
      <c r="H89" s="20" t="n">
        <v>12428</v>
      </c>
      <c r="I89" s="20" t="n">
        <v>86</v>
      </c>
      <c r="J89" s="21">
        <f>IF(H89=0,0,I89/H89)</f>
        <v/>
      </c>
    </row>
    <row r="90">
      <c r="A90" s="17" t="inlineStr">
        <is>
          <t>Boulanger</t>
        </is>
      </c>
      <c r="B90" s="17" t="inlineStr">
        <is>
          <t>Live</t>
        </is>
      </c>
      <c r="C90" s="17" t="inlineStr">
        <is>
          <t>Boulanger</t>
        </is>
      </c>
      <c r="D90" s="17" t="inlineStr">
        <is>
          <t>Claviers, chargeurs et stockage</t>
        </is>
      </c>
      <c r="E90" s="18" t="inlineStr">
        <is>
          <t>Clavier+Souris LOGITECH MK330</t>
        </is>
      </c>
      <c r="F90" s="17" t="inlineStr">
        <is>
          <t>Logitech Wireless Combo MK330. L'ensemble clavier/souris qui combine divertissement et portabilité. Les 11 touches de raccourci et les 12 touches F programmables vous permettent</t>
        </is>
      </c>
      <c r="G90" s="19" t="inlineStr">
        <is>
          <t>https://www.boulanger.com/ref/137017?at_medium=gea&amp;at_campaign=lemrock</t>
        </is>
      </c>
      <c r="H90" s="20" t="n">
        <v>12142</v>
      </c>
      <c r="I90" s="20" t="n">
        <v>57</v>
      </c>
      <c r="J90" s="21">
        <f>IF(H90=0,0,I90/H90)</f>
        <v/>
      </c>
    </row>
    <row r="91">
      <c r="A91" s="17" t="inlineStr">
        <is>
          <t>Boulanger</t>
        </is>
      </c>
      <c r="B91" s="17" t="inlineStr">
        <is>
          <t>Live</t>
        </is>
      </c>
      <c r="C91" s="17" t="inlineStr">
        <is>
          <t>Boulanger</t>
        </is>
      </c>
      <c r="D91" s="17" t="inlineStr">
        <is>
          <t>Smartphones Android</t>
        </is>
      </c>
      <c r="E91" s="18" t="inlineStr">
        <is>
          <t>Smartphone - Retrait 1h en Magasin*</t>
        </is>
      </c>
      <c r="F91" s="17" t="inlineStr">
        <is>
          <t>Samsung, Honor, Xiaomi et d’autres marques Android, de l’entrée de gamme au haut de gamme, avec les conseils des vendeurs et le SAV Boulanger 7 jours sur 7.</t>
        </is>
      </c>
      <c r="G91" s="19" t="inlineStr">
        <is>
          <t>https://www.boulanger.com/c/smartphone-telephone-portable/?at_medium=gea&amp;at_campaign=lemrock</t>
        </is>
      </c>
      <c r="H91" s="20" t="n">
        <v>12125</v>
      </c>
      <c r="I91" s="20" t="n">
        <v>85</v>
      </c>
      <c r="J91" s="21">
        <f>IF(H91=0,0,I91/H91)</f>
        <v/>
      </c>
    </row>
    <row r="92">
      <c r="A92" s="17" t="inlineStr">
        <is>
          <t>Boulanger</t>
        </is>
      </c>
      <c r="B92" s="17" t="inlineStr">
        <is>
          <t>Live</t>
        </is>
      </c>
      <c r="C92" s="17" t="inlineStr">
        <is>
          <t>Boulanger</t>
        </is>
      </c>
      <c r="D92" s="17" t="inlineStr">
        <is>
          <t>Montres connectées et sport</t>
        </is>
      </c>
      <c r="E92" s="18" t="inlineStr">
        <is>
          <t>Montre connectée SAMSUNG Galaxy Watch7 Vert 40mm BT</t>
        </is>
      </c>
      <c r="F92" s="17" t="inlineStr">
        <is>
          <t>Boîtier 40 mm vert et Bluetooth : la Galaxy Watch7 suit votre sommeil, vos pas et votre rythme cardiaque depuis le poignet. Livraison offerte et garantie 2 ans.</t>
        </is>
      </c>
      <c r="G92" s="19" t="inlineStr">
        <is>
          <t>https://www.boulanger.com/ref/1208988?at_medium=gea&amp;at_campaign=lemrock</t>
        </is>
      </c>
      <c r="H92" s="20" t="n">
        <v>11908</v>
      </c>
      <c r="I92" s="20" t="n">
        <v>66</v>
      </c>
      <c r="J92" s="21">
        <f>IF(H92=0,0,I92/H92)</f>
        <v/>
      </c>
    </row>
    <row r="93">
      <c r="A93" s="17" t="inlineStr">
        <is>
          <t>Boulanger</t>
        </is>
      </c>
      <c r="B93" s="17" t="inlineStr">
        <is>
          <t>Live</t>
        </is>
      </c>
      <c r="C93" s="17" t="inlineStr">
        <is>
          <t>Boulanger</t>
        </is>
      </c>
      <c r="D93" s="17" t="inlineStr">
        <is>
          <t>Ordinateurs portables et fixes</t>
        </is>
      </c>
      <c r="E93" s="18" t="inlineStr">
        <is>
          <t>Acheter Ordinateur portable - PC Portable</t>
        </is>
      </c>
      <c r="F93" s="17" t="inlineStr">
        <is>
          <t>Ultraportables, PC bureautiques ou machines gamer chez HP, Lenovo, Asus et Apple : livraison offerte, garantie 2 ans et SAV Boulanger 7 jours sur 7.</t>
        </is>
      </c>
      <c r="G93" s="19" t="inlineStr">
        <is>
          <t>https://www.boulanger.com/c/tous-les-ordinateurs-portables/?at_medium=gea&amp;at_campaign=lemrock</t>
        </is>
      </c>
      <c r="H93" s="20" t="n">
        <v>11818</v>
      </c>
      <c r="I93" s="20" t="n">
        <v>107</v>
      </c>
      <c r="J93" s="21">
        <f>IF(H93=0,0,I93/H93)</f>
        <v/>
      </c>
    </row>
    <row r="94">
      <c r="A94" s="17" t="inlineStr">
        <is>
          <t>Boulanger</t>
        </is>
      </c>
      <c r="B94" s="17" t="inlineStr">
        <is>
          <t>Live</t>
        </is>
      </c>
      <c r="C94" s="17" t="inlineStr">
        <is>
          <t>Boulanger</t>
        </is>
      </c>
      <c r="D94" s="17" t="inlineStr">
        <is>
          <t>Claviers, chargeurs et stockage</t>
        </is>
      </c>
      <c r="E94" s="18" t="inlineStr">
        <is>
          <t>Clavier + Souris HP 230 sans fil</t>
        </is>
      </c>
      <c r="F94" s="17" t="inlineStr">
        <is>
          <t>Zéro câble sur le bureau : le clavier et la souris HP 230 se glissent dans le sac et se branchent sur n’importe quel PC. Livraison offerte et SAV Boulanger 7j/7.</t>
        </is>
      </c>
      <c r="G94" s="19" t="inlineStr">
        <is>
          <t>https://www.boulanger.com/ref/1206163?at_medium=gea&amp;at_campaign=lemrock</t>
        </is>
      </c>
      <c r="H94" s="20" t="n">
        <v>11646</v>
      </c>
      <c r="I94" s="20" t="n">
        <v>51</v>
      </c>
      <c r="J94" s="21">
        <f>IF(H94=0,0,I94/H94)</f>
        <v/>
      </c>
    </row>
    <row r="95">
      <c r="A95" s="17" t="inlineStr">
        <is>
          <t>Boulanger</t>
        </is>
      </c>
      <c r="B95" s="17" t="inlineStr">
        <is>
          <t>Live</t>
        </is>
      </c>
      <c r="C95" s="17" t="inlineStr">
        <is>
          <t>Boulanger</t>
        </is>
      </c>
      <c r="D95" s="17" t="inlineStr">
        <is>
          <t>Claviers, chargeurs et stockage</t>
        </is>
      </c>
      <c r="E95" s="18" t="inlineStr">
        <is>
          <t>Chargeur BELKIN 24W 2xUSB-A/USB-C 1m noir</t>
        </is>
      </c>
      <c r="F95" s="17" t="inlineStr">
        <is>
          <t>Deux ports USB-A, 24 W et un câble USB-C d’un mètre fourni : rechargez téléphone et écouteurs sur une seule prise. À retirer en une heure en magasin Boulanger.</t>
        </is>
      </c>
      <c r="G95" s="19" t="inlineStr">
        <is>
          <t>https://www.boulanger.com/ref/1146699?at_medium=gea&amp;at_campaign=lemrock</t>
        </is>
      </c>
      <c r="H95" s="20" t="n">
        <v>11595</v>
      </c>
      <c r="I95" s="20" t="n">
        <v>77</v>
      </c>
      <c r="J95" s="21">
        <f>IF(H95=0,0,I95/H95)</f>
        <v/>
      </c>
    </row>
    <row r="96">
      <c r="A96" s="17" t="inlineStr">
        <is>
          <t>Boulanger</t>
        </is>
      </c>
      <c r="B96" s="17" t="inlineStr">
        <is>
          <t>Live</t>
        </is>
      </c>
      <c r="C96" s="17" t="inlineStr">
        <is>
          <t>Boulanger</t>
        </is>
      </c>
      <c r="D96" s="17" t="inlineStr">
        <is>
          <t>Cartouches d’encre</t>
        </is>
      </c>
      <c r="E96" s="18" t="inlineStr">
        <is>
          <t>Cartouche d'encre HP Originale 305 3 Couleurs (Cyan/Magenta/Jaune) - 3YM60AE</t>
        </is>
      </c>
      <c r="F96" s="17" t="inlineStr">
        <is>
          <t>Cartouche HP 305 d’origine, cyan, magenta et jaune réunis : des couleurs fidèles sur vos photos et vos documents. Retirez-la en une heure dans votre magasin Boulanger.</t>
        </is>
      </c>
      <c r="G96" s="19" t="inlineStr">
        <is>
          <t>https://www.boulanger.com/ref/1145923?at_medium=gea&amp;at_campaign=lemrock</t>
        </is>
      </c>
      <c r="H96" s="20" t="n">
        <v>11345</v>
      </c>
      <c r="I96" s="20" t="n">
        <v>65</v>
      </c>
      <c r="J96" s="21">
        <f>IF(H96=0,0,I96/H96)</f>
        <v/>
      </c>
    </row>
    <row r="97">
      <c r="A97" s="17" t="inlineStr">
        <is>
          <t>Boulanger</t>
        </is>
      </c>
      <c r="B97" s="17" t="inlineStr">
        <is>
          <t>Live</t>
        </is>
      </c>
      <c r="C97" s="17" t="inlineStr">
        <is>
          <t>Boulanger</t>
        </is>
      </c>
      <c r="D97" s="17" t="inlineStr">
        <is>
          <t>iPhone 17</t>
        </is>
      </c>
      <c r="E97" s="18" t="inlineStr">
        <is>
          <t>Smartphone APPLE iPhone 17 Pro 5G 256Go Argent</t>
        </is>
      </c>
      <c r="F97" s="17" t="inlineStr">
        <is>
          <t>Un format plus compact que le Pro Max, avec les mêmes 256 Go et la 5G ; Boulanger reprend votre ancien iPhone et fait baisser la note du nouveau.</t>
        </is>
      </c>
      <c r="G97" s="19" t="inlineStr">
        <is>
          <t>https://www.boulanger.com/ref/1227767?at_medium=gea&amp;at_campaign=lemrock</t>
        </is>
      </c>
      <c r="H97" s="20" t="n">
        <v>11228</v>
      </c>
      <c r="I97" s="20" t="n">
        <v>89</v>
      </c>
      <c r="J97" s="21">
        <f>IF(H97=0,0,I97/H97)</f>
        <v/>
      </c>
    </row>
    <row r="98">
      <c r="A98" s="17" t="inlineStr">
        <is>
          <t>Boulanger</t>
        </is>
      </c>
      <c r="B98" s="17" t="inlineStr">
        <is>
          <t>Live</t>
        </is>
      </c>
      <c r="C98" s="17" t="inlineStr">
        <is>
          <t>Boulanger</t>
        </is>
      </c>
      <c r="D98" s="17" t="inlineStr">
        <is>
          <t>Trottinettes électriques</t>
        </is>
      </c>
      <c r="E98" s="18" t="inlineStr">
        <is>
          <t>Trottinette électrique XIAOMI Electric Scooter 6 Lite Noir</t>
        </is>
      </c>
      <c r="F98" s="17" t="inlineStr">
        <is>
          <t>Pliable en un geste pour le train ou le coffre : la trottinette Xiaomi 6 Lite remplace la voiture sur les petits trajets. Livraison offerte et garantie 2 ans Boulanger.</t>
        </is>
      </c>
      <c r="G98" s="19" t="inlineStr">
        <is>
          <t>https://www.boulanger.com/ref/1235219?at_medium=gea&amp;at_campaign=lemrock</t>
        </is>
      </c>
      <c r="H98" s="20" t="n">
        <v>11166</v>
      </c>
      <c r="I98" s="20" t="n">
        <v>70</v>
      </c>
      <c r="J98" s="21">
        <f>IF(H98=0,0,I98/H98)</f>
        <v/>
      </c>
    </row>
    <row r="99">
      <c r="A99" s="17" t="inlineStr">
        <is>
          <t>Boulanger</t>
        </is>
      </c>
      <c r="B99" s="17" t="inlineStr">
        <is>
          <t>Live</t>
        </is>
      </c>
      <c r="C99" s="17" t="inlineStr">
        <is>
          <t>Boulanger</t>
        </is>
      </c>
      <c r="D99" s="17" t="inlineStr">
        <is>
          <t>Smartphones Android</t>
        </is>
      </c>
      <c r="E99" s="18" t="inlineStr">
        <is>
          <t>Smartphone HONOR Pack 600 Lite 5G 256 Go + Choice Earbuds X7i Blanc</t>
        </is>
      </c>
      <c r="F99" s="17" t="inlineStr">
        <is>
          <t>Honor 600 Lite 5G avec 256 Go et ses écouteurs sans fil Choice Earbuds X7i fournis dans le pack ; garantie 2 ans et SAV Boulanger 7 jours sur 7 compris.</t>
        </is>
      </c>
      <c r="G99" s="19" t="inlineStr">
        <is>
          <t>https://www.boulanger.com/ref/1245425?at_medium=gea&amp;at_campaign=lemrock</t>
        </is>
      </c>
      <c r="H99" s="20" t="n">
        <v>11139</v>
      </c>
      <c r="I99" s="20" t="n">
        <v>55</v>
      </c>
      <c r="J99" s="21">
        <f>IF(H99=0,0,I99/H99)</f>
        <v/>
      </c>
    </row>
    <row r="100">
      <c r="A100" s="17" t="inlineStr">
        <is>
          <t>Boulanger</t>
        </is>
      </c>
      <c r="B100" s="17" t="inlineStr">
        <is>
          <t>Live</t>
        </is>
      </c>
      <c r="C100" s="17" t="inlineStr">
        <is>
          <t>Boulanger</t>
        </is>
      </c>
      <c r="D100" s="17" t="inlineStr">
        <is>
          <t>iPhone 17</t>
        </is>
      </c>
      <c r="E100" s="18" t="inlineStr">
        <is>
          <t>Smartphone APPLE iPhone 17 Pro Max 5G 256Go Argent</t>
        </is>
      </c>
      <c r="F100" s="17" t="inlineStr">
        <is>
          <t>256 Go pour garder toutes vos photos et vidéos, et la 5G pour les partager vite : le grand iPhone 17 Pro Max, livré chez vous sans frais et garanti 2 ans.</t>
        </is>
      </c>
      <c r="G100" s="19" t="inlineStr">
        <is>
          <t>https://www.boulanger.com/ref/1227788?at_medium=gea&amp;at_campaign=lemrock</t>
        </is>
      </c>
      <c r="H100" s="20" t="n">
        <v>11040</v>
      </c>
      <c r="I100" s="20" t="n">
        <v>93</v>
      </c>
      <c r="J100" s="21">
        <f>IF(H100=0,0,I100/H100)</f>
        <v/>
      </c>
    </row>
    <row r="101">
      <c r="A101" s="17" t="inlineStr">
        <is>
          <t>Boulanger</t>
        </is>
      </c>
      <c r="B101" s="17" t="inlineStr">
        <is>
          <t>Live</t>
        </is>
      </c>
      <c r="C101" s="17" t="inlineStr">
        <is>
          <t>Boulanger</t>
        </is>
      </c>
      <c r="D101" s="17" t="inlineStr">
        <is>
          <t>Babyphones</t>
        </is>
      </c>
      <c r="E101" s="18" t="inlineStr">
        <is>
          <t>Babyphone BEABA Babyphone zen connecté</t>
        </is>
      </c>
      <c r="F101" s="17" t="inlineStr">
        <is>
          <t>Suivez votre bébé depuis votre téléphone, où que vous soyez dans la maison, et dormez plus tranquille. Garantie 2 ans et SAV 7j/7 chez Boulanger.</t>
        </is>
      </c>
      <c r="G101" s="19" t="inlineStr">
        <is>
          <t>https://www.boulanger.com/ref/1130324?at_medium=gea&amp;at_campaign=lemrock</t>
        </is>
      </c>
      <c r="H101" s="20" t="n">
        <v>11007</v>
      </c>
      <c r="I101" s="20" t="n">
        <v>75</v>
      </c>
      <c r="J101" s="21">
        <f>IF(H101=0,0,I101/H101)</f>
        <v/>
      </c>
    </row>
    <row r="102">
      <c r="A102" s="17" t="inlineStr">
        <is>
          <t>Boulanger</t>
        </is>
      </c>
      <c r="B102" s="17" t="inlineStr">
        <is>
          <t>Live</t>
        </is>
      </c>
      <c r="C102" s="17" t="inlineStr">
        <is>
          <t>Boulanger</t>
        </is>
      </c>
      <c r="D102" s="17" t="inlineStr">
        <is>
          <t>Clim, chauffage et air</t>
        </is>
      </c>
      <c r="E102" s="18" t="inlineStr">
        <is>
          <t>Climatiseur ELECTROLUX ECU7678CSW</t>
        </is>
      </c>
      <c r="F102" s="17" t="inlineStr">
        <is>
          <t>Un climatiseur Electrolux pour retrouver une pièce fraîche dès les premières chaleurs et mieux dormir l’été. Livraison offerte, garantie 2 ans et SAV 7j/7 Boulanger.</t>
        </is>
      </c>
      <c r="G102" s="19" t="inlineStr">
        <is>
          <t>https://www.boulanger.com/ref/1233891?at_medium=gea&amp;at_campaign=lemrock</t>
        </is>
      </c>
      <c r="H102" s="20" t="n">
        <v>10927</v>
      </c>
      <c r="I102" s="20" t="n">
        <v>74</v>
      </c>
      <c r="J102" s="21">
        <f>IF(H102=0,0,I102/H102)</f>
        <v/>
      </c>
    </row>
    <row r="103">
      <c r="A103" s="17" t="inlineStr">
        <is>
          <t>Boulanger</t>
        </is>
      </c>
      <c r="B103" s="17" t="inlineStr">
        <is>
          <t>Live</t>
        </is>
      </c>
      <c r="C103" s="17" t="inlineStr">
        <is>
          <t>Boulanger</t>
        </is>
      </c>
      <c r="D103" s="17" t="inlineStr">
        <is>
          <t>Apple Watch</t>
        </is>
      </c>
      <c r="E103" s="18" t="inlineStr">
        <is>
          <t>Montre connectée APPLE WATCH Serie 10 42mm Titane Ardoise Loop Cell</t>
        </is>
      </c>
      <c r="F103" s="17" t="inlineStr">
        <is>
          <t>Boîtier titane 42 mm et connexion cellulaire : passez vos appels sans iPhone à portée. Retrait en une heure dans votre magasin Boulanger, garantie 2 ans incluse.</t>
        </is>
      </c>
      <c r="G103" s="19" t="inlineStr">
        <is>
          <t>https://www.boulanger.com/ref/1211701?at_medium=gea&amp;at_campaign=lemrock</t>
        </is>
      </c>
      <c r="H103" s="20" t="n">
        <v>10923</v>
      </c>
      <c r="I103" s="20" t="n">
        <v>70</v>
      </c>
      <c r="J103" s="21">
        <f>IF(H103=0,0,I103/H103)</f>
        <v/>
      </c>
    </row>
    <row r="104">
      <c r="A104" s="17" t="inlineStr">
        <is>
          <t>Boulanger</t>
        </is>
      </c>
      <c r="B104" s="17" t="inlineStr">
        <is>
          <t>Live</t>
        </is>
      </c>
      <c r="C104" s="17" t="inlineStr">
        <is>
          <t>Boulanger</t>
        </is>
      </c>
      <c r="D104" s="17" t="inlineStr">
        <is>
          <t>iPhone reconditionnés</t>
        </is>
      </c>
      <c r="E104" s="18" t="inlineStr">
        <is>
          <t>Smartphone APPLE iPhone 17 5G 256Go Brume Reconditionné</t>
        </is>
      </c>
      <c r="F104" s="17" t="inlineStr">
        <is>
          <t>iPhone 17 256 Go remis en état, testé point par point et garanti 2 ans : un téléphone récent avec la 5G, payé moins cher et livré sans frais chez vous.</t>
        </is>
      </c>
      <c r="G104" s="19" t="inlineStr">
        <is>
          <t>https://www.boulanger.com/ref/1239749?at_medium=gea&amp;at_campaign=lemrock</t>
        </is>
      </c>
      <c r="H104" s="20" t="n">
        <v>10894</v>
      </c>
      <c r="I104" s="20" t="n">
        <v>76</v>
      </c>
      <c r="J104" s="21">
        <f>IF(H104=0,0,I104/H104)</f>
        <v/>
      </c>
    </row>
    <row r="105">
      <c r="A105" s="17" t="inlineStr">
        <is>
          <t>Boulanger</t>
        </is>
      </c>
      <c r="B105" s="17" t="inlineStr">
        <is>
          <t>Live</t>
        </is>
      </c>
      <c r="C105" s="17" t="inlineStr">
        <is>
          <t>Boulanger</t>
        </is>
      </c>
      <c r="D105" s="17" t="inlineStr">
        <is>
          <t>Mac</t>
        </is>
      </c>
      <c r="E105" s="18" t="inlineStr">
        <is>
          <t>Ordinateur Apple IMAC 24" Ecran Retina 4,5K Puce M4 CPU 8 / GPU 8 coeurs Mémoire RAM 16Go Stockage 256Go SSD Bleu Reconditionné</t>
        </is>
      </c>
      <c r="F105" s="17" t="inlineStr">
        <is>
          <t>Écran Retina 4,5K de 24 pouces, puce M4, 16 Go de RAM et SSD 256 Go : un iMac reconditionné et garanti. Reprise de votre ancien Mac et livraison offerte.</t>
        </is>
      </c>
      <c r="G105" s="19" t="inlineStr">
        <is>
          <t>https://www.boulanger.com/ref/1212085?at_medium=gea&amp;at_campaign=lemrock</t>
        </is>
      </c>
      <c r="H105" s="20" t="n">
        <v>10848</v>
      </c>
      <c r="I105" s="20" t="n">
        <v>59</v>
      </c>
      <c r="J105" s="21">
        <f>IF(H105=0,0,I105/H105)</f>
        <v/>
      </c>
    </row>
    <row r="106">
      <c r="A106" s="17" t="inlineStr">
        <is>
          <t>Boulanger</t>
        </is>
      </c>
      <c r="B106" s="17" t="inlineStr">
        <is>
          <t>Live</t>
        </is>
      </c>
      <c r="C106" s="17" t="inlineStr">
        <is>
          <t>Boulanger</t>
        </is>
      </c>
      <c r="D106" s="17" t="inlineStr">
        <is>
          <t>Poêles et ustensiles</t>
        </is>
      </c>
      <c r="E106" s="18" t="inlineStr">
        <is>
          <t>Poêle TEFAL Ingenio Excellence 22cm</t>
        </is>
      </c>
      <c r="F106" s="17" t="inlineStr">
        <is>
          <t>Poignée amovible : la poêle passe de la plaque au four puis au frigo, et se range à plat dans le placard. Livraison offerte et SAV 7j/7 chez Boulanger.</t>
        </is>
      </c>
      <c r="G106" s="19" t="inlineStr">
        <is>
          <t>https://www.boulanger.com/ref/1237704?at_medium=gea&amp;at_campaign=lemrock</t>
        </is>
      </c>
      <c r="H106" s="20" t="n">
        <v>10807</v>
      </c>
      <c r="I106" s="20" t="n">
        <v>61</v>
      </c>
      <c r="J106" s="21">
        <f>IF(H106=0,0,I106/H106)</f>
        <v/>
      </c>
    </row>
    <row r="107">
      <c r="A107" s="17" t="inlineStr">
        <is>
          <t>Boulanger</t>
        </is>
      </c>
      <c r="B107" s="17" t="inlineStr">
        <is>
          <t>Live</t>
        </is>
      </c>
      <c r="C107" s="17" t="inlineStr">
        <is>
          <t>Boulanger</t>
        </is>
      </c>
      <c r="D107" s="17" t="inlineStr">
        <is>
          <t>Mac</t>
        </is>
      </c>
      <c r="E107" s="18" t="inlineStr">
        <is>
          <t>Ordinateur Apple MACBOOK Pro 16' M1 Pro 16Go RAM 512Go SSD Argent Reconditionné</t>
        </is>
      </c>
      <c r="F107" s="17" t="inlineStr">
        <is>
          <t>Puce M1 Pro, 16 Go de RAM, SSD 512 Go et grand écran 16 pouces : un Mac reconditionné, contrôlé et garanti. Livraison offerte par Boulanger.</t>
        </is>
      </c>
      <c r="G107" s="19" t="inlineStr">
        <is>
          <t>https://www.boulanger.com/ref/1235948?at_medium=gea&amp;at_campaign=lemrock</t>
        </is>
      </c>
      <c r="H107" s="20" t="n">
        <v>10802</v>
      </c>
      <c r="I107" s="20" t="n">
        <v>91</v>
      </c>
      <c r="J107" s="21">
        <f>IF(H107=0,0,I107/H107)</f>
        <v/>
      </c>
    </row>
    <row r="108">
      <c r="A108" s="17" t="inlineStr">
        <is>
          <t>Boulanger</t>
        </is>
      </c>
      <c r="B108" s="17" t="inlineStr">
        <is>
          <t>Live</t>
        </is>
      </c>
      <c r="C108" s="17" t="inlineStr">
        <is>
          <t>Boulanger</t>
        </is>
      </c>
      <c r="D108" s="17" t="inlineStr">
        <is>
          <t>Claviers, chargeurs et stockage</t>
        </is>
      </c>
      <c r="E108" s="18" t="inlineStr">
        <is>
          <t>Support smartphone TNB 15W pour Tesla noir et gris</t>
        </is>
      </c>
      <c r="F108" s="17" t="inlineStr">
        <is>
          <t>Support qui recharge votre smartphone sans fil à 15 W et le garde sous les yeux au volant de votre Tesla ; livraison offerte et garantie 2 ans chez Boulanger.</t>
        </is>
      </c>
      <c r="G108" s="19" t="inlineStr">
        <is>
          <t>https://www.boulanger.com/ref/1216311?at_medium=gea&amp;at_campaign=lemrock</t>
        </is>
      </c>
      <c r="H108" s="20" t="n">
        <v>10712</v>
      </c>
      <c r="I108" s="20" t="n">
        <v>41</v>
      </c>
      <c r="J108" s="21">
        <f>IF(H108=0,0,I108/H108)</f>
        <v/>
      </c>
    </row>
    <row r="109">
      <c r="A109" s="17" t="inlineStr">
        <is>
          <t>Boulanger</t>
        </is>
      </c>
      <c r="B109" s="17" t="inlineStr">
        <is>
          <t>Live</t>
        </is>
      </c>
      <c r="C109" s="17" t="inlineStr">
        <is>
          <t>Boulanger</t>
        </is>
      </c>
      <c r="D109" s="17" t="inlineStr">
        <is>
          <t>Claviers, chargeurs et stockage</t>
        </is>
      </c>
      <c r="E109" s="18" t="inlineStr">
        <is>
          <t>Disque SSD externe SAMSUNG Portable 1To T7 gris titane</t>
        </is>
      </c>
      <c r="F109" s="17" t="inlineStr">
        <is>
          <t>1 To de stockage dans un boîtier de poche, transfert rapide de vos photos et vidéos en USB-C. Garantie 2 ans et SAV 7j/7 chez Boulanger.</t>
        </is>
      </c>
      <c r="G109" s="19" t="inlineStr">
        <is>
          <t>https://www.boulanger.com/ref/1145527?at_medium=gea&amp;at_campaign=lemrock</t>
        </is>
      </c>
      <c r="H109" s="20" t="n">
        <v>10670</v>
      </c>
      <c r="I109" s="20" t="n">
        <v>65</v>
      </c>
      <c r="J109" s="21">
        <f>IF(H109=0,0,I109/H109)</f>
        <v/>
      </c>
    </row>
    <row r="110">
      <c r="A110" s="17" t="inlineStr">
        <is>
          <t>Boulanger</t>
        </is>
      </c>
      <c r="B110" s="17" t="inlineStr">
        <is>
          <t>Live</t>
        </is>
      </c>
      <c r="C110" s="17" t="inlineStr">
        <is>
          <t>Boulanger</t>
        </is>
      </c>
      <c r="D110" s="17" t="inlineStr">
        <is>
          <t>Platines vinyle</t>
        </is>
      </c>
      <c r="E110" s="18" t="inlineStr">
        <is>
          <t>Platine vinyle DENON DP-29F silver</t>
        </is>
      </c>
      <c r="F110" s="17" t="inlineStr">
        <is>
          <t>Platine automatique à entraînement par courroie, à brancher sur votre chaîne pour ressortir vos vinyles. SAV 7j/7 et garantie 2 ans chez Boulanger.</t>
        </is>
      </c>
      <c r="G110" s="19" t="inlineStr">
        <is>
          <t>https://www.boulanger.com/ref/666258?at_medium=gea&amp;at_campaign=lemrock</t>
        </is>
      </c>
      <c r="H110" s="20" t="n">
        <v>10648</v>
      </c>
      <c r="I110" s="20" t="n">
        <v>58</v>
      </c>
      <c r="J110" s="21">
        <f>IF(H110=0,0,I110/H110)</f>
        <v/>
      </c>
    </row>
    <row r="111">
      <c r="A111" s="17" t="inlineStr">
        <is>
          <t>Boulanger</t>
        </is>
      </c>
      <c r="B111" s="17" t="inlineStr">
        <is>
          <t>Live</t>
        </is>
      </c>
      <c r="C111" s="17" t="inlineStr">
        <is>
          <t>Boulanger</t>
        </is>
      </c>
      <c r="D111" s="17" t="inlineStr">
        <is>
          <t>PC et fauteuils gamer</t>
        </is>
      </c>
      <c r="E111" s="18" t="inlineStr">
        <is>
          <t>PC Gamer DELL PC Gamer DELL Alienware m15 R6-150 Reconditionné</t>
        </is>
      </c>
      <c r="F111" s="17" t="inlineStr">
        <is>
          <t>PC gamer Alienware m15 reconditionné, testé et garanti par Boulanger : la puissance Dell pour jouer, à prix réduit, avec le SAV 7 jours sur 7 en cas de souci.</t>
        </is>
      </c>
      <c r="G111" s="19" t="inlineStr">
        <is>
          <t>https://www.boulanger.com/ref/1239903?at_medium=gea&amp;at_campaign=lemrock</t>
        </is>
      </c>
      <c r="H111" s="20" t="n">
        <v>10641</v>
      </c>
      <c r="I111" s="20" t="n">
        <v>108</v>
      </c>
      <c r="J111" s="21">
        <f>IF(H111=0,0,I111/H111)</f>
        <v/>
      </c>
    </row>
    <row r="112">
      <c r="A112" s="17" t="inlineStr">
        <is>
          <t>Boulanger</t>
        </is>
      </c>
      <c r="B112" s="17" t="inlineStr">
        <is>
          <t>Live</t>
        </is>
      </c>
      <c r="C112" s="17" t="inlineStr">
        <is>
          <t>Boulanger</t>
        </is>
      </c>
      <c r="D112" s="17" t="inlineStr">
        <is>
          <t>Barbecues et planchas</t>
        </is>
      </c>
      <c r="E112" s="18" t="inlineStr">
        <is>
          <t>Barbecue charbon WEBER Charbon Performer Premium 57 cm</t>
        </is>
      </c>
      <c r="F112" s="17" t="inlineStr">
        <is>
          <t>Cuve 57 cm et chariot avec plan de travail : le Weber Performer Premium met tout à portée de main pendant la cuisson. Livraison offerte et SAV Boulanger 7j/7.</t>
        </is>
      </c>
      <c r="G112" s="19" t="inlineStr">
        <is>
          <t>https://www.boulanger.com/ref/1230603?at_medium=gea&amp;at_campaign=lemrock</t>
        </is>
      </c>
      <c r="H112" s="20" t="n">
        <v>10607</v>
      </c>
      <c r="I112" s="20" t="n">
        <v>56</v>
      </c>
      <c r="J112" s="21">
        <f>IF(H112=0,0,I112/H112)</f>
        <v/>
      </c>
    </row>
    <row r="113">
      <c r="A113" s="17" t="inlineStr">
        <is>
          <t>Boulanger</t>
        </is>
      </c>
      <c r="B113" s="17" t="inlineStr">
        <is>
          <t>Live</t>
        </is>
      </c>
      <c r="C113" s="17" t="inlineStr">
        <is>
          <t>Boulanger</t>
        </is>
      </c>
      <c r="D113" s="17" t="inlineStr">
        <is>
          <t>iPhone reconditionnés</t>
        </is>
      </c>
      <c r="E113" s="18" t="inlineStr">
        <is>
          <t>Smartphone APPLE iPhone 17 5G 512Go Noir Reconditionné</t>
        </is>
      </c>
      <c r="F113" s="17" t="inlineStr">
        <is>
          <t>512 Go de stockage pour ne plus jamais trier vos photos, la 5G, et un reconditionnement garanti par Boulanger ; reprise de votre ancien mobile possible.</t>
        </is>
      </c>
      <c r="G113" s="19" t="inlineStr">
        <is>
          <t>https://www.boulanger.com/ref/1227774?at_medium=gea&amp;at_campaign=lemrock</t>
        </is>
      </c>
      <c r="H113" s="20" t="n">
        <v>10538</v>
      </c>
      <c r="I113" s="20" t="n">
        <v>69</v>
      </c>
      <c r="J113" s="21">
        <f>IF(H113=0,0,I113/H113)</f>
        <v/>
      </c>
    </row>
    <row r="114">
      <c r="A114" s="17" t="inlineStr">
        <is>
          <t>Boulanger</t>
        </is>
      </c>
      <c r="B114" s="17" t="inlineStr">
        <is>
          <t>Live</t>
        </is>
      </c>
      <c r="C114" s="17" t="inlineStr">
        <is>
          <t>Boulanger</t>
        </is>
      </c>
      <c r="D114" s="17" t="inlineStr">
        <is>
          <t>Robots cuiseurs et cuisson</t>
        </is>
      </c>
      <c r="E114" s="18" t="inlineStr">
        <is>
          <t>Cookeo MOULINEX YY5855FB WIFI 9-EN-1, 6 L, 9 modes de cuisson, 150 recettes + Extra crisp</t>
        </is>
      </c>
      <c r="F114" s="17" t="inlineStr">
        <is>
          <t>Cuve 6 L, 9 modes de cuisson, 150 recettes guidées et couvercle Extra crisp pour dorer. Le Wifi charge de nouvelles recettes. Livraison offerte chez Boulanger.</t>
        </is>
      </c>
      <c r="G114" s="19" t="inlineStr">
        <is>
          <t>https://www.boulanger.com/ref/1231923?at_medium=gea&amp;at_campaign=lemrock</t>
        </is>
      </c>
      <c r="H114" s="20" t="n">
        <v>10532</v>
      </c>
      <c r="I114" s="20" t="n">
        <v>65</v>
      </c>
      <c r="J114" s="21">
        <f>IF(H114=0,0,I114/H114)</f>
        <v/>
      </c>
    </row>
    <row r="115">
      <c r="A115" s="17" t="inlineStr">
        <is>
          <t>Boulanger</t>
        </is>
      </c>
      <c r="B115" s="17" t="inlineStr">
        <is>
          <t>Live</t>
        </is>
      </c>
      <c r="C115" s="17" t="inlineStr">
        <is>
          <t>Boulanger</t>
        </is>
      </c>
      <c r="D115" s="17" t="inlineStr">
        <is>
          <t>Barbecues et planchas</t>
        </is>
      </c>
      <c r="E115" s="18" t="inlineStr">
        <is>
          <t>Plancha gaz CAMPINGAZ SIGMA 2 PRO 2 brûlreurs avec couvercle de cuisson à poser , 58x36 cm</t>
        </is>
      </c>
      <c r="F115" s="17" t="inlineStr">
        <is>
          <t>Plaque 58 x 36 cm, deux brûleurs et couvercle : la plancha Campingaz Sigma 2 Pro se pose sur la table et grille pour toute la famille. Livraison offerte, garantie 2 ans.</t>
        </is>
      </c>
      <c r="G115" s="19" t="inlineStr">
        <is>
          <t>https://www.boulanger.com/ref/1216507?at_medium=gea&amp;at_campaign=lemrock</t>
        </is>
      </c>
      <c r="H115" s="20" t="n">
        <v>10515</v>
      </c>
      <c r="I115" s="20" t="n">
        <v>37</v>
      </c>
      <c r="J115" s="21">
        <f>IF(H115=0,0,I115/H115)</f>
        <v/>
      </c>
    </row>
    <row r="116">
      <c r="A116" s="17" t="inlineStr">
        <is>
          <t>Boulanger</t>
        </is>
      </c>
      <c r="B116" s="17" t="inlineStr">
        <is>
          <t>Live</t>
        </is>
      </c>
      <c r="C116" s="17" t="inlineStr">
        <is>
          <t>Boulanger</t>
        </is>
      </c>
      <c r="D116" s="17" t="inlineStr">
        <is>
          <t>PC et fauteuils gamer</t>
        </is>
      </c>
      <c r="E116" s="18" t="inlineStr">
        <is>
          <t>Chaise gaming SPIRIT OF GAMER HELLCAT</t>
        </is>
      </c>
      <c r="F116" s="17" t="inlineStr">
        <is>
          <t>Une chaise gaming réglable pour rester assis des heures sans mal de dos, devant l’écran ou au bureau. Garantie 2 ans et livraison offerte par Boulanger.</t>
        </is>
      </c>
      <c r="G116" s="19" t="inlineStr">
        <is>
          <t>https://www.boulanger.com/ref/1161017?at_medium=gea&amp;at_campaign=lemrock</t>
        </is>
      </c>
      <c r="H116" s="20" t="n">
        <v>10485</v>
      </c>
      <c r="I116" s="20" t="n">
        <v>70</v>
      </c>
      <c r="J116" s="21">
        <f>IF(H116=0,0,I116/H116)</f>
        <v/>
      </c>
    </row>
    <row r="117">
      <c r="A117" s="17" t="inlineStr">
        <is>
          <t>Boulanger</t>
        </is>
      </c>
      <c r="B117" s="17" t="inlineStr">
        <is>
          <t>Live</t>
        </is>
      </c>
      <c r="C117" s="17" t="inlineStr">
        <is>
          <t>Boulanger</t>
        </is>
      </c>
      <c r="D117" s="17" t="inlineStr">
        <is>
          <t>Manettes, volants et jeux</t>
        </is>
      </c>
      <c r="E117" s="18" t="inlineStr">
        <is>
          <t>Manette SONY DUALSENSE MIDNIGHT NOIR PS5</t>
        </is>
      </c>
      <c r="F117" s="17" t="inlineStr">
        <is>
          <t>Manette sans fil PS5 officielle Sony en coloris Midnight Black, avec retour haptique et gâchettes adaptatives ; à retirer en une heure dans votre magasin Boulanger.</t>
        </is>
      </c>
      <c r="G117" s="19" t="inlineStr">
        <is>
          <t>https://www.boulanger.com/ref/1231768?at_medium=gea&amp;at_campaign=lemrock</t>
        </is>
      </c>
      <c r="H117" s="20" t="n">
        <v>10455</v>
      </c>
      <c r="I117" s="20" t="n">
        <v>53</v>
      </c>
      <c r="J117" s="21">
        <f>IF(H117=0,0,I117/H117)</f>
        <v/>
      </c>
    </row>
    <row r="118">
      <c r="A118" s="17" t="inlineStr">
        <is>
          <t>Boulanger</t>
        </is>
      </c>
      <c r="B118" s="17" t="inlineStr">
        <is>
          <t>Live</t>
        </is>
      </c>
      <c r="C118" s="17" t="inlineStr">
        <is>
          <t>Boulanger</t>
        </is>
      </c>
      <c r="D118" s="17" t="inlineStr">
        <is>
          <t>Mac</t>
        </is>
      </c>
      <c r="E118" s="18" t="inlineStr">
        <is>
          <t>Ordinateur Apple MACBOOK Air 13" Puce M5 CPU 10 / GPU 8 coeurs Mémoire RAM 16Go Stockage 512Go SSD Argent</t>
        </is>
      </c>
      <c r="F118" s="17" t="inlineStr">
        <is>
          <t>Puce M5 à 10 cœurs, 16 Go de RAM et SSD 512 Go dans un portable fin et silencieux, sans ventilateur. Retrait 1h en magasin Boulanger, garantie 2 ans.</t>
        </is>
      </c>
      <c r="G118" s="19" t="inlineStr">
        <is>
          <t>https://www.boulanger.com/ref/1235538?at_medium=gea&amp;at_campaign=lemrock</t>
        </is>
      </c>
      <c r="H118" s="20" t="n">
        <v>10375</v>
      </c>
      <c r="I118" s="20" t="n">
        <v>46</v>
      </c>
      <c r="J118" s="21">
        <f>IF(H118=0,0,I118/H118)</f>
        <v/>
      </c>
    </row>
    <row r="119">
      <c r="A119" s="17" t="inlineStr">
        <is>
          <t>Boulanger</t>
        </is>
      </c>
      <c r="B119" s="17" t="inlineStr">
        <is>
          <t>Live</t>
        </is>
      </c>
      <c r="C119" s="17" t="inlineStr">
        <is>
          <t>Boulanger</t>
        </is>
      </c>
      <c r="D119" s="17" t="inlineStr">
        <is>
          <t>iPhone reconditionnés</t>
        </is>
      </c>
      <c r="E119" s="18" t="inlineStr">
        <is>
          <t>Smartphone APPLE iPhone 16 5G 128Go Noir Reconditionné</t>
        </is>
      </c>
      <c r="F119" s="17" t="inlineStr">
        <is>
          <t>L’iPhone 16 en 128 Go, remis en état et garanti, avec la 5G pour la vitesse ; le SAV Boulanger vous répond 7 jours sur 7 si vous avez besoin d’aide.</t>
        </is>
      </c>
      <c r="G119" s="19" t="inlineStr">
        <is>
          <t>https://www.boulanger.com/ref/1234834?at_medium=gea&amp;at_campaign=lemrock</t>
        </is>
      </c>
      <c r="H119" s="20" t="n">
        <v>10336</v>
      </c>
      <c r="I119" s="20" t="n">
        <v>58</v>
      </c>
      <c r="J119" s="21">
        <f>IF(H119=0,0,I119/H119)</f>
        <v/>
      </c>
    </row>
    <row r="120">
      <c r="A120" s="17" t="inlineStr">
        <is>
          <t>Boulanger</t>
        </is>
      </c>
      <c r="B120" s="17" t="inlineStr">
        <is>
          <t>Live</t>
        </is>
      </c>
      <c r="C120" s="17" t="inlineStr">
        <is>
          <t>Boulanger</t>
        </is>
      </c>
      <c r="D120" s="17" t="inlineStr">
        <is>
          <t>Clim, chauffage et air</t>
        </is>
      </c>
      <c r="E120" s="18" t="inlineStr">
        <is>
          <t>Tête thermostatique connectée TADO X pour radiateur</t>
        </is>
      </c>
      <c r="F120" s="17" t="inlineStr">
        <is>
          <t>Réglez chaque radiateur depuis votre téléphone et chauffez seulement les pièces occupées, pour payer moins. SAV 7j/7 et garantie 2 ans chez Boulanger.</t>
        </is>
      </c>
      <c r="G120" s="19" t="inlineStr">
        <is>
          <t>https://www.boulanger.com/ref/1206530?at_medium=gea&amp;at_campaign=lemrock</t>
        </is>
      </c>
      <c r="H120" s="20" t="n">
        <v>10298</v>
      </c>
      <c r="I120" s="20" t="n">
        <v>53</v>
      </c>
      <c r="J120" s="21">
        <f>IF(H120=0,0,I120/H120)</f>
        <v/>
      </c>
    </row>
    <row r="121">
      <c r="A121" s="17" t="inlineStr">
        <is>
          <t>Boulanger</t>
        </is>
      </c>
      <c r="B121" s="17" t="inlineStr">
        <is>
          <t>Live</t>
        </is>
      </c>
      <c r="C121" s="17" t="inlineStr">
        <is>
          <t>Boulanger</t>
        </is>
      </c>
      <c r="D121" s="17" t="inlineStr">
        <is>
          <t>Cartouches d’encre</t>
        </is>
      </c>
      <c r="E121" s="18" t="inlineStr">
        <is>
          <t>Cartouche d'encre CANON Originale CLI-36 3 Couleurs (CMY) PIXMA - 1511B001</t>
        </is>
      </c>
      <c r="F121" s="17" t="inlineStr">
        <is>
          <t>Cartouche Canon CLI-36 d’origine pour imprimantes PIXMA : cyan, magenta et jaune réunis pour des tirages fidèles. Livraison offerte et SAV Boulanger 7j/7.</t>
        </is>
      </c>
      <c r="G121" s="19" t="inlineStr">
        <is>
          <t>https://www.boulanger.com/ref/851074?at_medium=gea&amp;at_campaign=lemrock</t>
        </is>
      </c>
      <c r="H121" s="20" t="n">
        <v>10199</v>
      </c>
      <c r="I121" s="20" t="n">
        <v>60</v>
      </c>
      <c r="J121" s="21">
        <f>IF(H121=0,0,I121/H121)</f>
        <v/>
      </c>
    </row>
    <row r="122">
      <c r="A122" s="17" t="inlineStr">
        <is>
          <t>Boulanger</t>
        </is>
      </c>
      <c r="B122" s="17" t="inlineStr">
        <is>
          <t>Live</t>
        </is>
      </c>
      <c r="C122" s="17" t="inlineStr">
        <is>
          <t>Boulanger</t>
        </is>
      </c>
      <c r="D122" s="17" t="inlineStr">
        <is>
          <t>PC et fauteuils gamer</t>
        </is>
      </c>
      <c r="E122" s="18" t="inlineStr">
        <is>
          <t>PC Gamer HP Victus 15,6" FHD 144Hz AMD Ryzen AI 5 340 Nvidia GeForce RTX 5060 16 Go RAM DDR5 SSD 512 Go Copilot+</t>
        </is>
      </c>
      <c r="F122" s="17" t="inlineStr">
        <is>
          <t>Écran 15,6 pouces 144 Hz, RTX 5060, 16 Go de DDR5 et SSD 512 Go : le HP Victus fait tourner vos jeux sans saccade ; livraison offerte et garantie 2 ans.</t>
        </is>
      </c>
      <c r="G122" s="19" t="inlineStr">
        <is>
          <t>https://www.boulanger.com/ref/1220676?at_medium=gea&amp;at_campaign=lemrock</t>
        </is>
      </c>
      <c r="H122" s="20" t="n">
        <v>10185</v>
      </c>
      <c r="I122" s="20" t="n">
        <v>67</v>
      </c>
      <c r="J122" s="21">
        <f>IF(H122=0,0,I122/H122)</f>
        <v/>
      </c>
    </row>
    <row r="123">
      <c r="A123" s="17" t="inlineStr">
        <is>
          <t>Boulanger</t>
        </is>
      </c>
      <c r="B123" s="17" t="inlineStr">
        <is>
          <t>Live</t>
        </is>
      </c>
      <c r="C123" s="17" t="inlineStr">
        <is>
          <t>Boulanger</t>
        </is>
      </c>
      <c r="D123" s="17" t="inlineStr">
        <is>
          <t>Casques et écouteurs</t>
        </is>
      </c>
      <c r="E123" s="18" t="inlineStr">
        <is>
          <t>Casque MARSHALL Major IV Noir</t>
        </is>
      </c>
      <c r="F123" s="17" t="inlineStr">
        <is>
          <t>Casque sans fil au look ampli Marshall, pliable, avec une autonomie qui se compte en jours. Retrait en une heure dans votre magasin Boulanger, garantie 2 ans.</t>
        </is>
      </c>
      <c r="G123" s="19" t="inlineStr">
        <is>
          <t>https://www.boulanger.com/ref/1153425?at_medium=gea&amp;at_campaign=lemrock</t>
        </is>
      </c>
      <c r="H123" s="20" t="n">
        <v>10167</v>
      </c>
      <c r="I123" s="20" t="n">
        <v>45</v>
      </c>
      <c r="J123" s="21">
        <f>IF(H123=0,0,I123/H123)</f>
        <v/>
      </c>
    </row>
    <row r="124">
      <c r="A124" s="17" t="inlineStr">
        <is>
          <t>Boulanger</t>
        </is>
      </c>
      <c r="B124" s="17" t="inlineStr">
        <is>
          <t>Live</t>
        </is>
      </c>
      <c r="C124" s="17" t="inlineStr">
        <is>
          <t>Boulanger</t>
        </is>
      </c>
      <c r="D124" s="17" t="inlineStr">
        <is>
          <t>iPad</t>
        </is>
      </c>
      <c r="E124" s="18" t="inlineStr">
        <is>
          <t>Tablette Apple IPAD Air 13 M4 128Go Gris Sidéral 2026</t>
        </is>
      </c>
      <c r="F124" s="17" t="inlineStr">
        <is>
          <t>Le grand format 13 pouces de l’iPad Air avec la puce M4 et 128 Go, pour travailler sur deux fenêtres sans plisser les yeux ; SAV Boulanger 7 jours sur 7.</t>
        </is>
      </c>
      <c r="G124" s="19" t="inlineStr">
        <is>
          <t>https://www.boulanger.com/ref/1235797?at_medium=gea&amp;at_campaign=lemrock</t>
        </is>
      </c>
      <c r="H124" s="20" t="n">
        <v>10117</v>
      </c>
      <c r="I124" s="20" t="n">
        <v>58</v>
      </c>
      <c r="J124" s="21">
        <f>IF(H124=0,0,I124/H124)</f>
        <v/>
      </c>
    </row>
    <row r="125">
      <c r="A125" s="17" t="inlineStr">
        <is>
          <t>Boulanger</t>
        </is>
      </c>
      <c r="B125" s="17" t="inlineStr">
        <is>
          <t>Live</t>
        </is>
      </c>
      <c r="C125" s="17" t="inlineStr">
        <is>
          <t>Boulanger</t>
        </is>
      </c>
      <c r="D125" s="17" t="inlineStr">
        <is>
          <t>Lavage</t>
        </is>
      </c>
      <c r="E125" s="18" t="inlineStr">
        <is>
          <t>Lave linge hublot WHIRLPOOL FFDB10489BVFR - 10 kg - 1400 tr/min - Classe A - Moteur induction</t>
        </is>
      </c>
      <c r="F125" s="17" t="inlineStr">
        <is>
          <t>Tambour 10 kg pour les grandes lessives, essorage 1400 tr/min, classe A et moteur induction plus silencieux. Livraison offerte et reprise de l’ancien appareil.</t>
        </is>
      </c>
      <c r="G125" s="19" t="inlineStr">
        <is>
          <t>https://www.boulanger.com/ref/1207576?at_medium=gea&amp;at_campaign=lemrock</t>
        </is>
      </c>
      <c r="H125" s="20" t="n">
        <v>10104</v>
      </c>
      <c r="I125" s="20" t="n">
        <v>78</v>
      </c>
      <c r="J125" s="21">
        <f>IF(H125=0,0,I125/H125)</f>
        <v/>
      </c>
    </row>
    <row r="126">
      <c r="A126" s="17" t="inlineStr">
        <is>
          <t>Boulanger</t>
        </is>
      </c>
      <c r="B126" s="17" t="inlineStr">
        <is>
          <t>Live</t>
        </is>
      </c>
      <c r="C126" s="17" t="inlineStr">
        <is>
          <t>Boulanger</t>
        </is>
      </c>
      <c r="D126" s="17" t="inlineStr">
        <is>
          <t>iPhone reconditionnés</t>
        </is>
      </c>
      <c r="E126" s="18" t="inlineStr">
        <is>
          <t>Smartphone APPLE iPhone 15 5G 128Go Noir Reconditionné</t>
        </is>
      </c>
      <c r="F126" s="17" t="inlineStr">
        <is>
          <t>iPhone 15 128 Go reconditionné, testé et garanti 2 ans : un smartphone Apple récent à moindre coût, à retirer en une heure dans votre magasin Boulanger.</t>
        </is>
      </c>
      <c r="G126" s="19" t="inlineStr">
        <is>
          <t>https://www.boulanger.com/ref/1234739?at_medium=gea&amp;at_campaign=lemrock</t>
        </is>
      </c>
      <c r="H126" s="20" t="n">
        <v>10090</v>
      </c>
      <c r="I126" s="20" t="n">
        <v>83</v>
      </c>
      <c r="J126" s="21">
        <f>IF(H126=0,0,I126/H126)</f>
        <v/>
      </c>
    </row>
    <row r="127">
      <c r="A127" s="17" t="inlineStr">
        <is>
          <t>Boulanger</t>
        </is>
      </c>
      <c r="B127" s="17" t="inlineStr">
        <is>
          <t>Live</t>
        </is>
      </c>
      <c r="C127" s="17" t="inlineStr">
        <is>
          <t>Boulanger</t>
        </is>
      </c>
      <c r="D127" s="17" t="inlineStr">
        <is>
          <t>Manettes, volants et jeux</t>
        </is>
      </c>
      <c r="E127" s="18" t="inlineStr">
        <is>
          <t>Jeu PS5 SONY LEGO HORIZON ADVENTURES</t>
        </is>
      </c>
      <c r="F127" s="17" t="inlineStr">
        <is>
          <t>L’aventure d’Aloy revisitée en briques LEGO sur PS5, à jouer seul ou à deux en coopération, pour petits et grands ; livraison offerte chez Boulanger.</t>
        </is>
      </c>
      <c r="G127" s="19" t="inlineStr">
        <is>
          <t>https://www.boulanger.com/ref/1214300?at_medium=gea&amp;at_campaign=lemrock</t>
        </is>
      </c>
      <c r="H127" s="20" t="n">
        <v>10069</v>
      </c>
      <c r="I127" s="20" t="n">
        <v>61</v>
      </c>
      <c r="J127" s="21">
        <f>IF(H127=0,0,I127/H127)</f>
        <v/>
      </c>
    </row>
    <row r="128">
      <c r="A128" s="17" t="inlineStr">
        <is>
          <t>Boulanger</t>
        </is>
      </c>
      <c r="B128" s="17" t="inlineStr">
        <is>
          <t>Live</t>
        </is>
      </c>
      <c r="C128" s="17" t="inlineStr">
        <is>
          <t>Boulanger</t>
        </is>
      </c>
      <c r="D128" s="17" t="inlineStr">
        <is>
          <t>Clim, chauffage et air</t>
        </is>
      </c>
      <c r="E128" s="18" t="inlineStr">
        <is>
          <t>Ventilateur ROWENTA VU6220F0</t>
        </is>
      </c>
      <c r="F128" s="17" t="inlineStr">
        <is>
          <t>Ventilateur qui brasse l’air d’une grande pièce pendant les nuits chaudes, sans vous réveiller. Retrait 1h en magasin Boulanger, garantie 2 ans et SAV 7j/7.</t>
        </is>
      </c>
      <c r="G128" s="19" t="inlineStr">
        <is>
          <t>https://www.boulanger.com/ref/1235609?at_medium=gea&amp;at_campaign=lemrock</t>
        </is>
      </c>
      <c r="H128" s="20" t="n">
        <v>10048</v>
      </c>
      <c r="I128" s="20" t="n">
        <v>61</v>
      </c>
      <c r="J128" s="21">
        <f>IF(H128=0,0,I128/H128)</f>
        <v/>
      </c>
    </row>
    <row r="129">
      <c r="A129" s="17" t="inlineStr">
        <is>
          <t>Boulanger</t>
        </is>
      </c>
      <c r="B129" s="17" t="inlineStr">
        <is>
          <t>Live</t>
        </is>
      </c>
      <c r="C129" s="17" t="inlineStr">
        <is>
          <t>Boulanger</t>
        </is>
      </c>
      <c r="D129" s="17" t="inlineStr">
        <is>
          <t>Coques et batteries iPhone</t>
        </is>
      </c>
      <c r="E129" s="18" t="inlineStr">
        <is>
          <t>Coque ADEQWAT iPhone 17 Pro Antichoc Made In France</t>
        </is>
      </c>
      <c r="F129" s="17" t="inlineStr">
        <is>
          <t>Fabriquée en France, cette coque antichoc amortit les chutes de votre iPhone 17 Pro ; ajoutez-la à votre commande et profitez de la livraison offerte.</t>
        </is>
      </c>
      <c r="G129" s="19" t="inlineStr">
        <is>
          <t>https://www.boulanger.com/ref/8011808?at_medium=gea&amp;at_campaign=lemrock</t>
        </is>
      </c>
      <c r="H129" s="20" t="n">
        <v>10042</v>
      </c>
      <c r="I129" s="20" t="n">
        <v>66</v>
      </c>
      <c r="J129" s="21">
        <f>IF(H129=0,0,I129/H129)</f>
        <v/>
      </c>
    </row>
    <row r="130">
      <c r="A130" s="17" t="inlineStr">
        <is>
          <t>Boulanger</t>
        </is>
      </c>
      <c r="B130" s="17" t="inlineStr">
        <is>
          <t>Live</t>
        </is>
      </c>
      <c r="C130" s="17" t="inlineStr">
        <is>
          <t>Boulanger</t>
        </is>
      </c>
      <c r="D130" s="17" t="inlineStr">
        <is>
          <t>Liseuses</t>
        </is>
      </c>
      <c r="E130" s="18" t="inlineStr">
        <is>
          <t>Liseuse eBook AMAZON Kindle 16 Go Vert Matcha (modèle 2024)</t>
        </is>
      </c>
      <c r="F130" s="17" t="inlineStr">
        <is>
          <t>Kindle 2024 vert matcha, 16 Go pour des milliers de livres et un écran lisible en plein soleil. Retrait 1h en magasin ou livraison offerte, garantie 2 ans Boulanger.</t>
        </is>
      </c>
      <c r="G130" s="19" t="inlineStr">
        <is>
          <t>https://www.boulanger.com/ref/1212169?at_medium=gea&amp;at_campaign=lemrock</t>
        </is>
      </c>
      <c r="H130" s="20" t="n">
        <v>10036</v>
      </c>
      <c r="I130" s="20" t="n">
        <v>61</v>
      </c>
      <c r="J130" s="21">
        <f>IF(H130=0,0,I130/H130)</f>
        <v/>
      </c>
    </row>
    <row r="131">
      <c r="A131" s="17" t="inlineStr">
        <is>
          <t>Boulanger</t>
        </is>
      </c>
      <c r="B131" s="17" t="inlineStr">
        <is>
          <t>Live</t>
        </is>
      </c>
      <c r="C131" s="17" t="inlineStr">
        <is>
          <t>Boulanger</t>
        </is>
      </c>
      <c r="D131" s="17" t="inlineStr">
        <is>
          <t>Manettes, volants et jeux</t>
        </is>
      </c>
      <c r="E131" s="18" t="inlineStr">
        <is>
          <t>Volant + Levier de vitesses + Pédalier LOGITECH G923 SE - Xbox</t>
        </is>
      </c>
      <c r="F131" s="17" t="inlineStr">
        <is>
          <t>Volant, pédalier et levier de vitesses Logitech G923 compatibles Xbox : le trio complet pour piloter comme en vrai ; livraison offerte et garantie 2 ans chez Boulanger.</t>
        </is>
      </c>
      <c r="G131" s="19" t="inlineStr">
        <is>
          <t>https://www.boulanger.com/ref/1212987?at_medium=gea&amp;at_campaign=lemrock</t>
        </is>
      </c>
      <c r="H131" s="20" t="n">
        <v>10033</v>
      </c>
      <c r="I131" s="20" t="n">
        <v>70</v>
      </c>
      <c r="J131" s="21">
        <f>IF(H131=0,0,I131/H131)</f>
        <v/>
      </c>
    </row>
    <row r="132">
      <c r="A132" s="17" t="inlineStr">
        <is>
          <t>Boulanger</t>
        </is>
      </c>
      <c r="B132" s="17" t="inlineStr">
        <is>
          <t>Live</t>
        </is>
      </c>
      <c r="C132" s="17" t="inlineStr">
        <is>
          <t>Boulanger</t>
        </is>
      </c>
      <c r="D132" s="17" t="inlineStr">
        <is>
          <t>Smartphones Samsung Galaxy</t>
        </is>
      </c>
      <c r="E132" s="18" t="inlineStr">
        <is>
          <t>Smartphone SAMSUNG Galaxy A17 4G 128 Go Noir</t>
        </is>
      </c>
      <c r="F132" s="17" t="inlineStr">
        <is>
          <t>Un Samsung simple et abordable avec 128 Go, en 4G, pour appeler, photographier et naviguer sans se compliquer ; garantie 2 ans et SAV Boulanger 7 jours sur 7.</t>
        </is>
      </c>
      <c r="G132" s="19" t="inlineStr">
        <is>
          <t>https://www.boulanger.com/ref/1227532?at_medium=gea&amp;at_campaign=lemrock</t>
        </is>
      </c>
      <c r="H132" s="20" t="n">
        <v>10007</v>
      </c>
      <c r="I132" s="20" t="n">
        <v>68</v>
      </c>
      <c r="J132" s="21">
        <f>IF(H132=0,0,I132/H132)</f>
        <v/>
      </c>
    </row>
    <row r="133">
      <c r="A133" s="17" t="inlineStr">
        <is>
          <t>Boulanger</t>
        </is>
      </c>
      <c r="B133" s="17" t="inlineStr">
        <is>
          <t>Live</t>
        </is>
      </c>
      <c r="C133" s="17" t="inlineStr">
        <is>
          <t>Boulanger</t>
        </is>
      </c>
      <c r="D133" s="17" t="inlineStr">
        <is>
          <t>Casques et écouteurs</t>
        </is>
      </c>
      <c r="E133" s="18" t="inlineStr">
        <is>
          <t>Casque gamer JBL Quantum 650 Blanc</t>
        </is>
      </c>
      <c r="F133" s="17" t="inlineStr">
        <is>
          <t>Un casque JBL Quantum 650 blanc, sans fil, avec micro pour parler à votre équipe en pleine partie. À retirer en une heure dans votre magasin Boulanger, garantie 2 ans.</t>
        </is>
      </c>
      <c r="G133" s="19" t="inlineStr">
        <is>
          <t>https://www.boulanger.com/ref/1232043?at_medium=gea&amp;at_campaign=lemrock</t>
        </is>
      </c>
      <c r="H133" s="20" t="n">
        <v>9964</v>
      </c>
      <c r="I133" s="20" t="n">
        <v>55</v>
      </c>
      <c r="J133" s="21">
        <f>IF(H133=0,0,I133/H133)</f>
        <v/>
      </c>
    </row>
    <row r="134">
      <c r="A134" s="17" t="inlineStr">
        <is>
          <t>Boulanger</t>
        </is>
      </c>
      <c r="B134" s="17" t="inlineStr">
        <is>
          <t>Live</t>
        </is>
      </c>
      <c r="C134" s="17" t="inlineStr">
        <is>
          <t>Boulanger</t>
        </is>
      </c>
      <c r="D134" s="17" t="inlineStr">
        <is>
          <t>Smartphones Android</t>
        </is>
      </c>
      <c r="E134" s="18" t="inlineStr">
        <is>
          <t>Smartphone OPPO Pack Reno 16 FS 5G 512Go Noir + Oppo Enco Air5 Pro</t>
        </is>
      </c>
      <c r="F134" s="17" t="inlineStr">
        <is>
          <t>Reno 16 FS noir, 5G et 512 Go pour ne plus jamais trier ses photos, avec les écouteurs Enco Air5 Pro inclus dans le pack. Livraison offerte et garantie 2 ans Boulanger.</t>
        </is>
      </c>
      <c r="G134" s="19" t="inlineStr">
        <is>
          <t>https://www.boulanger.com/ref/1243344?at_medium=gea&amp;at_campaign=lemrock</t>
        </is>
      </c>
      <c r="H134" s="20" t="n">
        <v>9903</v>
      </c>
      <c r="I134" s="20" t="n">
        <v>60</v>
      </c>
      <c r="J134" s="21">
        <f>IF(H134=0,0,I134/H134)</f>
        <v/>
      </c>
    </row>
    <row r="135">
      <c r="A135" s="17" t="inlineStr">
        <is>
          <t>Boulanger</t>
        </is>
      </c>
      <c r="B135" s="17" t="inlineStr">
        <is>
          <t>Live</t>
        </is>
      </c>
      <c r="C135" s="17" t="inlineStr">
        <is>
          <t>Boulanger</t>
        </is>
      </c>
      <c r="D135" s="17" t="inlineStr">
        <is>
          <t>Manettes, volants et jeux</t>
        </is>
      </c>
      <c r="E135" s="18" t="inlineStr">
        <is>
          <t>Manette MICROSOFT Xbox Carbon black + usbc</t>
        </is>
      </c>
      <c r="F135" s="17" t="inlineStr">
        <is>
          <t>Manette Xbox officielle Microsoft en Carbon Black, livrée avec son câble USB-C pour jouer aussi sur PC ; à retirer en une heure dans votre magasin Boulanger.</t>
        </is>
      </c>
      <c r="G135" s="19" t="inlineStr">
        <is>
          <t>https://www.boulanger.com/ref/1234247?at_medium=gea&amp;at_campaign=lemrock</t>
        </is>
      </c>
      <c r="H135" s="20" t="n">
        <v>9848</v>
      </c>
      <c r="I135" s="20" t="n">
        <v>62</v>
      </c>
      <c r="J135" s="21">
        <f>IF(H135=0,0,I135/H135)</f>
        <v/>
      </c>
    </row>
    <row r="136">
      <c r="A136" s="17" t="inlineStr">
        <is>
          <t>Boulanger</t>
        </is>
      </c>
      <c r="B136" s="17" t="inlineStr">
        <is>
          <t>Live</t>
        </is>
      </c>
      <c r="C136" s="17" t="inlineStr">
        <is>
          <t>Boulanger</t>
        </is>
      </c>
      <c r="D136" s="17" t="inlineStr">
        <is>
          <t>Casques et écouteurs</t>
        </is>
      </c>
      <c r="E136" s="18" t="inlineStr">
        <is>
          <t>Ecouteurs HUAWEI FreeArc Gris</t>
        </is>
      </c>
      <c r="F136" s="17" t="inlineStr">
        <is>
          <t>Format ouvert avec crochet d’oreille : les FreeArc tiennent pendant le sport et laissent entendre la rue. Livraison offerte, garantie 2 ans et SAV 7j/7 Boulanger.</t>
        </is>
      </c>
      <c r="G136" s="19" t="inlineStr">
        <is>
          <t>https://www.boulanger.com/ref/1224353?at_medium=gea&amp;at_campaign=lemrock</t>
        </is>
      </c>
      <c r="H136" s="20" t="n">
        <v>9832</v>
      </c>
      <c r="I136" s="20" t="n">
        <v>52</v>
      </c>
      <c r="J136" s="21">
        <f>IF(H136=0,0,I136/H136)</f>
        <v/>
      </c>
    </row>
    <row r="137">
      <c r="A137" s="17" t="inlineStr">
        <is>
          <t>Boulanger</t>
        </is>
      </c>
      <c r="B137" s="17" t="inlineStr">
        <is>
          <t>Live</t>
        </is>
      </c>
      <c r="C137" s="17" t="inlineStr">
        <is>
          <t>Boulanger</t>
        </is>
      </c>
      <c r="D137" s="17" t="inlineStr">
        <is>
          <t>Claviers, chargeurs et stockage</t>
        </is>
      </c>
      <c r="E137" s="18" t="inlineStr">
        <is>
          <t>Alimentation WATT AND CO Uni.3000 mAh</t>
        </is>
      </c>
      <c r="F137" s="17" t="inlineStr">
        <is>
          <t>Chargeur Secteur WATT AND CO Uni.3000 mAh : La Solution de Charge Universelle Polyvalence et Compatibilité Étendue Le Chargeur secteur WATT AND CO Uni.3000 mAh est conçu pour</t>
        </is>
      </c>
      <c r="G137" s="19" t="inlineStr">
        <is>
          <t>https://www.boulanger.com/ref/151244?at_medium=gea&amp;at_campaign=lemrock</t>
        </is>
      </c>
      <c r="H137" s="20" t="n">
        <v>9817</v>
      </c>
      <c r="I137" s="20" t="n">
        <v>74</v>
      </c>
      <c r="J137" s="21">
        <f>IF(H137=0,0,I137/H137)</f>
        <v/>
      </c>
    </row>
    <row r="138">
      <c r="A138" s="17" t="inlineStr">
        <is>
          <t>Boulanger</t>
        </is>
      </c>
      <c r="B138" s="17" t="inlineStr">
        <is>
          <t>Live</t>
        </is>
      </c>
      <c r="C138" s="17" t="inlineStr">
        <is>
          <t>Boulanger</t>
        </is>
      </c>
      <c r="D138" s="17" t="inlineStr">
        <is>
          <t>Smartphones Android</t>
        </is>
      </c>
      <c r="E138" s="18" t="inlineStr">
        <is>
          <t>Smartphone XIAOMI Redmi 17 128Go Noir 4G</t>
        </is>
      </c>
      <c r="F138" s="17" t="inlineStr">
        <is>
          <t>Redmi 17 noir, 128 Go de stockage et réseau 4G : un smartphone Xiaomi simple pour appeler, photographier et naviguer. Livraison offerte et garantie 2 ans Boulanger.</t>
        </is>
      </c>
      <c r="G138" s="19" t="inlineStr">
        <is>
          <t>https://www.boulanger.com/ref/1245220?at_medium=gea&amp;at_campaign=lemrock</t>
        </is>
      </c>
      <c r="H138" s="20" t="n">
        <v>9808</v>
      </c>
      <c r="I138" s="20" t="n">
        <v>57</v>
      </c>
      <c r="J138" s="21">
        <f>IF(H138=0,0,I138/H138)</f>
        <v/>
      </c>
    </row>
    <row r="139">
      <c r="A139" s="17" t="inlineStr">
        <is>
          <t>Boulanger</t>
        </is>
      </c>
      <c r="B139" s="17" t="inlineStr">
        <is>
          <t>Live</t>
        </is>
      </c>
      <c r="C139" s="17" t="inlineStr">
        <is>
          <t>Boulanger</t>
        </is>
      </c>
      <c r="D139" s="17" t="inlineStr">
        <is>
          <t>Réfrigérateurs et congélateurs</t>
        </is>
      </c>
      <c r="E139" s="18" t="inlineStr">
        <is>
          <t>Frigo - Réfrigérateur - Retrait 1h en magasin*</t>
        </is>
      </c>
      <c r="F139" s="17" t="inlineStr">
        <is>
          <t>Petit frigo pour un studio ou grand réfrigérateur familial, silencieux et économe en énergie : à retirer en une heure en magasin, garantie 2 ans comprise.</t>
        </is>
      </c>
      <c r="G139" s="19" t="inlineStr">
        <is>
          <t>https://www.boulanger.com/c/refrigerateur/?at_medium=gea&amp;at_campaign=lemrock</t>
        </is>
      </c>
      <c r="H139" s="20" t="n">
        <v>9632</v>
      </c>
      <c r="I139" s="20" t="n">
        <v>70</v>
      </c>
      <c r="J139" s="21">
        <f>IF(H139=0,0,I139/H139)</f>
        <v/>
      </c>
    </row>
    <row r="140">
      <c r="A140" s="17" t="inlineStr">
        <is>
          <t>Boulanger</t>
        </is>
      </c>
      <c r="B140" s="17" t="inlineStr">
        <is>
          <t>Live</t>
        </is>
      </c>
      <c r="C140" s="17" t="inlineStr">
        <is>
          <t>Boulanger</t>
        </is>
      </c>
      <c r="D140" s="17" t="inlineStr">
        <is>
          <t>iPad</t>
        </is>
      </c>
      <c r="E140" s="18" t="inlineStr">
        <is>
          <t>Tablette Apple IPAD Air 11 M3 512Go Bleu 2025</t>
        </is>
      </c>
      <c r="F140" s="17" t="inlineStr">
        <is>
          <t>Puce M3, écran 11 pouces et 512 Go : de quoi monter vos vidéos et stocker des années de photos ; livraison offerte et garantie 2 ans chez Boulanger.</t>
        </is>
      </c>
      <c r="G140" s="19" t="inlineStr">
        <is>
          <t>https://www.boulanger.com/ref/1219234?at_medium=gea&amp;at_campaign=lemrock</t>
        </is>
      </c>
      <c r="H140" s="20" t="n">
        <v>9605</v>
      </c>
      <c r="I140" s="20" t="n">
        <v>56</v>
      </c>
      <c r="J140" s="21">
        <f>IF(H140=0,0,I140/H140)</f>
        <v/>
      </c>
    </row>
    <row r="141">
      <c r="A141" s="17" t="inlineStr">
        <is>
          <t>Boulanger</t>
        </is>
      </c>
      <c r="B141" s="17" t="inlineStr">
        <is>
          <t>Live</t>
        </is>
      </c>
      <c r="C141" s="17" t="inlineStr">
        <is>
          <t>Boulanger</t>
        </is>
      </c>
      <c r="D141" s="17" t="inlineStr">
        <is>
          <t>Ordinateurs portables et fixes</t>
        </is>
      </c>
      <c r="E141" s="18" t="inlineStr">
        <is>
          <t>Ordinateur portable HP Laptop 15-fc1001nf 15,6" AMD Ryzen 5 7520U 16 Go RAM LPDDR5 SSD 512 Go</t>
        </is>
      </c>
      <c r="F141" s="17" t="inlineStr">
        <is>
          <t>Écran 15,6 pouces, Ryzen 5, 16 Go de RAM et SSD 512 Go : un PC HP qui démarre vite et fait tourner plusieurs logiciels à la fois. Garantie 2 ans, SAV 7j/7 Boulanger.</t>
        </is>
      </c>
      <c r="G141" s="19" t="inlineStr">
        <is>
          <t>https://www.boulanger.com/ref/1237955?at_medium=gea&amp;at_campaign=lemrock</t>
        </is>
      </c>
      <c r="H141" s="20" t="n">
        <v>9575</v>
      </c>
      <c r="I141" s="20" t="n">
        <v>59</v>
      </c>
      <c r="J141" s="21">
        <f>IF(H141=0,0,I141/H141)</f>
        <v/>
      </c>
    </row>
    <row r="142">
      <c r="A142" s="17" t="inlineStr">
        <is>
          <t>Boulanger</t>
        </is>
      </c>
      <c r="B142" s="17" t="inlineStr">
        <is>
          <t>Live</t>
        </is>
      </c>
      <c r="C142" s="17" t="inlineStr">
        <is>
          <t>Boulanger</t>
        </is>
      </c>
      <c r="D142" s="17" t="inlineStr">
        <is>
          <t>Rasage, épilation et santé</t>
        </is>
      </c>
      <c r="E142" s="18" t="inlineStr">
        <is>
          <t>Tondeuse multi usages BRAUN AIO 3560, 14 hauteurs de coupe, précision 0,5 mm, autonomie 50 mn</t>
        </is>
      </c>
      <c r="F142" s="17" t="inlineStr">
        <is>
          <t>14 hauteurs de coupe, précision 0,5 mm et 50 minutes d’autonomie : barbe, cheveux et corps avec une seule tondeuse Braun. Garantie 2 ans et SAV 7j/7 chez Boulanger.</t>
        </is>
      </c>
      <c r="G142" s="19" t="inlineStr">
        <is>
          <t>https://www.boulanger.com/ref/1218034?at_medium=gea&amp;at_campaign=lemrock</t>
        </is>
      </c>
      <c r="H142" s="20" t="n">
        <v>9540</v>
      </c>
      <c r="I142" s="20" t="n">
        <v>59</v>
      </c>
      <c r="J142" s="21">
        <f>IF(H142=0,0,I142/H142)</f>
        <v/>
      </c>
    </row>
    <row r="143">
      <c r="A143" s="17" t="inlineStr">
        <is>
          <t>Boulanger</t>
        </is>
      </c>
      <c r="B143" s="17" t="inlineStr">
        <is>
          <t>Live</t>
        </is>
      </c>
      <c r="C143" s="17" t="inlineStr">
        <is>
          <t>Boulanger</t>
        </is>
      </c>
      <c r="D143" s="17" t="inlineStr">
        <is>
          <t>Smartphones Android</t>
        </is>
      </c>
      <c r="E143" s="18" t="inlineStr">
        <is>
          <t>Smartphone NOTHING Pack Phone 4A 5G 128 Go Noir + Coque + Access</t>
        </is>
      </c>
      <c r="F143" s="17" t="inlineStr">
        <is>
          <t>Nothing Phone 4A noir, 5G et 128 Go, vendu avec sa coque et ses accessoires : prêt à l’emploi dès la sortie de la boîte. Livraison offerte et garantie 2 ans Boulanger.</t>
        </is>
      </c>
      <c r="G143" s="19" t="inlineStr">
        <is>
          <t>https://www.boulanger.com/ref/1243676?at_medium=gea&amp;at_campaign=lemrock</t>
        </is>
      </c>
      <c r="H143" s="20" t="n">
        <v>9537</v>
      </c>
      <c r="I143" s="20" t="n">
        <v>58</v>
      </c>
      <c r="J143" s="21">
        <f>IF(H143=0,0,I143/H143)</f>
        <v/>
      </c>
    </row>
    <row r="144">
      <c r="A144" s="17" t="inlineStr">
        <is>
          <t>Boulanger</t>
        </is>
      </c>
      <c r="B144" s="17" t="inlineStr">
        <is>
          <t>Live</t>
        </is>
      </c>
      <c r="C144" s="17" t="inlineStr">
        <is>
          <t>Boulanger</t>
        </is>
      </c>
      <c r="D144" s="17" t="inlineStr">
        <is>
          <t>Aspirateurs</t>
        </is>
      </c>
      <c r="E144" s="18" t="inlineStr">
        <is>
          <t>Robot Aspirateur Laveur BOSCH Spotless Advanced Blanc</t>
        </is>
      </c>
      <c r="F144" s="17" t="inlineStr">
        <is>
          <t>Il aspire et lave vos sols pendant que vous faites autre chose : le robot Bosch Spotless Advanced vous rend du temps. Livraison offerte et SAV Boulanger 7j/7.</t>
        </is>
      </c>
      <c r="G144" s="19" t="inlineStr">
        <is>
          <t>https://www.boulanger.com/ref/1231041?at_medium=gea&amp;at_campaign=lemrock</t>
        </is>
      </c>
      <c r="H144" s="20" t="n">
        <v>9479</v>
      </c>
      <c r="I144" s="20" t="n">
        <v>56</v>
      </c>
      <c r="J144" s="21">
        <f>IF(H144=0,0,I144/H144)</f>
        <v/>
      </c>
    </row>
    <row r="145">
      <c r="A145" s="17" t="inlineStr">
        <is>
          <t>Boulanger</t>
        </is>
      </c>
      <c r="B145" s="17" t="inlineStr">
        <is>
          <t>Live</t>
        </is>
      </c>
      <c r="C145" s="17" t="inlineStr">
        <is>
          <t>Boulanger</t>
        </is>
      </c>
      <c r="D145" s="17" t="inlineStr">
        <is>
          <t>Petit-déjeuner et convivialité</t>
        </is>
      </c>
      <c r="E145" s="18" t="inlineStr">
        <is>
          <t>Raclette LAGRANGE element noir pierre de cuisson</t>
        </is>
      </c>
      <c r="F145" s="17" t="inlineStr">
        <is>
          <t>Raclette avec pierre de cuisson pour griller viandes et légumes pendant que le fromage fond. Retrait 1h en magasin Boulanger et garantie 2 ans.</t>
        </is>
      </c>
      <c r="G145" s="19" t="inlineStr">
        <is>
          <t>https://www.boulanger.com/ref/1181792?at_medium=gea&amp;at_campaign=lemrock</t>
        </is>
      </c>
      <c r="H145" s="20" t="n">
        <v>9424</v>
      </c>
      <c r="I145" s="20" t="n">
        <v>47</v>
      </c>
      <c r="J145" s="21">
        <f>IF(H145=0,0,I145/H145)</f>
        <v/>
      </c>
    </row>
    <row r="146">
      <c r="A146" s="17" t="inlineStr">
        <is>
          <t>Boulanger</t>
        </is>
      </c>
      <c r="B146" s="17" t="inlineStr">
        <is>
          <t>Live</t>
        </is>
      </c>
      <c r="C146" s="17" t="inlineStr">
        <is>
          <t>Boulanger</t>
        </is>
      </c>
      <c r="D146" s="17" t="inlineStr">
        <is>
          <t>iPad</t>
        </is>
      </c>
      <c r="E146" s="18" t="inlineStr">
        <is>
          <t>Tablette Apple IPAD Mini 128Go Bleu</t>
        </is>
      </c>
      <c r="F146" s="17" t="inlineStr">
        <is>
          <t>Le plus petit des iPad, 128 Go, qui se glisse dans un sac à main ou une poche de veste ; reprise de votre ancienne tablette chez Boulanger et SAV 7 jours sur 7.</t>
        </is>
      </c>
      <c r="G146" s="19" t="inlineStr">
        <is>
          <t>https://www.boulanger.com/ref/1214473?at_medium=gea&amp;at_campaign=lemrock</t>
        </is>
      </c>
      <c r="H146" s="20" t="n">
        <v>9409</v>
      </c>
      <c r="I146" s="20" t="n">
        <v>62</v>
      </c>
      <c r="J146" s="21">
        <f>IF(H146=0,0,I146/H146)</f>
        <v/>
      </c>
    </row>
    <row r="147">
      <c r="A147" s="17" t="inlineStr">
        <is>
          <t>Boulanger</t>
        </is>
      </c>
      <c r="B147" s="17" t="inlineStr">
        <is>
          <t>Live</t>
        </is>
      </c>
      <c r="C147" s="17" t="inlineStr">
        <is>
          <t>Boulanger</t>
        </is>
      </c>
      <c r="D147" s="17" t="inlineStr">
        <is>
          <t>Coques et batteries iPhone</t>
        </is>
      </c>
      <c r="E147" s="18" t="inlineStr">
        <is>
          <t>Batterie externe APPLE iPhone Air Batterie Magsafe</t>
        </is>
      </c>
      <c r="F147" s="17" t="inlineStr">
        <is>
          <t>Batterie externe Apple qui s’aimante au dos de l’iPhone Air pour prolonger son autonomie sans câble ; garantie 2 ans et SAV Boulanger 7 jours sur 7.</t>
        </is>
      </c>
      <c r="G147" s="19" t="inlineStr">
        <is>
          <t>https://www.boulanger.com/ref/1228811?at_medium=gea&amp;at_campaign=lemrock</t>
        </is>
      </c>
      <c r="H147" s="20" t="n">
        <v>9403</v>
      </c>
      <c r="I147" s="20" t="n">
        <v>39</v>
      </c>
      <c r="J147" s="21">
        <f>IF(H147=0,0,I147/H147)</f>
        <v/>
      </c>
    </row>
    <row r="148">
      <c r="A148" s="17" t="inlineStr">
        <is>
          <t>Boulanger</t>
        </is>
      </c>
      <c r="B148" s="17" t="inlineStr">
        <is>
          <t>Live</t>
        </is>
      </c>
      <c r="C148" s="17" t="inlineStr">
        <is>
          <t>Boulanger</t>
        </is>
      </c>
      <c r="D148" s="17" t="inlineStr">
        <is>
          <t>Smartphones Samsung Galaxy</t>
        </is>
      </c>
      <c r="E148" s="18" t="inlineStr">
        <is>
          <t>Smartphone SAMSUNG Galaxy S26 Ultra Noir 256Go</t>
        </is>
      </c>
      <c r="F148" s="17" t="inlineStr">
        <is>
          <t>Le haut de gamme Samsung avec 256 Go et le plus grand écran de la série S26 ; Boulanger reprend votre ancien smartphone et vous livre le nouveau sans frais.</t>
        </is>
      </c>
      <c r="G148" s="19" t="inlineStr">
        <is>
          <t>https://www.boulanger.com/ref/1233920?at_medium=gea&amp;at_campaign=lemrock</t>
        </is>
      </c>
      <c r="H148" s="20" t="n">
        <v>9379</v>
      </c>
      <c r="I148" s="20" t="n">
        <v>51</v>
      </c>
      <c r="J148" s="21">
        <f>IF(H148=0,0,I148/H148)</f>
        <v/>
      </c>
    </row>
    <row r="149">
      <c r="A149" s="17" t="inlineStr">
        <is>
          <t>Boulanger</t>
        </is>
      </c>
      <c r="B149" s="17" t="inlineStr">
        <is>
          <t>Live</t>
        </is>
      </c>
      <c r="C149" s="17" t="inlineStr">
        <is>
          <t>Boulanger</t>
        </is>
      </c>
      <c r="D149" s="17" t="inlineStr">
        <is>
          <t>Coques et batteries iPhone</t>
        </is>
      </c>
      <c r="E149" s="18" t="inlineStr">
        <is>
          <t>Coque ESSENTIELB iPhone 17 Pro Max souple Made In France</t>
        </is>
      </c>
      <c r="F149" s="17" t="inlineStr">
        <is>
          <t>Coque souple fabriquée en France, qui protège votre iPhone 17 Pro Max des rayures et des petits chocs sans l’épaissir ; à retirer en une heure en magasin Boulanger.</t>
        </is>
      </c>
      <c r="G149" s="19" t="inlineStr">
        <is>
          <t>https://www.boulanger.com/ref/8011805?at_medium=gea&amp;at_campaign=lemrock</t>
        </is>
      </c>
      <c r="H149" s="20" t="n">
        <v>9375</v>
      </c>
      <c r="I149" s="20" t="n">
        <v>51</v>
      </c>
      <c r="J149" s="21">
        <f>IF(H149=0,0,I149/H149)</f>
        <v/>
      </c>
    </row>
    <row r="150">
      <c r="A150" s="17" t="inlineStr">
        <is>
          <t>Boulanger</t>
        </is>
      </c>
      <c r="B150" s="17" t="inlineStr">
        <is>
          <t>Live</t>
        </is>
      </c>
      <c r="C150" s="17" t="inlineStr">
        <is>
          <t>Boulanger</t>
        </is>
      </c>
      <c r="D150" s="17" t="inlineStr">
        <is>
          <t>Robots cuiseurs et cuisson</t>
        </is>
      </c>
      <c r="E150" s="18" t="inlineStr">
        <is>
          <t>Friteuse sans huile NINJA Foodi Dual Air Fryer 9.5L DZ901EUI</t>
        </is>
      </c>
      <c r="F150" s="17" t="inlineStr">
        <is>
          <t>Deux paniers indépendants, 9,5 L au total : cuisez viande et frites en même temps, sans huile, prêts à la même minute. Garantie 2 ans et SAV 7j/7 Boulanger.</t>
        </is>
      </c>
      <c r="G150" s="19" t="inlineStr">
        <is>
          <t>https://www.boulanger.com/ref/1236334?at_medium=gea&amp;at_campaign=lemrock</t>
        </is>
      </c>
      <c r="H150" s="20" t="n">
        <v>9363</v>
      </c>
      <c r="I150" s="20" t="n">
        <v>66</v>
      </c>
      <c r="J150" s="21">
        <f>IF(H150=0,0,I150/H150)</f>
        <v/>
      </c>
    </row>
    <row r="151">
      <c r="A151" s="17" t="inlineStr">
        <is>
          <t>Boulanger</t>
        </is>
      </c>
      <c r="B151" s="17" t="inlineStr">
        <is>
          <t>Live</t>
        </is>
      </c>
      <c r="C151" s="17" t="inlineStr">
        <is>
          <t>Boulanger</t>
        </is>
      </c>
      <c r="D151" s="17" t="inlineStr">
        <is>
          <t>Réfrigérateurs et congélateurs</t>
        </is>
      </c>
      <c r="E151" s="18" t="inlineStr">
        <is>
          <t>Réfrigérateur multi portes HAIER HFR5719EWMG</t>
        </is>
      </c>
      <c r="F151" s="17" t="inlineStr">
        <is>
          <t>Frigo multi-portes : large espace pour les courses de la semaine et congélateur en tiroirs en bas. SAV 7j/7 et reprise de l’ancien appareil par Boulanger.</t>
        </is>
      </c>
      <c r="G151" s="19" t="inlineStr">
        <is>
          <t>https://www.boulanger.com/ref/1188600?at_medium=gea&amp;at_campaign=lemrock</t>
        </is>
      </c>
      <c r="H151" s="20" t="n">
        <v>9340</v>
      </c>
      <c r="I151" s="20" t="n">
        <v>71</v>
      </c>
      <c r="J151" s="21">
        <f>IF(H151=0,0,I151/H151)</f>
        <v/>
      </c>
    </row>
    <row r="152">
      <c r="A152" s="17" t="inlineStr">
        <is>
          <t>Boulanger</t>
        </is>
      </c>
      <c r="B152" s="17" t="inlineStr">
        <is>
          <t>Live</t>
        </is>
      </c>
      <c r="C152" s="17" t="inlineStr">
        <is>
          <t>Boulanger</t>
        </is>
      </c>
      <c r="D152" s="17" t="inlineStr">
        <is>
          <t>Lavage</t>
        </is>
      </c>
      <c r="E152" s="18" t="inlineStr">
        <is>
          <t>Lave vaisselle encastrable WHIRLPOOL WH3ITC14B4N6LW</t>
        </is>
      </c>
      <c r="F152" s="17" t="inlineStr">
        <is>
          <t>Lave-vaisselle à intégrer dans votre cuisine, caché derrière une façade de meuble, pour une pièce plus nette. Livraison offerte et reprise de l’ancien par Boulanger.</t>
        </is>
      </c>
      <c r="G152" s="19" t="inlineStr">
        <is>
          <t>https://www.boulanger.com/ref/1240260?at_medium=gea&amp;at_campaign=lemrock</t>
        </is>
      </c>
      <c r="H152" s="20" t="n">
        <v>9338</v>
      </c>
      <c r="I152" s="20" t="n">
        <v>49</v>
      </c>
      <c r="J152" s="21">
        <f>IF(H152=0,0,I152/H152)</f>
        <v/>
      </c>
    </row>
    <row r="153">
      <c r="A153" s="17" t="inlineStr">
        <is>
          <t>Boulanger</t>
        </is>
      </c>
      <c r="B153" s="17" t="inlineStr">
        <is>
          <t>Live</t>
        </is>
      </c>
      <c r="C153" s="17" t="inlineStr">
        <is>
          <t>Boulanger</t>
        </is>
      </c>
      <c r="D153" s="17" t="inlineStr">
        <is>
          <t>TV et vidéoprojecteurs</t>
        </is>
      </c>
      <c r="E153" s="18" t="inlineStr">
        <is>
          <t>Télévision - Téléviseur</t>
        </is>
      </c>
      <c r="F153" s="17" t="inlineStr">
        <is>
          <t>Téléviseurs 4K OLED, QLED ou LED, petites et grandes diagonales, chez Samsung, LG et Sony ; reprise de votre ancienne TV et livraison offerte partout en France.</t>
        </is>
      </c>
      <c r="G153" s="19" t="inlineStr">
        <is>
          <t>https://www.boulanger.com/c/televiseur/?at_medium=gea&amp;at_campaign=lemrock</t>
        </is>
      </c>
      <c r="H153" s="20" t="n">
        <v>9324</v>
      </c>
      <c r="I153" s="20" t="n">
        <v>69</v>
      </c>
      <c r="J153" s="21">
        <f>IF(H153=0,0,I153/H153)</f>
        <v/>
      </c>
    </row>
    <row r="154">
      <c r="A154" s="17" t="inlineStr">
        <is>
          <t>Boulanger</t>
        </is>
      </c>
      <c r="B154" s="17" t="inlineStr">
        <is>
          <t>Live</t>
        </is>
      </c>
      <c r="C154" s="17" t="inlineStr">
        <is>
          <t>Boulanger</t>
        </is>
      </c>
      <c r="D154" s="17" t="inlineStr">
        <is>
          <t>Petit-déjeuner et convivialité</t>
        </is>
      </c>
      <c r="E154" s="18" t="inlineStr">
        <is>
          <t>Bouilloire MOULINEX BY320A10 SOLEIL IVOIRE</t>
        </is>
      </c>
      <c r="F154" s="17" t="inlineStr">
        <is>
          <t>L’eau chaude en quelques minutes pour le thé ou le café, dans une bouilloire ivoire qui habille le plan de travail. SAV 7j/7 et garantie 2 ans chez Boulanger.</t>
        </is>
      </c>
      <c r="G154" s="19" t="inlineStr">
        <is>
          <t>https://www.boulanger.com/ref/1119642?at_medium=gea&amp;at_campaign=lemrock</t>
        </is>
      </c>
      <c r="H154" s="20" t="n">
        <v>9303</v>
      </c>
      <c r="I154" s="20" t="n">
        <v>71</v>
      </c>
      <c r="J154" s="21">
        <f>IF(H154=0,0,I154/H154)</f>
        <v/>
      </c>
    </row>
    <row r="155">
      <c r="A155" s="17" t="inlineStr">
        <is>
          <t>Boulanger</t>
        </is>
      </c>
      <c r="B155" s="17" t="inlineStr">
        <is>
          <t>Live</t>
        </is>
      </c>
      <c r="C155" s="17" t="inlineStr">
        <is>
          <t>Boulanger</t>
        </is>
      </c>
      <c r="D155" s="17" t="inlineStr">
        <is>
          <t>Robots cuiseurs et cuisson</t>
        </is>
      </c>
      <c r="E155" s="18" t="inlineStr">
        <is>
          <t>Autocuiseur SEB ClipsoMinut Gourmande 7.5L</t>
        </is>
      </c>
      <c r="F155" s="17" t="inlineStr">
        <is>
          <t>Cuve 7,5 L pour cuire plus vite un repas familial, ouverture d’une seule main grâce au clip. Livraison offerte et garantie 2 ans chez Boulanger.</t>
        </is>
      </c>
      <c r="G155" s="19" t="inlineStr">
        <is>
          <t>https://www.boulanger.com/ref/1230647?at_medium=gea&amp;at_campaign=lemrock</t>
        </is>
      </c>
      <c r="H155" s="20" t="n">
        <v>9295</v>
      </c>
      <c r="I155" s="20" t="n">
        <v>45</v>
      </c>
      <c r="J155" s="21">
        <f>IF(H155=0,0,I155/H155)</f>
        <v/>
      </c>
    </row>
    <row r="156">
      <c r="A156" s="17" t="inlineStr">
        <is>
          <t>Boulanger</t>
        </is>
      </c>
      <c r="B156" s="17" t="inlineStr">
        <is>
          <t>Live</t>
        </is>
      </c>
      <c r="C156" s="17" t="inlineStr">
        <is>
          <t>Boulanger</t>
        </is>
      </c>
      <c r="D156" s="17" t="inlineStr">
        <is>
          <t>Petit-déjeuner et convivialité</t>
        </is>
      </c>
      <c r="E156" s="18" t="inlineStr">
        <is>
          <t>Gaufrier LAGRANGE super 2 antiadhésif rouge coeur</t>
        </is>
      </c>
      <c r="F156" s="17" t="inlineStr">
        <is>
          <t>Plaques antiadhésives en forme de cœur pour des gaufres qui se démoulent sans accrocher, fabriqué par Lagrange. Garantie 2 ans et SAV 7j/7 chez Boulanger.</t>
        </is>
      </c>
      <c r="G156" s="19" t="inlineStr">
        <is>
          <t>https://www.boulanger.com/ref/1178650?at_medium=gea&amp;at_campaign=lemrock</t>
        </is>
      </c>
      <c r="H156" s="20" t="n">
        <v>9294</v>
      </c>
      <c r="I156" s="20" t="n">
        <v>52</v>
      </c>
      <c r="J156" s="21">
        <f>IF(H156=0,0,I156/H156)</f>
        <v/>
      </c>
    </row>
    <row r="157">
      <c r="A157" s="17" t="inlineStr">
        <is>
          <t>Boulanger</t>
        </is>
      </c>
      <c r="B157" s="17" t="inlineStr">
        <is>
          <t>Live</t>
        </is>
      </c>
      <c r="C157" s="17" t="inlineStr">
        <is>
          <t>Boulanger</t>
        </is>
      </c>
      <c r="D157" s="17" t="inlineStr">
        <is>
          <t>Smartphones Android</t>
        </is>
      </c>
      <c r="E157" s="18" t="inlineStr">
        <is>
          <t>Smartphone GOOGLE Pixel 10A 5G 128Go Noir Volcanique</t>
        </is>
      </c>
      <c r="F157" s="17" t="inlineStr">
        <is>
          <t>Pixel 10a noir volcanique, 5G et 128 Go : des photos nettes même le soir et les mises à jour Android reçues en premier. Livraison offerte et garantie 2 ans Boulanger.</t>
        </is>
      </c>
      <c r="G157" s="19" t="inlineStr">
        <is>
          <t>https://www.boulanger.com/ref/1234881?at_medium=gea&amp;at_campaign=lemrock</t>
        </is>
      </c>
      <c r="H157" s="20" t="n">
        <v>9277</v>
      </c>
      <c r="I157" s="20" t="n">
        <v>57</v>
      </c>
      <c r="J157" s="21">
        <f>IF(H157=0,0,I157/H157)</f>
        <v/>
      </c>
    </row>
    <row r="158">
      <c r="A158" s="17" t="inlineStr">
        <is>
          <t>Boulanger</t>
        </is>
      </c>
      <c r="B158" s="17" t="inlineStr">
        <is>
          <t>Live</t>
        </is>
      </c>
      <c r="C158" s="17" t="inlineStr">
        <is>
          <t>Boulanger</t>
        </is>
      </c>
      <c r="D158" s="17" t="inlineStr">
        <is>
          <t>iPhone reconditionnés</t>
        </is>
      </c>
      <c r="E158" s="18" t="inlineStr">
        <is>
          <t>Smartphone APPLE iPhone 14 Pro Noir 128Go Batterie Neuve Reconditionné</t>
        </is>
      </c>
      <c r="F158" s="17" t="inlineStr">
        <is>
          <t>Batterie neuve, donc l’autonomie d’un iPhone 14 Pro sorti de boîte, 128 Go et la 5G ; reconditionné garanti, à retirer en une heure en magasin Boulanger.</t>
        </is>
      </c>
      <c r="G158" s="19" t="inlineStr">
        <is>
          <t>https://www.boulanger.com/ref/1241825?at_medium=gea&amp;at_campaign=lemrock</t>
        </is>
      </c>
      <c r="H158" s="20" t="n">
        <v>9275</v>
      </c>
      <c r="I158" s="20" t="n">
        <v>66</v>
      </c>
      <c r="J158" s="21">
        <f>IF(H158=0,0,I158/H158)</f>
        <v/>
      </c>
    </row>
    <row r="159">
      <c r="A159" s="17" t="inlineStr">
        <is>
          <t>Boulanger</t>
        </is>
      </c>
      <c r="B159" s="17" t="inlineStr">
        <is>
          <t>Live</t>
        </is>
      </c>
      <c r="C159" s="17" t="inlineStr">
        <is>
          <t>Boulanger</t>
        </is>
      </c>
      <c r="D159" s="17" t="inlineStr">
        <is>
          <t>Rasage, épilation et santé</t>
        </is>
      </c>
      <c r="E159" s="18" t="inlineStr">
        <is>
          <t>Epilateur électrique BRAUN Silk-épil SE3 3-202</t>
        </is>
      </c>
      <c r="F159" s="17" t="inlineStr">
        <is>
          <t>Une épilation à la maison, sans rendez-vous, avec une peau lisse qui dure des semaines. Livraison offerte et garantie 2 ans sur votre épilateur Braun.</t>
        </is>
      </c>
      <c r="G159" s="19" t="inlineStr">
        <is>
          <t>https://www.boulanger.com/ref/1236215?at_medium=gea&amp;at_campaign=lemrock</t>
        </is>
      </c>
      <c r="H159" s="20" t="n">
        <v>9270</v>
      </c>
      <c r="I159" s="20" t="n">
        <v>63</v>
      </c>
      <c r="J159" s="21">
        <f>IF(H159=0,0,I159/H159)</f>
        <v/>
      </c>
    </row>
    <row r="160">
      <c r="A160" s="17" t="inlineStr">
        <is>
          <t>Boulanger</t>
        </is>
      </c>
      <c r="B160" s="17" t="inlineStr">
        <is>
          <t>Live</t>
        </is>
      </c>
      <c r="C160" s="17" t="inlineStr">
        <is>
          <t>Boulanger</t>
        </is>
      </c>
      <c r="D160" s="17" t="inlineStr">
        <is>
          <t>AirPods</t>
        </is>
      </c>
      <c r="E160" s="18" t="inlineStr">
        <is>
          <t>Ecouteurs APPLE AirPods 4</t>
        </is>
      </c>
      <c r="F160" s="17" t="inlineStr">
        <is>
          <t>Des écouteurs Apple sans fil au format ouvert, qui se connectent à l’iPhone dès l’ouverture du boîtier. Garantie 2 ans et SAV 7j/7 chez Boulanger.</t>
        </is>
      </c>
      <c r="G160" s="19" t="inlineStr">
        <is>
          <t>https://www.boulanger.com/ref/1212701?at_medium=gea&amp;at_campaign=lemrock</t>
        </is>
      </c>
      <c r="H160" s="20" t="n">
        <v>9251</v>
      </c>
      <c r="I160" s="20" t="n">
        <v>68</v>
      </c>
      <c r="J160" s="21">
        <f>IF(H160=0,0,I160/H160)</f>
        <v/>
      </c>
    </row>
    <row r="161">
      <c r="A161" s="17" t="inlineStr">
        <is>
          <t>Boulanger</t>
        </is>
      </c>
      <c r="B161" s="17" t="inlineStr">
        <is>
          <t>Live</t>
        </is>
      </c>
      <c r="C161" s="17" t="inlineStr">
        <is>
          <t>Boulanger</t>
        </is>
      </c>
      <c r="D161" s="17" t="inlineStr">
        <is>
          <t>Petit-déjeuner et convivialité</t>
        </is>
      </c>
      <c r="E161" s="18" t="inlineStr">
        <is>
          <t>Grille-pain MOULINEX LS2M0B10 morning gris 1 longue fente</t>
        </is>
      </c>
      <c r="F161" s="17" t="inlineStr">
        <is>
          <t>Une longue fente pour les grandes tranches de pain de campagne : le grille-pain Moulinex Morning, gris, prend peu de place sur le plan de travail. SAV 7j/7 Boulanger.</t>
        </is>
      </c>
      <c r="G161" s="19" t="inlineStr">
        <is>
          <t>https://www.boulanger.com/ref/1194077?at_medium=gea&amp;at_campaign=lemrock</t>
        </is>
      </c>
      <c r="H161" s="20" t="n">
        <v>9239</v>
      </c>
      <c r="I161" s="20" t="n">
        <v>55</v>
      </c>
      <c r="J161" s="21">
        <f>IF(H161=0,0,I161/H161)</f>
        <v/>
      </c>
    </row>
    <row r="162">
      <c r="A162" s="17" t="inlineStr">
        <is>
          <t>Boulanger</t>
        </is>
      </c>
      <c r="B162" s="17" t="inlineStr">
        <is>
          <t>Live</t>
        </is>
      </c>
      <c r="C162" s="17" t="inlineStr">
        <is>
          <t>Boulanger</t>
        </is>
      </c>
      <c r="D162" s="17" t="inlineStr">
        <is>
          <t>iPad</t>
        </is>
      </c>
      <c r="E162" s="18" t="inlineStr">
        <is>
          <t>Tablette Apple IPAD 11 128Go Bleu</t>
        </is>
      </c>
      <c r="F162" s="17" t="inlineStr">
        <is>
          <t>L’iPad d’entrée de gamme avec écran 11 pouces et 128 Go, pour lire, regarder des séries et prendre des notes ; livraison offerte et garantie 2 ans chez Boulanger.</t>
        </is>
      </c>
      <c r="G162" s="19" t="inlineStr">
        <is>
          <t>https://www.boulanger.com/ref/1218466?at_medium=gea&amp;at_campaign=lemrock</t>
        </is>
      </c>
      <c r="H162" s="20" t="n">
        <v>9228</v>
      </c>
      <c r="I162" s="20" t="n">
        <v>55</v>
      </c>
      <c r="J162" s="21">
        <f>IF(H162=0,0,I162/H162)</f>
        <v/>
      </c>
    </row>
    <row r="163">
      <c r="A163" s="17" t="inlineStr">
        <is>
          <t>Boulanger</t>
        </is>
      </c>
      <c r="B163" s="17" t="inlineStr">
        <is>
          <t>Live</t>
        </is>
      </c>
      <c r="C163" s="17" t="inlineStr">
        <is>
          <t>Boulanger</t>
        </is>
      </c>
      <c r="D163" s="17" t="inlineStr">
        <is>
          <t>TV et vidéoprojecteurs</t>
        </is>
      </c>
      <c r="E163" s="18" t="inlineStr">
        <is>
          <t>TV SONY KD32W800P1-32 pouces (80cm)</t>
        </is>
      </c>
      <c r="F163" s="17" t="inlineStr">
        <is>
          <t>Véritable centre de divertissement, le téléviseur Sony KD32W800P1 d'une diagonale de 80 cm est idéal pour profiter de vos films et de vos séries ou pour jouer, y compris en HDR.</t>
        </is>
      </c>
      <c r="G163" s="19" t="inlineStr">
        <is>
          <t>https://www.boulanger.com/ref/1187547?at_medium=gea&amp;at_campaign=lemrock</t>
        </is>
      </c>
      <c r="H163" s="20" t="n">
        <v>9213</v>
      </c>
      <c r="I163" s="20" t="n">
        <v>43</v>
      </c>
      <c r="J163" s="21">
        <f>IF(H163=0,0,I163/H163)</f>
        <v/>
      </c>
    </row>
    <row r="164">
      <c r="A164" s="17" t="inlineStr">
        <is>
          <t>Boulanger</t>
        </is>
      </c>
      <c r="B164" s="17" t="inlineStr">
        <is>
          <t>Live</t>
        </is>
      </c>
      <c r="C164" s="17" t="inlineStr">
        <is>
          <t>Boulanger</t>
        </is>
      </c>
      <c r="D164" s="17" t="inlineStr">
        <is>
          <t>Aspirateurs</t>
        </is>
      </c>
      <c r="E164" s="18" t="inlineStr">
        <is>
          <t>Robot Aspirateur Laveur ROBOROCK Q7 BF Black</t>
        </is>
      </c>
      <c r="F164" s="17" t="inlineStr">
        <is>
          <t>Il aspire et lave vos sols en un seul passage, puis retourne seul à sa base : le ménage se fait sans vous. Retrait 1h en magasin Boulanger, garantie 2 ans.</t>
        </is>
      </c>
      <c r="G164" s="19" t="inlineStr">
        <is>
          <t>https://www.boulanger.com/ref/1221533?at_medium=gea&amp;at_campaign=lemrock</t>
        </is>
      </c>
      <c r="H164" s="20" t="n">
        <v>9184</v>
      </c>
      <c r="I164" s="20" t="n">
        <v>63</v>
      </c>
      <c r="J164" s="21">
        <f>IF(H164=0,0,I164/H164)</f>
        <v/>
      </c>
    </row>
    <row r="165">
      <c r="A165" s="17" t="inlineStr">
        <is>
          <t>Boulanger</t>
        </is>
      </c>
      <c r="B165" s="17" t="inlineStr">
        <is>
          <t>Live</t>
        </is>
      </c>
      <c r="C165" s="17" t="inlineStr">
        <is>
          <t>Boulanger</t>
        </is>
      </c>
      <c r="D165" s="17" t="inlineStr">
        <is>
          <t>Fitness connecté</t>
        </is>
      </c>
      <c r="E165" s="18" t="inlineStr">
        <is>
          <t>Vélo d'appartement RENPHO AI Smart Bike Q002N-A2</t>
        </is>
      </c>
      <c r="F165" s="17" t="inlineStr">
        <is>
          <t>Vélo d’appartement connecté Renpho : l’application ajuste la résistance à votre rythme, pour pédaler chez vous par tous les temps ; livraison offerte et garantie 2 ans.</t>
        </is>
      </c>
      <c r="G165" s="19" t="inlineStr">
        <is>
          <t>https://www.boulanger.com/ref/1240478?at_medium=gea&amp;at_campaign=lemrock</t>
        </is>
      </c>
      <c r="H165" s="20" t="n">
        <v>9183</v>
      </c>
      <c r="I165" s="20" t="n">
        <v>54</v>
      </c>
      <c r="J165" s="21">
        <f>IF(H165=0,0,I165/H165)</f>
        <v/>
      </c>
    </row>
    <row r="166">
      <c r="A166" s="17" t="inlineStr">
        <is>
          <t>Boulanger</t>
        </is>
      </c>
      <c r="B166" s="17" t="inlineStr">
        <is>
          <t>Live</t>
        </is>
      </c>
      <c r="C166" s="17" t="inlineStr">
        <is>
          <t>Boulanger</t>
        </is>
      </c>
      <c r="D166" s="17" t="inlineStr">
        <is>
          <t>TV et vidéoprojecteurs</t>
        </is>
      </c>
      <c r="E166" s="18" t="inlineStr">
        <is>
          <t>TV QLED SAMSUNG TQ75Q7F5 (2025) 75" (189 cm) 4K - Smart TV avec IA</t>
        </is>
      </c>
      <c r="F166" s="17" t="inlineStr">
        <is>
          <t>Image QLED 4K sur 189 cm de diagonale et Smart TV avec IA pour vos plateformes de streaming. Livraison offerte et reprise de votre ancienne télé par Boulanger.</t>
        </is>
      </c>
      <c r="G166" s="19" t="inlineStr">
        <is>
          <t>https://www.boulanger.com/ref/1221583?at_medium=gea&amp;at_campaign=lemrock</t>
        </is>
      </c>
      <c r="H166" s="20" t="n">
        <v>9168</v>
      </c>
      <c r="I166" s="20" t="n">
        <v>76</v>
      </c>
      <c r="J166" s="21">
        <f>IF(H166=0,0,I166/H166)</f>
        <v/>
      </c>
    </row>
    <row r="167">
      <c r="A167" s="17" t="inlineStr">
        <is>
          <t>Boulanger</t>
        </is>
      </c>
      <c r="B167" s="17" t="inlineStr">
        <is>
          <t>Live</t>
        </is>
      </c>
      <c r="C167" s="17" t="inlineStr">
        <is>
          <t>Boulanger</t>
        </is>
      </c>
      <c r="D167" s="17" t="inlineStr">
        <is>
          <t>Cuisson encastrable</t>
        </is>
      </c>
      <c r="E167" s="18" t="inlineStr">
        <is>
          <t>Plaque induction BOSCH PUE611BB5E</t>
        </is>
      </c>
      <c r="F167" s="17" t="inlineStr">
        <is>
          <t>Une plaque à induction Bosch qui chauffe vite et se nettoie d’un coup d’éponge. Boulanger vous la livre, reprend votre ancienne plaque et la garantit 2 ans.</t>
        </is>
      </c>
      <c r="G167" s="19" t="inlineStr">
        <is>
          <t>https://www.boulanger.com/ref/9000606284?at_medium=gea&amp;at_campaign=lemrock</t>
        </is>
      </c>
      <c r="H167" s="20" t="n">
        <v>9163</v>
      </c>
      <c r="I167" s="20" t="n">
        <v>60</v>
      </c>
      <c r="J167" s="21">
        <f>IF(H167=0,0,I167/H167)</f>
        <v/>
      </c>
    </row>
    <row r="168">
      <c r="A168" s="17" t="inlineStr">
        <is>
          <t>Boulanger</t>
        </is>
      </c>
      <c r="B168" s="17" t="inlineStr">
        <is>
          <t>Live</t>
        </is>
      </c>
      <c r="C168" s="17" t="inlineStr">
        <is>
          <t>Boulanger</t>
        </is>
      </c>
      <c r="D168" s="17" t="inlineStr">
        <is>
          <t>Aspirateurs</t>
        </is>
      </c>
      <c r="E168" s="18" t="inlineStr">
        <is>
          <t>Aspirateur balai DYSON V10 Konical</t>
        </is>
      </c>
      <c r="F168" s="17" t="inlineStr">
        <is>
          <t>Aspirateur balai sans fil et sans sac Dyson V10 : léger, il passe du sol au plafond sans changer d’appareil ; reprise de votre ancien aspirateur chez Boulanger.</t>
        </is>
      </c>
      <c r="G168" s="19" t="inlineStr">
        <is>
          <t>https://www.boulanger.com/ref/1241517?at_medium=gea&amp;at_campaign=lemrock</t>
        </is>
      </c>
      <c r="H168" s="20" t="n">
        <v>9132</v>
      </c>
      <c r="I168" s="20" t="n">
        <v>47</v>
      </c>
      <c r="J168" s="21">
        <f>IF(H168=0,0,I168/H168)</f>
        <v/>
      </c>
    </row>
    <row r="169">
      <c r="A169" s="17" t="inlineStr">
        <is>
          <t>Boulanger</t>
        </is>
      </c>
      <c r="B169" s="17" t="inlineStr">
        <is>
          <t>Live</t>
        </is>
      </c>
      <c r="C169" s="17" t="inlineStr">
        <is>
          <t>Boulanger</t>
        </is>
      </c>
      <c r="D169" s="17" t="inlineStr">
        <is>
          <t>AirPods</t>
        </is>
      </c>
      <c r="E169" s="18" t="inlineStr">
        <is>
          <t>Ecouteurs APPLE Airpods 4 Reconditionné</t>
        </is>
      </c>
      <c r="F169" s="17" t="inlineStr">
        <is>
          <t>Des AirPods 4 remis en état, testés et garantis par Boulanger : le son Apple sans fil pour bien moins cher que le neuf. Retrait en une heure dans votre magasin.</t>
        </is>
      </c>
      <c r="G169" s="19" t="inlineStr">
        <is>
          <t>https://www.boulanger.com/ref/1238685?at_medium=gea&amp;at_campaign=lemrock</t>
        </is>
      </c>
      <c r="H169" s="20" t="n">
        <v>9124</v>
      </c>
      <c r="I169" s="20" t="n">
        <v>60</v>
      </c>
      <c r="J169" s="21">
        <f>IF(H169=0,0,I169/H169)</f>
        <v/>
      </c>
    </row>
    <row r="170">
      <c r="A170" s="17" t="inlineStr">
        <is>
          <t>Boulanger</t>
        </is>
      </c>
      <c r="B170" s="17" t="inlineStr">
        <is>
          <t>Live</t>
        </is>
      </c>
      <c r="C170" s="17" t="inlineStr">
        <is>
          <t>Boulanger</t>
        </is>
      </c>
      <c r="D170" s="17" t="inlineStr">
        <is>
          <t>iPhone reconditionnés</t>
        </is>
      </c>
      <c r="E170" s="18" t="inlineStr">
        <is>
          <t>Smartphone APPLE iPhone 13 5G 128Go Noir Bon État - Reconditionné</t>
        </is>
      </c>
      <c r="F170" s="17" t="inlineStr">
        <is>
          <t>iPhone 13 128 Go en bon état, reconditionné et garanti par Boulanger : le budget d’un mobile d’entrée de gamme pour un vrai iPhone 5G, livraison offerte.</t>
        </is>
      </c>
      <c r="G170" s="19" t="inlineStr">
        <is>
          <t>https://www.boulanger.com/ref/1215624?at_medium=gea&amp;at_campaign=lemrock</t>
        </is>
      </c>
      <c r="H170" s="20" t="n">
        <v>9113</v>
      </c>
      <c r="I170" s="20" t="n">
        <v>70</v>
      </c>
      <c r="J170" s="21">
        <f>IF(H170=0,0,I170/H170)</f>
        <v/>
      </c>
    </row>
    <row r="171">
      <c r="A171" s="17" t="inlineStr">
        <is>
          <t>Boulanger</t>
        </is>
      </c>
      <c r="B171" s="17" t="inlineStr">
        <is>
          <t>Live</t>
        </is>
      </c>
      <c r="C171" s="17" t="inlineStr">
        <is>
          <t>Boulanger</t>
        </is>
      </c>
      <c r="D171" s="17" t="inlineStr">
        <is>
          <t>Apple Watch</t>
        </is>
      </c>
      <c r="E171" s="18" t="inlineStr">
        <is>
          <t>Montre connectée APPLE WATCH SE 3 40mm Lumière Stellaire S/M</t>
        </is>
      </c>
      <c r="F171" s="17" t="inlineStr">
        <is>
          <t>Boîtier 40 mm lumière stellaire, bracelet S/M : suivez votre sommeil et vos séances de sport avec l’Apple Watch SE 3. Livraison offerte, garantie 2 ans Boulanger.</t>
        </is>
      </c>
      <c r="G171" s="19" t="inlineStr">
        <is>
          <t>https://www.boulanger.com/ref/1227867?at_medium=gea&amp;at_campaign=lemrock</t>
        </is>
      </c>
      <c r="H171" s="20" t="n">
        <v>9109</v>
      </c>
      <c r="I171" s="20" t="n">
        <v>43</v>
      </c>
      <c r="J171" s="21">
        <f>IF(H171=0,0,I171/H171)</f>
        <v/>
      </c>
    </row>
    <row r="172">
      <c r="A172" s="17" t="inlineStr">
        <is>
          <t>Boulanger</t>
        </is>
      </c>
      <c r="B172" s="17" t="inlineStr">
        <is>
          <t>Live</t>
        </is>
      </c>
      <c r="C172" s="17" t="inlineStr">
        <is>
          <t>Boulanger</t>
        </is>
      </c>
      <c r="D172" s="17" t="inlineStr">
        <is>
          <t>TV et vidéoprojecteurs</t>
        </is>
      </c>
      <c r="E172" s="18" t="inlineStr">
        <is>
          <t>Vidéoprojecteur home cinéma PHILIPS NeoPix 450 Smart</t>
        </is>
      </c>
      <c r="F172" s="17" t="inlineStr">
        <is>
          <t>Projetez films et séries sur grand écran, avec vos apps de streaming déjà intégrées grâce au système Smart. Livraison offerte et garantie 2 ans chez Boulanger.</t>
        </is>
      </c>
      <c r="G172" s="19" t="inlineStr">
        <is>
          <t>https://www.boulanger.com/ref/1219327?at_medium=gea&amp;at_campaign=lemrock</t>
        </is>
      </c>
      <c r="H172" s="20" t="n">
        <v>9100</v>
      </c>
      <c r="I172" s="20" t="n">
        <v>64</v>
      </c>
      <c r="J172" s="21">
        <f>IF(H172=0,0,I172/H172)</f>
        <v/>
      </c>
    </row>
    <row r="173">
      <c r="A173" s="17" t="inlineStr">
        <is>
          <t>Boulanger</t>
        </is>
      </c>
      <c r="B173" s="17" t="inlineStr">
        <is>
          <t>Live</t>
        </is>
      </c>
      <c r="C173" s="17" t="inlineStr">
        <is>
          <t>Boulanger</t>
        </is>
      </c>
      <c r="D173" s="17" t="inlineStr">
        <is>
          <t>Réfrigérateurs et congélateurs</t>
        </is>
      </c>
      <c r="E173" s="18" t="inlineStr">
        <is>
          <t>Congélateur armoire HAIER H4F272WCH1</t>
        </is>
      </c>
      <c r="F173" s="17" t="inlineStr">
        <is>
          <t>Congélateur vertical avec tiroirs pour retrouver vos surgelés d’un coup d’œil, sans tout déplacer. Livraison offerte et reprise de votre ancien appareil.</t>
        </is>
      </c>
      <c r="G173" s="19" t="inlineStr">
        <is>
          <t>https://www.boulanger.com/ref/1208973?at_medium=gea&amp;at_campaign=lemrock</t>
        </is>
      </c>
      <c r="H173" s="20" t="n">
        <v>9098</v>
      </c>
      <c r="I173" s="20" t="n">
        <v>36</v>
      </c>
      <c r="J173" s="21">
        <f>IF(H173=0,0,I173/H173)</f>
        <v/>
      </c>
    </row>
    <row r="174">
      <c r="A174" s="17" t="inlineStr">
        <is>
          <t>Boulanger</t>
        </is>
      </c>
      <c r="B174" s="17" t="inlineStr">
        <is>
          <t>Live</t>
        </is>
      </c>
      <c r="C174" s="17" t="inlineStr">
        <is>
          <t>Boulanger</t>
        </is>
      </c>
      <c r="D174" s="17" t="inlineStr">
        <is>
          <t>Smartphones Android</t>
        </is>
      </c>
      <c r="E174" s="18" t="inlineStr">
        <is>
          <t>Smartphone MOTOROLA Pack Edge 70 Fusion256GoFifa+buds2+Watch</t>
        </is>
      </c>
      <c r="F174" s="17" t="inlineStr">
        <is>
          <t>Un pack complet : le Motorola Edge 70 Fusion 256 Go, livré avec des écouteurs Buds 2 et une montre connectée. Livraison offerte et garantie 2 ans chez Boulanger.</t>
        </is>
      </c>
      <c r="G174" s="19" t="inlineStr">
        <is>
          <t>https://www.boulanger.com/ref/1240316?at_medium=gea&amp;at_campaign=lemrock</t>
        </is>
      </c>
      <c r="H174" s="20" t="n">
        <v>9094</v>
      </c>
      <c r="I174" s="20" t="n">
        <v>39</v>
      </c>
      <c r="J174" s="21">
        <f>IF(H174=0,0,I174/H174)</f>
        <v/>
      </c>
    </row>
    <row r="175">
      <c r="A175" s="17" t="inlineStr">
        <is>
          <t>Boulanger</t>
        </is>
      </c>
      <c r="B175" s="17" t="inlineStr">
        <is>
          <t>Live</t>
        </is>
      </c>
      <c r="C175" s="17" t="inlineStr">
        <is>
          <t>Boulanger</t>
        </is>
      </c>
      <c r="D175" s="17" t="inlineStr">
        <is>
          <t>Cuisson encastrable</t>
        </is>
      </c>
      <c r="E175" s="18" t="inlineStr">
        <is>
          <t>Micro ondes WHIRLPOOL MAX34FW</t>
        </is>
      </c>
      <c r="F175" s="17" t="inlineStr">
        <is>
          <t>Micro-ondes compact au design arrondi qui se cale dans un angle et libère le plan de travail. Livraison offerte et garantie 2 ans chez Boulanger.</t>
        </is>
      </c>
      <c r="G175" s="19" t="inlineStr">
        <is>
          <t>https://www.boulanger.com/ref/1025316?at_medium=gea&amp;at_campaign=lemrock</t>
        </is>
      </c>
      <c r="H175" s="20" t="n">
        <v>9081</v>
      </c>
      <c r="I175" s="20" t="n">
        <v>65</v>
      </c>
      <c r="J175" s="21">
        <f>IF(H175=0,0,I175/H175)</f>
        <v/>
      </c>
    </row>
    <row r="176">
      <c r="A176" s="17" t="inlineStr">
        <is>
          <t>Boulanger</t>
        </is>
      </c>
      <c r="B176" s="17" t="inlineStr">
        <is>
          <t>Live</t>
        </is>
      </c>
      <c r="C176" s="17" t="inlineStr">
        <is>
          <t>Boulanger</t>
        </is>
      </c>
      <c r="D176" s="17" t="inlineStr">
        <is>
          <t>Apple Watch</t>
        </is>
      </c>
      <c r="E176" s="18" t="inlineStr">
        <is>
          <t>Montre connectée APPLE Watch Ultra Titane Argent 49mm Reconditionné</t>
        </is>
      </c>
      <c r="F176" s="17" t="inlineStr">
        <is>
          <t>Apple Watch Ultra 49 mm en titane, reconditionnée et garantie par Boulanger : la montre robuste des sportifs, moins chère, avec le SAV 7 jours sur 7 en plus.</t>
        </is>
      </c>
      <c r="G176" s="19" t="inlineStr">
        <is>
          <t>https://www.boulanger.com/ref/1242221?at_medium=gea&amp;at_campaign=lemrock</t>
        </is>
      </c>
      <c r="H176" s="20" t="n">
        <v>9075</v>
      </c>
      <c r="I176" s="20" t="n">
        <v>50</v>
      </c>
      <c r="J176" s="21">
        <f>IF(H176=0,0,I176/H176)</f>
        <v/>
      </c>
    </row>
    <row r="177">
      <c r="A177" s="17" t="inlineStr">
        <is>
          <t>Boulanger</t>
        </is>
      </c>
      <c r="B177" s="17" t="inlineStr">
        <is>
          <t>Live</t>
        </is>
      </c>
      <c r="C177" s="17" t="inlineStr">
        <is>
          <t>Boulanger</t>
        </is>
      </c>
      <c r="D177" s="17" t="inlineStr">
        <is>
          <t>Smartphones Samsung Galaxy</t>
        </is>
      </c>
      <c r="E177" s="18" t="inlineStr">
        <is>
          <t>Smartphone SAMSUNG Galaxy S25 5G 128Go Noir Absolu</t>
        </is>
      </c>
      <c r="F177" s="17" t="inlineStr">
        <is>
          <t>Format compact, 5G et 128 Go : le Galaxy S25 tient dans la main et dans la poche ; garanti 2 ans, à retirer en une heure dans votre magasin Boulanger.</t>
        </is>
      </c>
      <c r="G177" s="19" t="inlineStr">
        <is>
          <t>https://www.boulanger.com/ref/1239070?at_medium=gea&amp;at_campaign=lemrock</t>
        </is>
      </c>
      <c r="H177" s="20" t="n">
        <v>9067</v>
      </c>
      <c r="I177" s="20" t="n">
        <v>57</v>
      </c>
      <c r="J177" s="21">
        <f>IF(H177=0,0,I177/H177)</f>
        <v/>
      </c>
    </row>
    <row r="178">
      <c r="A178" s="17" t="inlineStr">
        <is>
          <t>Boulanger</t>
        </is>
      </c>
      <c r="B178" s="17" t="inlineStr">
        <is>
          <t>Live</t>
        </is>
      </c>
      <c r="C178" s="17" t="inlineStr">
        <is>
          <t>Boulanger</t>
        </is>
      </c>
      <c r="D178" s="17" t="inlineStr">
        <is>
          <t>Clim, chauffage et air</t>
        </is>
      </c>
      <c r="E178" s="18" t="inlineStr">
        <is>
          <t>Purificateur d'air DYSON Purifier big+quiet BP02</t>
        </is>
      </c>
      <c r="F178" s="17" t="inlineStr">
        <is>
          <t>Un purificateur Dyson qui filtre l’air des grandes pièces sans faire de bruit, comme son nom l’indique ; livraison offerte et garantie 2 ans chez Boulanger.</t>
        </is>
      </c>
      <c r="G178" s="19" t="inlineStr">
        <is>
          <t>https://www.boulanger.com/ref/1231798?at_medium=gea&amp;at_campaign=lemrock</t>
        </is>
      </c>
      <c r="H178" s="20" t="n">
        <v>9057</v>
      </c>
      <c r="I178" s="20" t="n">
        <v>45</v>
      </c>
      <c r="J178" s="21">
        <f>IF(H178=0,0,I178/H178)</f>
        <v/>
      </c>
    </row>
    <row r="179">
      <c r="A179" s="17" t="inlineStr">
        <is>
          <t>Boulanger</t>
        </is>
      </c>
      <c r="B179" s="17" t="inlineStr">
        <is>
          <t>Live</t>
        </is>
      </c>
      <c r="C179" s="17" t="inlineStr">
        <is>
          <t>Boulanger</t>
        </is>
      </c>
      <c r="D179" s="17" t="inlineStr">
        <is>
          <t>Fitness connecté</t>
        </is>
      </c>
      <c r="E179" s="18" t="inlineStr">
        <is>
          <t>Pèse personne connecté RENPHO Morphoscan MSC01 – Suivi de Morphologie Intelligent avec Écran LCD et Bluetooth -Rechargeable</t>
        </is>
      </c>
      <c r="F179" s="17" t="inlineStr">
        <is>
          <t>Balance rechargeable avec écran LCD et Bluetooth : poids et mesures du corps suivis dans l’application. Retrait 1h en magasin Boulanger et garantie 2 ans.</t>
        </is>
      </c>
      <c r="G179" s="19" t="inlineStr">
        <is>
          <t>https://www.boulanger.com/ref/1216018?at_medium=gea&amp;at_campaign=lemrock</t>
        </is>
      </c>
      <c r="H179" s="20" t="n">
        <v>9056</v>
      </c>
      <c r="I179" s="20" t="n">
        <v>58</v>
      </c>
      <c r="J179" s="21">
        <f>IF(H179=0,0,I179/H179)</f>
        <v/>
      </c>
    </row>
    <row r="180">
      <c r="A180" s="17" t="inlineStr">
        <is>
          <t>Boulanger</t>
        </is>
      </c>
      <c r="B180" s="17" t="inlineStr">
        <is>
          <t>Live</t>
        </is>
      </c>
      <c r="C180" s="17" t="inlineStr">
        <is>
          <t>Boulanger</t>
        </is>
      </c>
      <c r="D180" s="17" t="inlineStr">
        <is>
          <t>Coques Samsung Galaxy</t>
        </is>
      </c>
      <c r="E180" s="18" t="inlineStr">
        <is>
          <t>Coque FORCE CASE Samsung Galaxy S25+Transparente</t>
        </is>
      </c>
      <c r="F180" s="17" t="inlineStr">
        <is>
          <t>Protège votre Galaxy S25+ des chocs et des rayures sans cacher sa couleur : une coque transparente Force Case, livrée sans frais, avec le SAV Boulanger 7j/7.</t>
        </is>
      </c>
      <c r="G180" s="19" t="inlineStr">
        <is>
          <t>https://www.boulanger.com/ref/9000846374?at_medium=gea&amp;at_campaign=lemrock</t>
        </is>
      </c>
      <c r="H180" s="20" t="n">
        <v>9053</v>
      </c>
      <c r="I180" s="20" t="n">
        <v>74</v>
      </c>
      <c r="J180" s="21">
        <f>IF(H180=0,0,I180/H180)</f>
        <v/>
      </c>
    </row>
    <row r="181">
      <c r="A181" s="17" t="inlineStr">
        <is>
          <t>Boulanger</t>
        </is>
      </c>
      <c r="B181" s="17" t="inlineStr">
        <is>
          <t>Live</t>
        </is>
      </c>
      <c r="C181" s="17" t="inlineStr">
        <is>
          <t>Boulanger</t>
        </is>
      </c>
      <c r="D181" s="17" t="inlineStr">
        <is>
          <t>Robots cuiseurs et cuisson</t>
        </is>
      </c>
      <c r="E181" s="18" t="inlineStr">
        <is>
          <t>i-Companion Touch XL Moulinex - Livraison Offerte*</t>
        </is>
      </c>
      <c r="F181" s="17" t="inlineStr">
        <is>
          <t>Robot cuiseur connecté grand format qui pèse, mixe et cuit vos plats en suivant des recettes guidées. Livraison offerte et garantie 2 ans chez Boulanger.</t>
        </is>
      </c>
      <c r="G181" s="19" t="inlineStr">
        <is>
          <t>https://www.boulanger.com/ref/1142772?at_medium=gea&amp;at_campaign=lemrock</t>
        </is>
      </c>
      <c r="H181" s="20" t="n">
        <v>9032</v>
      </c>
      <c r="I181" s="20" t="n">
        <v>45</v>
      </c>
      <c r="J181" s="21">
        <f>IF(H181=0,0,I181/H181)</f>
        <v/>
      </c>
    </row>
    <row r="182">
      <c r="A182" s="17" t="inlineStr">
        <is>
          <t>Boulanger</t>
        </is>
      </c>
      <c r="B182" s="17" t="inlineStr">
        <is>
          <t>Live</t>
        </is>
      </c>
      <c r="C182" s="17" t="inlineStr">
        <is>
          <t>Boulanger</t>
        </is>
      </c>
      <c r="D182" s="17" t="inlineStr">
        <is>
          <t>Robots cuiseurs et cuisson</t>
        </is>
      </c>
      <c r="E182" s="18" t="inlineStr">
        <is>
          <t>Cuiseur riz MOULINEX MK123D10 Easy rice</t>
        </is>
      </c>
      <c r="F182" s="17" t="inlineStr">
        <is>
          <t>Versez le riz et l’eau, le cuiseur Moulinex Easy Rice s’arrête tout seul : un riz réussi à chaque fois, sans surveiller la casserole. Retrait 1h en magasin Boulanger.</t>
        </is>
      </c>
      <c r="G182" s="19" t="inlineStr">
        <is>
          <t>https://www.boulanger.com/ref/1141992?at_medium=gea&amp;at_campaign=lemrock</t>
        </is>
      </c>
      <c r="H182" s="20" t="n">
        <v>9025</v>
      </c>
      <c r="I182" s="20" t="n">
        <v>55</v>
      </c>
      <c r="J182" s="21">
        <f>IF(H182=0,0,I182/H182)</f>
        <v/>
      </c>
    </row>
    <row r="183">
      <c r="A183" s="17" t="inlineStr">
        <is>
          <t>Boulanger</t>
        </is>
      </c>
      <c r="B183" s="17" t="inlineStr">
        <is>
          <t>Live</t>
        </is>
      </c>
      <c r="C183" s="17" t="inlineStr">
        <is>
          <t>Boulanger</t>
        </is>
      </c>
      <c r="D183" s="17" t="inlineStr">
        <is>
          <t>Repassage</t>
        </is>
      </c>
      <c r="E183" s="18" t="inlineStr">
        <is>
          <t>Défroisseur vapeur PHILIPS STH3020/70 Steamer Série 3000 Vert foncé, 30 sec*, 1000W</t>
        </is>
      </c>
      <c r="F183" s="17" t="inlineStr">
        <is>
          <t>1000 W et 30 secondes de chauffe pour défroisser une chemise sur cintre, sans sortir la table à repasser. Livraison offerte et garantie 2 ans chez Boulanger.</t>
        </is>
      </c>
      <c r="G183" s="19" t="inlineStr">
        <is>
          <t>https://www.boulanger.com/ref/1205107?at_medium=gea&amp;at_campaign=lemrock</t>
        </is>
      </c>
      <c r="H183" s="20" t="n">
        <v>8998</v>
      </c>
      <c r="I183" s="20" t="n">
        <v>50</v>
      </c>
      <c r="J183" s="21">
        <f>IF(H183=0,0,I183/H183)</f>
        <v/>
      </c>
    </row>
    <row r="184">
      <c r="A184" s="17" t="inlineStr">
        <is>
          <t>Boulanger</t>
        </is>
      </c>
      <c r="B184" s="17" t="inlineStr">
        <is>
          <t>Live</t>
        </is>
      </c>
      <c r="C184" s="17" t="inlineStr">
        <is>
          <t>Boulanger</t>
        </is>
      </c>
      <c r="D184" s="17" t="inlineStr">
        <is>
          <t>AirPods</t>
        </is>
      </c>
      <c r="E184" s="18" t="inlineStr">
        <is>
          <t>Ecouteurs APPLE Airpods Pro 2 USB-C Magsafe Reconditionné</t>
        </is>
      </c>
      <c r="F184" s="17" t="inlineStr">
        <is>
          <t>Réduction de bruit active, boîtier MagSafe en USB-C : des AirPods Pro 2 reconditionnés et garantis par Boulanger, à retirer en une heure dans votre magasin.</t>
        </is>
      </c>
      <c r="G184" s="19" t="inlineStr">
        <is>
          <t>https://www.boulanger.com/ref/1240321?at_medium=gea&amp;at_campaign=lemrock</t>
        </is>
      </c>
      <c r="H184" s="20" t="n">
        <v>8997</v>
      </c>
      <c r="I184" s="20" t="n">
        <v>48</v>
      </c>
      <c r="J184" s="21">
        <f>IF(H184=0,0,I184/H184)</f>
        <v/>
      </c>
    </row>
    <row r="185">
      <c r="A185" s="17" t="inlineStr">
        <is>
          <t>Boulanger</t>
        </is>
      </c>
      <c r="B185" s="17" t="inlineStr">
        <is>
          <t>Live</t>
        </is>
      </c>
      <c r="C185" s="17" t="inlineStr">
        <is>
          <t>Boulanger</t>
        </is>
      </c>
      <c r="D185" s="17" t="inlineStr">
        <is>
          <t>Cuisson encastrable</t>
        </is>
      </c>
      <c r="E185" s="18" t="inlineStr">
        <is>
          <t>Hotte décorative murale SIEMENS LC95BCC30</t>
        </is>
      </c>
      <c r="F185" s="17" t="inlineStr">
        <is>
          <t>Une hotte murale Siemens qui aspire vapeurs et odeurs au-dessus de la plaque et habille la cuisine. Livraison offerte et reprise de l’ancienne hotte chez Boulanger.</t>
        </is>
      </c>
      <c r="G185" s="19" t="inlineStr">
        <is>
          <t>https://www.boulanger.com/ref/1237787?at_medium=gea&amp;at_campaign=lemrock</t>
        </is>
      </c>
      <c r="H185" s="20" t="n">
        <v>8993</v>
      </c>
      <c r="I185" s="20" t="n">
        <v>57</v>
      </c>
      <c r="J185" s="21">
        <f>IF(H185=0,0,I185/H185)</f>
        <v/>
      </c>
    </row>
    <row r="186">
      <c r="A186" s="17" t="inlineStr">
        <is>
          <t>Boulanger</t>
        </is>
      </c>
      <c r="B186" s="17" t="inlineStr">
        <is>
          <t>Live</t>
        </is>
      </c>
      <c r="C186" s="17" t="inlineStr">
        <is>
          <t>Boulanger</t>
        </is>
      </c>
      <c r="D186" s="17" t="inlineStr">
        <is>
          <t>Robots cuiseurs et cuisson</t>
        </is>
      </c>
      <c r="E186" s="18" t="inlineStr">
        <is>
          <t>Blender BRAUN JB3100WH PowerBlend 3</t>
        </is>
      </c>
      <c r="F186" s="17" t="inlineStr">
        <is>
          <t>Smoothies, soupes et sauces mixés en quelques secondes, bol facile à rincer après usage. Retrait 1h en magasin Boulanger ou livraison offerte, garantie 2 ans.</t>
        </is>
      </c>
      <c r="G186" s="19" t="inlineStr">
        <is>
          <t>https://www.boulanger.com/ref/1145361?at_medium=gea&amp;at_campaign=lemrock</t>
        </is>
      </c>
      <c r="H186" s="20" t="n">
        <v>8979</v>
      </c>
      <c r="I186" s="20" t="n">
        <v>66</v>
      </c>
      <c r="J186" s="21">
        <f>IF(H186=0,0,I186/H186)</f>
        <v/>
      </c>
    </row>
    <row r="187">
      <c r="A187" s="17" t="inlineStr">
        <is>
          <t>Boulanger</t>
        </is>
      </c>
      <c r="B187" s="17" t="inlineStr">
        <is>
          <t>Live</t>
        </is>
      </c>
      <c r="C187" s="17" t="inlineStr">
        <is>
          <t>Boulanger</t>
        </is>
      </c>
      <c r="D187" s="17" t="inlineStr">
        <is>
          <t>AirPods</t>
        </is>
      </c>
      <c r="E187" s="18" t="inlineStr">
        <is>
          <t>Casque APPLE AirPods Max Lumière stellaire - Réduction de bruit</t>
        </is>
      </c>
      <c r="F187" s="17" t="inlineStr">
        <is>
          <t>Réduction de bruit active et coussinets qui isolent : le casque AirPods Max lumière stellaire, pour écouter sans le bruit du train. Livraison offerte, garantie 2 ans.</t>
        </is>
      </c>
      <c r="G187" s="19" t="inlineStr">
        <is>
          <t>https://www.boulanger.com/ref/1212724?at_medium=gea&amp;at_campaign=lemrock</t>
        </is>
      </c>
      <c r="H187" s="20" t="n">
        <v>8954</v>
      </c>
      <c r="I187" s="20" t="n">
        <v>58</v>
      </c>
      <c r="J187" s="21">
        <f>IF(H187=0,0,I187/H187)</f>
        <v/>
      </c>
    </row>
    <row r="188">
      <c r="A188" s="17" t="inlineStr">
        <is>
          <t>Boulanger</t>
        </is>
      </c>
      <c r="B188" s="17" t="inlineStr">
        <is>
          <t>Live</t>
        </is>
      </c>
      <c r="C188" s="17" t="inlineStr">
        <is>
          <t>Boulanger</t>
        </is>
      </c>
      <c r="D188" s="17" t="inlineStr">
        <is>
          <t>iPad</t>
        </is>
      </c>
      <c r="E188" s="18" t="inlineStr">
        <is>
          <t>Tablette reconditionnée IPAD 7eme gen 128Go Gris Reconditionné</t>
        </is>
      </c>
      <c r="F188" s="17" t="inlineStr">
        <is>
          <t>Un iPad 7e génération 128 Go, gris, remis en état et testé : de la place pour vos films et vos cours, garanti par Boulanger, avec reprise de votre ancienne tablette.</t>
        </is>
      </c>
      <c r="G188" s="19" t="inlineStr">
        <is>
          <t>https://www.boulanger.com/ref/1244516?at_medium=gea&amp;at_campaign=lemrock</t>
        </is>
      </c>
      <c r="H188" s="20" t="n">
        <v>8945</v>
      </c>
      <c r="I188" s="20" t="n">
        <v>47</v>
      </c>
      <c r="J188" s="21">
        <f>IF(H188=0,0,I188/H188)</f>
        <v/>
      </c>
    </row>
    <row r="189">
      <c r="A189" s="17" t="inlineStr">
        <is>
          <t>Boulanger</t>
        </is>
      </c>
      <c r="B189" s="17" t="inlineStr">
        <is>
          <t>Live</t>
        </is>
      </c>
      <c r="C189" s="17" t="inlineStr">
        <is>
          <t>Boulanger</t>
        </is>
      </c>
      <c r="D189" s="17" t="inlineStr">
        <is>
          <t>Robots cuiseurs et cuisson</t>
        </is>
      </c>
      <c r="E189" s="18" t="inlineStr">
        <is>
          <t>Th-plongeur RIVIERA ET BAR TPL 350</t>
        </is>
      </c>
      <c r="F189" s="17" t="inlineStr">
        <is>
          <t>Thermoplongeur RIVIERA ET BAR TPL 350 : l'efficacité en toute simplicité Conception optimisée pour un usage quotidien Le Thermoplongeur RIVIERA ET BAR TPL 350, d'une puissance de</t>
        </is>
      </c>
      <c r="G189" s="19" t="inlineStr">
        <is>
          <t>https://www.boulanger.com/ref/51277?at_medium=gea&amp;at_campaign=lemrock</t>
        </is>
      </c>
      <c r="H189" s="20" t="n">
        <v>8937</v>
      </c>
      <c r="I189" s="20" t="n">
        <v>66</v>
      </c>
      <c r="J189" s="21">
        <f>IF(H189=0,0,I189/H189)</f>
        <v/>
      </c>
    </row>
    <row r="190">
      <c r="A190" s="17" t="inlineStr">
        <is>
          <t>Boulanger</t>
        </is>
      </c>
      <c r="B190" s="17" t="inlineStr">
        <is>
          <t>Live</t>
        </is>
      </c>
      <c r="C190" s="17" t="inlineStr">
        <is>
          <t>Boulanger</t>
        </is>
      </c>
      <c r="D190" s="17" t="inlineStr">
        <is>
          <t>Réfrigérateurs et congélateurs</t>
        </is>
      </c>
      <c r="E190" s="18" t="inlineStr">
        <is>
          <t>Réfrigérateur top encastrable BEKO B1854N 86cm</t>
        </is>
      </c>
      <c r="F190" s="17" t="inlineStr">
        <is>
          <t>Un frigo top de 86 cm qui se glisse sous le plan de travail, derrière une porte de meuble. Livraison offerte et reprise de votre ancien appareil par Boulanger.</t>
        </is>
      </c>
      <c r="G190" s="19" t="inlineStr">
        <is>
          <t>https://www.boulanger.com/ref/1196570?at_medium=gea&amp;at_campaign=lemrock</t>
        </is>
      </c>
      <c r="H190" s="20" t="n">
        <v>8928</v>
      </c>
      <c r="I190" s="20" t="n">
        <v>37</v>
      </c>
      <c r="J190" s="21">
        <f>IF(H190=0,0,I190/H190)</f>
        <v/>
      </c>
    </row>
    <row r="191">
      <c r="A191" s="17" t="inlineStr">
        <is>
          <t>Boulanger</t>
        </is>
      </c>
      <c r="B191" s="17" t="inlineStr">
        <is>
          <t>Live</t>
        </is>
      </c>
      <c r="C191" s="17" t="inlineStr">
        <is>
          <t>Boulanger</t>
        </is>
      </c>
      <c r="D191" s="17" t="inlineStr">
        <is>
          <t>AirPods</t>
        </is>
      </c>
      <c r="E191" s="18" t="inlineStr">
        <is>
          <t>Airpods Pro 3 - Apple - Retrait 1h en Magasin*</t>
        </is>
      </c>
      <c r="F191" s="17" t="inlineStr">
        <is>
          <t>Réduction de bruit active et son Apple : les AirPods Pro 3 s’oublient dans les oreilles du matin au soir. Garantie 2 ans et SAV 7j/7 avec Boulanger.</t>
        </is>
      </c>
      <c r="G191" s="19" t="inlineStr">
        <is>
          <t>https://www.boulanger.com/ref/1227386?at_medium=gea&amp;at_campaign=lemrock</t>
        </is>
      </c>
      <c r="H191" s="20" t="n">
        <v>8922</v>
      </c>
      <c r="I191" s="20" t="n">
        <v>56</v>
      </c>
      <c r="J191" s="21">
        <f>IF(H191=0,0,I191/H191)</f>
        <v/>
      </c>
    </row>
    <row r="192">
      <c r="A192" s="17" t="inlineStr">
        <is>
          <t>Boulanger</t>
        </is>
      </c>
      <c r="B192" s="17" t="inlineStr">
        <is>
          <t>Live</t>
        </is>
      </c>
      <c r="C192" s="17" t="inlineStr">
        <is>
          <t>Boulanger</t>
        </is>
      </c>
      <c r="D192" s="17" t="inlineStr">
        <is>
          <t>Smartphones Samsung Galaxy</t>
        </is>
      </c>
      <c r="E192" s="18" t="inlineStr">
        <is>
          <t>Smartphone SAMSUNG Galaxy A57 5G 128Go Gris</t>
        </is>
      </c>
      <c r="F192" s="17" t="inlineStr">
        <is>
          <t>Galaxy A57 avec 5G et 128 Go : la vitesse de connexion des grands modèles Samsung à prix contenu ; reprise de votre ancien mobile et livraison offerte chez Boulanger.</t>
        </is>
      </c>
      <c r="G192" s="19" t="inlineStr">
        <is>
          <t>https://www.boulanger.com/ref/1237867?at_medium=gea&amp;at_campaign=lemrock</t>
        </is>
      </c>
      <c r="H192" s="20" t="n">
        <v>8920</v>
      </c>
      <c r="I192" s="20" t="n">
        <v>53</v>
      </c>
      <c r="J192" s="21">
        <f>IF(H192=0,0,I192/H192)</f>
        <v/>
      </c>
    </row>
    <row r="193">
      <c r="A193" s="17" t="inlineStr">
        <is>
          <t>Boulanger</t>
        </is>
      </c>
      <c r="B193" s="17" t="inlineStr">
        <is>
          <t>Live</t>
        </is>
      </c>
      <c r="C193" s="17" t="inlineStr">
        <is>
          <t>Boulanger</t>
        </is>
      </c>
      <c r="D193" s="17" t="inlineStr">
        <is>
          <t>Coiffure</t>
        </is>
      </c>
      <c r="E193" s="18" t="inlineStr">
        <is>
          <t>Lisseur GHD Mini : plaques fines pour un coiffage haute précision des zones difficiles et cheveux courts</t>
        </is>
      </c>
      <c r="F193" s="17" t="inlineStr">
        <is>
          <t>Plaques fines pour lisser les mèches courtes et les zones difficiles avec précision, sans repasser dix fois. Livraison offerte et garantie 2 ans sur votre GHD.</t>
        </is>
      </c>
      <c r="G193" s="19" t="inlineStr">
        <is>
          <t>https://www.boulanger.com/ref/9000923604?at_medium=gea&amp;at_campaign=lemrock</t>
        </is>
      </c>
      <c r="H193" s="20" t="n">
        <v>8918</v>
      </c>
      <c r="I193" s="20" t="n">
        <v>43</v>
      </c>
      <c r="J193" s="21">
        <f>IF(H193=0,0,I193/H193)</f>
        <v/>
      </c>
    </row>
    <row r="194">
      <c r="A194" s="17" t="inlineStr">
        <is>
          <t>Boulanger</t>
        </is>
      </c>
      <c r="B194" s="17" t="inlineStr">
        <is>
          <t>Live</t>
        </is>
      </c>
      <c r="C194" s="17" t="inlineStr">
        <is>
          <t>Boulanger</t>
        </is>
      </c>
      <c r="D194" s="17" t="inlineStr">
        <is>
          <t>Café</t>
        </is>
      </c>
      <c r="E194" s="18" t="inlineStr">
        <is>
          <t>Cafetière filtre DELONGHI ICM16710</t>
        </is>
      </c>
      <c r="F194" s="17" t="inlineStr">
        <is>
          <t>Une cafetière filtre De’Longhi pour préparer plusieurs tasses d’un coup et servir toute la table au petit-déjeuner. Livraison offerte et garantie 2 ans Boulanger.</t>
        </is>
      </c>
      <c r="G194" s="19" t="inlineStr">
        <is>
          <t>https://www.boulanger.com/ref/1145241?at_medium=gea&amp;at_campaign=lemrock</t>
        </is>
      </c>
      <c r="H194" s="20" t="n">
        <v>8902</v>
      </c>
      <c r="I194" s="20" t="n">
        <v>52</v>
      </c>
      <c r="J194" s="21">
        <f>IF(H194=0,0,I194/H194)</f>
        <v/>
      </c>
    </row>
    <row r="195">
      <c r="A195" s="17" t="inlineStr">
        <is>
          <t>Boulanger</t>
        </is>
      </c>
      <c r="B195" s="17" t="inlineStr">
        <is>
          <t>Live</t>
        </is>
      </c>
      <c r="C195" s="17" t="inlineStr">
        <is>
          <t>Boulanger</t>
        </is>
      </c>
      <c r="D195" s="17" t="inlineStr">
        <is>
          <t>Réfrigérateurs et congélateurs</t>
        </is>
      </c>
      <c r="E195" s="18" t="inlineStr">
        <is>
          <t>Cave à vin vieillissement HISENSE RW3N230GELF</t>
        </is>
      </c>
      <c r="F195" s="17" t="inlineStr">
        <is>
          <t>Une cave de vieillissement Hisense qui garde vos bouteilles à température stable, à l’abri de la lumière. Livrée chez vous, garantie 2 ans, SAV Boulanger 7j/7.</t>
        </is>
      </c>
      <c r="G195" s="19" t="inlineStr">
        <is>
          <t>https://www.boulanger.com/ref/1201091?at_medium=gea&amp;at_campaign=lemrock</t>
        </is>
      </c>
      <c r="H195" s="20" t="n">
        <v>8892</v>
      </c>
      <c r="I195" s="20" t="n">
        <v>50</v>
      </c>
      <c r="J195" s="21">
        <f>IF(H195=0,0,I195/H195)</f>
        <v/>
      </c>
    </row>
    <row r="196">
      <c r="A196" s="17" t="inlineStr">
        <is>
          <t>Boulanger</t>
        </is>
      </c>
      <c r="B196" s="17" t="inlineStr">
        <is>
          <t>Live</t>
        </is>
      </c>
      <c r="C196" s="17" t="inlineStr">
        <is>
          <t>Boulanger</t>
        </is>
      </c>
      <c r="D196" s="17" t="inlineStr">
        <is>
          <t>Filtration d’eau et soda</t>
        </is>
      </c>
      <c r="E196" s="18" t="inlineStr">
        <is>
          <t>Fontaine à eau BRITA CUBE (4.0 L) technologie UV-C + 1 filtre à eau MAXTRA PRO Expert anti-tartre</t>
        </is>
      </c>
      <c r="F196" s="17" t="inlineStr">
        <is>
          <t>Réservoir 4 litres, traitement UV-C et filtre anti-tartre : une eau filtrée toujours prête, sans packs de bouteilles à porter. Livrée chez vous, garantie 2 ans Boulanger.</t>
        </is>
      </c>
      <c r="G196" s="19" t="inlineStr">
        <is>
          <t>https://www.boulanger.com/ref/1228848?at_medium=gea&amp;at_campaign=lemrock</t>
        </is>
      </c>
      <c r="H196" s="20" t="n">
        <v>8876</v>
      </c>
      <c r="I196" s="20" t="n">
        <v>51</v>
      </c>
      <c r="J196" s="21">
        <f>IF(H196=0,0,I196/H196)</f>
        <v/>
      </c>
    </row>
    <row r="197">
      <c r="A197" s="17" t="inlineStr">
        <is>
          <t>Boulanger</t>
        </is>
      </c>
      <c r="B197" s="17" t="inlineStr">
        <is>
          <t>Live</t>
        </is>
      </c>
      <c r="C197" s="17" t="inlineStr">
        <is>
          <t>Boulanger</t>
        </is>
      </c>
      <c r="D197" s="17" t="inlineStr">
        <is>
          <t>Caméras de surveillance</t>
        </is>
      </c>
      <c r="E197" s="18" t="inlineStr">
        <is>
          <t>Caméra de surveillance PHILIPS HUE SECURE 2K filaire noire</t>
        </is>
      </c>
      <c r="F197" s="17" t="inlineStr">
        <is>
          <t>Image en 2K et alimentation filaire, donc rien à recharger : la caméra Hue Secure veille sur la maison et vous alerte sur le téléphone. Livrée sans frais, garantie 2 ans.</t>
        </is>
      </c>
      <c r="G197" s="19" t="inlineStr">
        <is>
          <t>https://www.boulanger.com/ref/1229667?at_medium=gea&amp;at_campaign=lemrock</t>
        </is>
      </c>
      <c r="H197" s="20" t="n">
        <v>8867</v>
      </c>
      <c r="I197" s="20" t="n">
        <v>54</v>
      </c>
      <c r="J197" s="21">
        <f>IF(H197=0,0,I197/H197)</f>
        <v/>
      </c>
    </row>
    <row r="198">
      <c r="A198" s="17" t="inlineStr">
        <is>
          <t>Boulanger</t>
        </is>
      </c>
      <c r="B198" s="17" t="inlineStr">
        <is>
          <t>Live</t>
        </is>
      </c>
      <c r="C198" s="17" t="inlineStr">
        <is>
          <t>Boulanger</t>
        </is>
      </c>
      <c r="D198" s="17" t="inlineStr">
        <is>
          <t>Cuisson encastrable</t>
        </is>
      </c>
      <c r="E198" s="18" t="inlineStr">
        <is>
          <t>Four encastrable BOSCH HBF153ES1 - Chaleur pulsée - Rails télescopiques - Serenity Serie 2</t>
        </is>
      </c>
      <c r="F198" s="17" t="inlineStr">
        <is>
          <t>Chaleur pulsée pour une cuisson homogène, rails télescopiques pour sortir les plats sans se brûler. Livraison offerte et reprise de l’ancien four par Boulanger.</t>
        </is>
      </c>
      <c r="G198" s="19" t="inlineStr">
        <is>
          <t>https://www.boulanger.com/ref/1185273?at_medium=gea&amp;at_campaign=lemrock</t>
        </is>
      </c>
      <c r="H198" s="20" t="n">
        <v>8865</v>
      </c>
      <c r="I198" s="20" t="n">
        <v>59</v>
      </c>
      <c r="J198" s="21">
        <f>IF(H198=0,0,I198/H198)</f>
        <v/>
      </c>
    </row>
    <row r="199">
      <c r="A199" s="17" t="inlineStr">
        <is>
          <t>Boulanger</t>
        </is>
      </c>
      <c r="B199" s="17" t="inlineStr">
        <is>
          <t>Live</t>
        </is>
      </c>
      <c r="C199" s="17" t="inlineStr">
        <is>
          <t>Boulanger</t>
        </is>
      </c>
      <c r="D199" s="17" t="inlineStr">
        <is>
          <t>Cuisson encastrable</t>
        </is>
      </c>
      <c r="E199" s="18" t="inlineStr">
        <is>
          <t>Grde Cuisine FALCON DELUX110 MIXT NOIR L</t>
        </is>
      </c>
      <c r="F199" s="17" t="inlineStr">
        <is>
          <t>FALCON DELUX110 MIXT NOIR LAITON: L'excellence du savoir-faire britannique en cuisine Design et performances au coeur de la tradition Le Piano de cuisson mixte FALCON DELUX110</t>
        </is>
      </c>
      <c r="G199" s="19" t="inlineStr">
        <is>
          <t>https://www.boulanger.com/ref/777415?at_medium=gea&amp;at_campaign=lemrock</t>
        </is>
      </c>
      <c r="H199" s="20" t="n">
        <v>8858</v>
      </c>
      <c r="I199" s="20" t="n">
        <v>45</v>
      </c>
      <c r="J199" s="21">
        <f>IF(H199=0,0,I199/H199)</f>
        <v/>
      </c>
    </row>
    <row r="200">
      <c r="A200" s="17" t="inlineStr">
        <is>
          <t>Boulanger</t>
        </is>
      </c>
      <c r="B200" s="17" t="inlineStr">
        <is>
          <t>Live</t>
        </is>
      </c>
      <c r="C200" s="17" t="inlineStr">
        <is>
          <t>Boulanger</t>
        </is>
      </c>
      <c r="D200" s="17" t="inlineStr">
        <is>
          <t>Rasage, épilation et santé</t>
        </is>
      </c>
      <c r="E200" s="18" t="inlineStr">
        <is>
          <t>Brosse à dents électrique ORAL-B Pro 1 Bleue Cross Action + 1 brossette</t>
        </is>
      </c>
      <c r="F200" s="17" t="inlineStr">
        <is>
          <t>Brossette CrossAction fournie et tête ronde qui tourne pour nettoyer sans frotter, là où la brosse manuelle passe mal. Retrait 1h en magasin Boulanger.</t>
        </is>
      </c>
      <c r="G200" s="19" t="inlineStr">
        <is>
          <t>https://www.boulanger.com/ref/1193401?at_medium=gea&amp;at_campaign=lemrock</t>
        </is>
      </c>
      <c r="H200" s="20" t="n">
        <v>8855</v>
      </c>
      <c r="I200" s="20" t="n">
        <v>48</v>
      </c>
      <c r="J200" s="21">
        <f>IF(H200=0,0,I200/H200)</f>
        <v/>
      </c>
    </row>
    <row r="201">
      <c r="A201" s="17" t="inlineStr">
        <is>
          <t>Boulanger</t>
        </is>
      </c>
      <c r="B201" s="17" t="inlineStr">
        <is>
          <t>Live</t>
        </is>
      </c>
      <c r="C201" s="17" t="inlineStr">
        <is>
          <t>Boulanger</t>
        </is>
      </c>
      <c r="D201" s="17" t="inlineStr">
        <is>
          <t>Filtration d’eau et soda</t>
        </is>
      </c>
      <c r="E201" s="18" t="inlineStr">
        <is>
          <t>Machine à soda BRITA sodaTRIO noire + 1 cylindre CO+ 1 bouteille verre 1L + 1 bouteille isotherme 0.65L</t>
        </is>
      </c>
      <c r="F201" s="17" t="inlineStr">
        <is>
          <t>Cylindre de CO2, bouteille en verre 1 L et bouteille isotherme 0,65 L fournis : de l’eau pétillante chez vous sans porter de packs. Livraison offerte, SAV Boulanger 7j/7.</t>
        </is>
      </c>
      <c r="G201" s="19" t="inlineStr">
        <is>
          <t>https://www.boulanger.com/ref/1188679?at_medium=gea&amp;at_campaign=lemrock</t>
        </is>
      </c>
      <c r="H201" s="20" t="n">
        <v>8853</v>
      </c>
      <c r="I201" s="20" t="n">
        <v>43</v>
      </c>
      <c r="J201" s="21">
        <f>IF(H201=0,0,I201/H201)</f>
        <v/>
      </c>
    </row>
    <row r="202">
      <c r="A202" s="17" t="inlineStr">
        <is>
          <t>Boulanger</t>
        </is>
      </c>
      <c r="B202" s="17" t="inlineStr">
        <is>
          <t>Live</t>
        </is>
      </c>
      <c r="C202" s="17" t="inlineStr">
        <is>
          <t>Boulanger</t>
        </is>
      </c>
      <c r="D202" s="17" t="inlineStr">
        <is>
          <t>Coiffure</t>
        </is>
      </c>
      <c r="E202" s="18" t="inlineStr">
        <is>
          <t>Sèche-cheveux Babyliss Air Wand – Multistyler 3 en 1</t>
        </is>
      </c>
      <c r="F202" s="17" t="inlineStr">
        <is>
          <t>Séchez, lissez et bouclez avec un seul appareil : trois accessoires à changer selon la coiffure du jour. SAV 7j/7 et garantie 2 ans chez Boulanger.</t>
        </is>
      </c>
      <c r="G202" s="19" t="inlineStr">
        <is>
          <t>https://www.boulanger.com/ref/1203550?at_medium=gea&amp;at_campaign=lemrock</t>
        </is>
      </c>
      <c r="H202" s="20" t="n">
        <v>8851</v>
      </c>
      <c r="I202" s="20" t="n">
        <v>57</v>
      </c>
      <c r="J202" s="21">
        <f>IF(H202=0,0,I202/H202)</f>
        <v/>
      </c>
    </row>
    <row r="203">
      <c r="A203" s="17" t="inlineStr">
        <is>
          <t>Boulanger</t>
        </is>
      </c>
      <c r="B203" s="17" t="inlineStr">
        <is>
          <t>Live</t>
        </is>
      </c>
      <c r="C203" s="17" t="inlineStr">
        <is>
          <t>Boulanger</t>
        </is>
      </c>
      <c r="D203" s="17" t="inlineStr">
        <is>
          <t>Café</t>
        </is>
      </c>
      <c r="E203" s="18" t="inlineStr">
        <is>
          <t>Nespresso KRUPS Vertuo pop+ YY5359FD argent</t>
        </is>
      </c>
      <c r="F203" s="17" t="inlineStr">
        <is>
          <t>Capsules Vertuo pour un espresso serré ou un grand mug, dans une machine compacte qui se glisse partout. Garantie 2 ans, retrait 1h en magasin Boulanger.</t>
        </is>
      </c>
      <c r="G203" s="19" t="inlineStr">
        <is>
          <t>https://www.boulanger.com/ref/1218204?at_medium=gea&amp;at_campaign=lemrock</t>
        </is>
      </c>
      <c r="H203" s="20" t="n">
        <v>8846</v>
      </c>
      <c r="I203" s="20" t="n">
        <v>52</v>
      </c>
      <c r="J203" s="21">
        <f>IF(H203=0,0,I203/H203)</f>
        <v/>
      </c>
    </row>
    <row r="204">
      <c r="A204" s="17" t="inlineStr">
        <is>
          <t>Boulanger</t>
        </is>
      </c>
      <c r="B204" s="17" t="inlineStr">
        <is>
          <t>Live</t>
        </is>
      </c>
      <c r="C204" s="17" t="inlineStr">
        <is>
          <t>Boulanger</t>
        </is>
      </c>
      <c r="D204" s="17" t="inlineStr">
        <is>
          <t>Réfrigérateurs et congélateurs</t>
        </is>
      </c>
      <c r="E204" s="18" t="inlineStr">
        <is>
          <t>Réfrigérateur congélateur | Réfrigérateur combiné</t>
        </is>
      </c>
      <c r="F204" s="17" t="inlineStr">
        <is>
          <t>Combinés, doubles portes ou américains signés Bosch, Samsung ou Whirlpool : livraison offerte et reprise de votre vieux frigo comprises chez Boulanger.</t>
        </is>
      </c>
      <c r="G204" s="19" t="inlineStr">
        <is>
          <t>https://www.boulanger.com/c/refrigerateur-avec-congelateur/?at_medium=gea&amp;at_campaign=lemrock</t>
        </is>
      </c>
      <c r="H204" s="20" t="n">
        <v>8845</v>
      </c>
      <c r="I204" s="20" t="n">
        <v>50</v>
      </c>
      <c r="J204" s="21">
        <f>IF(H204=0,0,I204/H204)</f>
        <v/>
      </c>
    </row>
    <row r="205">
      <c r="A205" s="17" t="inlineStr">
        <is>
          <t>Boulanger</t>
        </is>
      </c>
      <c r="B205" s="17" t="inlineStr">
        <is>
          <t>Live</t>
        </is>
      </c>
      <c r="C205" s="17" t="inlineStr">
        <is>
          <t>Boulanger</t>
        </is>
      </c>
      <c r="D205" s="17" t="inlineStr">
        <is>
          <t>Coiffure</t>
        </is>
      </c>
      <c r="E205" s="18" t="inlineStr">
        <is>
          <t>Sèche cheveux de voyage GHD Flight + : moteur 1600W et design compact pour un séchage puissant</t>
        </is>
      </c>
      <c r="F205" s="17" t="inlineStr">
        <is>
          <t>Moteur 1600 W dans un format compact et pliable : le GHD Flight+ sèche vite et tient dans le bagage cabine. Retrait 1h en magasin Boulanger, garantie 2 ans.</t>
        </is>
      </c>
      <c r="G205" s="19" t="inlineStr">
        <is>
          <t>https://www.boulanger.com/ref/9000923613?at_medium=gea&amp;at_campaign=lemrock</t>
        </is>
      </c>
      <c r="H205" s="20" t="n">
        <v>8837</v>
      </c>
      <c r="I205" s="20" t="n">
        <v>45</v>
      </c>
      <c r="J205" s="21">
        <f>IF(H205=0,0,I205/H205)</f>
        <v/>
      </c>
    </row>
    <row r="206">
      <c r="A206" s="17" t="inlineStr">
        <is>
          <t>Boulanger</t>
        </is>
      </c>
      <c r="B206" s="17" t="inlineStr">
        <is>
          <t>Live</t>
        </is>
      </c>
      <c r="C206" s="17" t="inlineStr">
        <is>
          <t>Boulanger</t>
        </is>
      </c>
      <c r="D206" s="17" t="inlineStr">
        <is>
          <t>Rasage, épilation et santé</t>
        </is>
      </c>
      <c r="E206" s="18" t="inlineStr">
        <is>
          <t>Tensiomètre BRAUN Exactfit 3 bras BUA6150</t>
        </is>
      </c>
      <c r="F206" s="17" t="inlineStr">
        <is>
          <t>Mesurez votre tension au bras chez vous, sans attendre le médecin, avec un brassard confortable. SAV 7j/7 et garantie 2 ans chez Boulanger.</t>
        </is>
      </c>
      <c r="G206" s="19" t="inlineStr">
        <is>
          <t>https://www.boulanger.com/ref/1120744?at_medium=gea&amp;at_campaign=lemrock</t>
        </is>
      </c>
      <c r="H206" s="20" t="n">
        <v>8832</v>
      </c>
      <c r="I206" s="20" t="n">
        <v>52</v>
      </c>
      <c r="J206" s="21">
        <f>IF(H206=0,0,I206/H206)</f>
        <v/>
      </c>
    </row>
    <row r="207">
      <c r="A207" s="17" t="inlineStr">
        <is>
          <t>Boulanger</t>
        </is>
      </c>
      <c r="B207" s="17" t="inlineStr">
        <is>
          <t>Live</t>
        </is>
      </c>
      <c r="C207" s="17" t="inlineStr">
        <is>
          <t>Boulanger</t>
        </is>
      </c>
      <c r="D207" s="17" t="inlineStr">
        <is>
          <t>Clim, chauffage et air</t>
        </is>
      </c>
      <c r="E207" s="18" t="inlineStr">
        <is>
          <t>Chauffage Bain d'huile DUUX DXOH20 Edge Oil Blanc</t>
        </is>
      </c>
      <c r="F207" s="17" t="inlineStr">
        <is>
          <t>Radiateur bain d’huile blanc qui chauffe une pièce sans bruit et garde la chaleur après l’arrêt. SAV 7j/7 et garantie 2 ans chez Boulanger.</t>
        </is>
      </c>
      <c r="G207" s="19" t="inlineStr">
        <is>
          <t>https://www.boulanger.com/ref/9000705379?at_medium=gea&amp;at_campaign=lemrock</t>
        </is>
      </c>
      <c r="H207" s="20" t="n">
        <v>8823</v>
      </c>
      <c r="I207" s="20" t="n">
        <v>51</v>
      </c>
      <c r="J207" s="21">
        <f>IF(H207=0,0,I207/H207)</f>
        <v/>
      </c>
    </row>
    <row r="208">
      <c r="A208" s="17" t="inlineStr">
        <is>
          <t>Boulanger</t>
        </is>
      </c>
      <c r="B208" s="17" t="inlineStr">
        <is>
          <t>Live</t>
        </is>
      </c>
      <c r="C208" s="17" t="inlineStr">
        <is>
          <t>Boulanger</t>
        </is>
      </c>
      <c r="D208" s="17" t="inlineStr">
        <is>
          <t>TV et vidéoprojecteurs</t>
        </is>
      </c>
      <c r="E208" s="18" t="inlineStr">
        <is>
          <t>Passerelle multimédia APPLE TV 4K 128GO Wifi + Ethernet 2022</t>
        </is>
      </c>
      <c r="F208" s="17" t="inlineStr">
        <is>
          <t>Apple TV 4K en version 128 Go avec Wi-Fi et Ethernet : vos films et séries en 4K sur n’importe quelle télé ; livraison offerte et garantie 2 ans chez Boulanger.</t>
        </is>
      </c>
      <c r="G208" s="19" t="inlineStr">
        <is>
          <t>https://www.boulanger.com/ref/1180239?at_medium=gea&amp;at_campaign=lemrock</t>
        </is>
      </c>
      <c r="H208" s="20" t="n">
        <v>8802</v>
      </c>
      <c r="I208" s="20" t="n">
        <v>50</v>
      </c>
      <c r="J208" s="21">
        <f>IF(H208=0,0,I208/H208)</f>
        <v/>
      </c>
    </row>
    <row r="209">
      <c r="A209" s="17" t="inlineStr">
        <is>
          <t>Boulanger</t>
        </is>
      </c>
      <c r="B209" s="17" t="inlineStr">
        <is>
          <t>Live</t>
        </is>
      </c>
      <c r="C209" s="17" t="inlineStr">
        <is>
          <t>Boulanger</t>
        </is>
      </c>
      <c r="D209" s="17" t="inlineStr">
        <is>
          <t>Coiffure</t>
        </is>
      </c>
      <c r="E209" s="18" t="inlineStr">
        <is>
          <t>Fer à boucler GHD Curve creative curl wand : boucleur conique pour des ondulations effet retour de plage naturelles</t>
        </is>
      </c>
      <c r="F209" s="17" t="inlineStr">
        <is>
          <t>Un boucleur conique pour des ondulations naturelles, effet retour de plage, sur cheveux courts ou longs. Livraison offerte et garantie 2 ans chez Boulanger.</t>
        </is>
      </c>
      <c r="G209" s="19" t="inlineStr">
        <is>
          <t>https://www.boulanger.com/ref/1242986?at_medium=gea&amp;at_campaign=lemrock</t>
        </is>
      </c>
      <c r="H209" s="20" t="n">
        <v>8784</v>
      </c>
      <c r="I209" s="20" t="n">
        <v>76</v>
      </c>
      <c r="J209" s="21">
        <f>IF(H209=0,0,I209/H209)</f>
        <v/>
      </c>
    </row>
    <row r="210">
      <c r="A210" s="17" t="inlineStr">
        <is>
          <t>Boulanger</t>
        </is>
      </c>
      <c r="B210" s="17" t="inlineStr">
        <is>
          <t>Live</t>
        </is>
      </c>
      <c r="C210" s="17" t="inlineStr">
        <is>
          <t>Boulanger</t>
        </is>
      </c>
      <c r="D210" s="17" t="inlineStr">
        <is>
          <t>Tablettes Samsung</t>
        </is>
      </c>
      <c r="E210" s="18" t="inlineStr">
        <is>
          <t>Tablette Android SAMSUNG Galaxy Tab A11 Wifi 64Go Gris</t>
        </is>
      </c>
      <c r="F210" s="17" t="inlineStr">
        <is>
          <t>Tablette Samsung Wi-Fi avec 64 Go, légère et abordable pour les vidéos, les cours et les jeux des enfants ; livraison offerte et garantie 2 ans chez Boulanger.</t>
        </is>
      </c>
      <c r="G210" s="19" t="inlineStr">
        <is>
          <t>https://www.boulanger.com/ref/1229409?at_medium=gea&amp;at_campaign=lemrock</t>
        </is>
      </c>
      <c r="H210" s="20" t="n">
        <v>8774</v>
      </c>
      <c r="I210" s="20" t="n">
        <v>65</v>
      </c>
      <c r="J210" s="21">
        <f>IF(H210=0,0,I210/H210)</f>
        <v/>
      </c>
    </row>
    <row r="211">
      <c r="A211" s="17" t="inlineStr">
        <is>
          <t>Boulanger</t>
        </is>
      </c>
      <c r="B211" s="17" t="inlineStr">
        <is>
          <t>Live</t>
        </is>
      </c>
      <c r="C211" s="17" t="inlineStr">
        <is>
          <t>Boulanger</t>
        </is>
      </c>
      <c r="D211" s="17" t="inlineStr">
        <is>
          <t>Smartphones Samsung Galaxy</t>
        </is>
      </c>
      <c r="E211" s="18" t="inlineStr">
        <is>
          <t>Smartphone SAMSUNG Galaxy S25 Edge Noir 256Go Reconditionné</t>
        </is>
      </c>
      <c r="F211" s="17" t="inlineStr">
        <is>
          <t>Un Galaxy S25 Edge noir 256 Go, reconditionné, testé et garanti : la finesse du haut de gamme Samsung sans payer le prix du neuf, avec la livraison offerte.</t>
        </is>
      </c>
      <c r="G211" s="19" t="inlineStr">
        <is>
          <t>https://www.boulanger.com/ref/1236160?at_medium=gea&amp;at_campaign=lemrock</t>
        </is>
      </c>
      <c r="H211" s="20" t="n">
        <v>8768</v>
      </c>
      <c r="I211" s="20" t="n">
        <v>54</v>
      </c>
      <c r="J211" s="21">
        <f>IF(H211=0,0,I211/H211)</f>
        <v/>
      </c>
    </row>
    <row r="212">
      <c r="A212" s="17" t="inlineStr">
        <is>
          <t>Boulanger</t>
        </is>
      </c>
      <c r="B212" s="17" t="inlineStr">
        <is>
          <t>Live</t>
        </is>
      </c>
      <c r="C212" s="17" t="inlineStr">
        <is>
          <t>Boulanger</t>
        </is>
      </c>
      <c r="D212" s="17" t="inlineStr">
        <is>
          <t>Repassage</t>
        </is>
      </c>
      <c r="E212" s="18" t="inlineStr">
        <is>
          <t>Fer à repasser CALOR FV5750C0 Easygliss Plus</t>
        </is>
      </c>
      <c r="F212" s="17" t="inlineStr">
        <is>
          <t>Semelle qui glisse sur tous les tissus et vapeur puissante pour repasser plus vite et sans forcer. Retrait 1h en magasin Boulanger, garantie 2 ans et SAV 7j/7.</t>
        </is>
      </c>
      <c r="G212" s="19" t="inlineStr">
        <is>
          <t>https://www.boulanger.com/ref/1150244?at_medium=gea&amp;at_campaign=lemrock</t>
        </is>
      </c>
      <c r="H212" s="20" t="n">
        <v>8722</v>
      </c>
      <c r="I212" s="20" t="n">
        <v>60</v>
      </c>
      <c r="J212" s="21">
        <f>IF(H212=0,0,I212/H212)</f>
        <v/>
      </c>
    </row>
    <row r="213">
      <c r="A213" s="17" t="inlineStr">
        <is>
          <t>Boulanger</t>
        </is>
      </c>
      <c r="B213" s="17" t="inlineStr">
        <is>
          <t>Live</t>
        </is>
      </c>
      <c r="C213" s="17" t="inlineStr">
        <is>
          <t>Boulanger</t>
        </is>
      </c>
      <c r="D213" s="17" t="inlineStr">
        <is>
          <t>Lavage</t>
        </is>
      </c>
      <c r="E213" s="18" t="inlineStr">
        <is>
          <t>Sèche linge pompe à chaleur WHIRLPOOL CWSD83MWBSFR</t>
        </is>
      </c>
      <c r="F213" s="17" t="inlineStr">
        <is>
          <t>Pompe à chaleur : le linge sèche à basse température, ce qui protège les fibres et réduit la facture. Livraison offerte et reprise de votre ancien sèche-linge.</t>
        </is>
      </c>
      <c r="G213" s="19" t="inlineStr">
        <is>
          <t>https://www.boulanger.com/ref/1217255?at_medium=gea&amp;at_campaign=lemrock</t>
        </is>
      </c>
      <c r="H213" s="20" t="n">
        <v>8702</v>
      </c>
      <c r="I213" s="20" t="n">
        <v>46</v>
      </c>
      <c r="J213" s="21">
        <f>IF(H213=0,0,I213/H213)</f>
        <v/>
      </c>
    </row>
    <row r="214">
      <c r="A214" s="17" t="inlineStr">
        <is>
          <t>Boulanger</t>
        </is>
      </c>
      <c r="B214" s="17" t="inlineStr">
        <is>
          <t>Live</t>
        </is>
      </c>
      <c r="C214" s="17" t="inlineStr">
        <is>
          <t>Boulanger</t>
        </is>
      </c>
      <c r="D214" s="17" t="inlineStr">
        <is>
          <t>Café</t>
        </is>
      </c>
      <c r="E214" s="18" t="inlineStr">
        <is>
          <t>Nespresso DELONGHI NESPRESSO Vertuo next ENV120.BM</t>
        </is>
      </c>
      <c r="F214" s="17" t="inlineStr">
        <is>
          <t>Espresso ou grande tasse selon la capsule Vertuo : la machine lit le code et dose toute seule. Livraison offerte, garantie 2 ans et SAV 7j/7 chez Boulanger.</t>
        </is>
      </c>
      <c r="G214" s="19" t="inlineStr">
        <is>
          <t>https://www.boulanger.com/ref/1238140?at_medium=gea&amp;at_campaign=lemrock</t>
        </is>
      </c>
      <c r="H214" s="20" t="n">
        <v>8683</v>
      </c>
      <c r="I214" s="20" t="n">
        <v>49</v>
      </c>
      <c r="J214" s="21">
        <f>IF(H214=0,0,I214/H214)</f>
        <v/>
      </c>
    </row>
    <row r="215">
      <c r="A215" s="17" t="inlineStr">
        <is>
          <t>Boulanger</t>
        </is>
      </c>
      <c r="B215" s="17" t="inlineStr">
        <is>
          <t>Live</t>
        </is>
      </c>
      <c r="C215" s="17" t="inlineStr">
        <is>
          <t>Boulanger</t>
        </is>
      </c>
      <c r="D215" s="17" t="inlineStr">
        <is>
          <t>Smartphones Samsung Galaxy</t>
        </is>
      </c>
      <c r="E215" s="18" t="inlineStr">
        <is>
          <t>Smartphone SAMSUNG Galaxy S26 5G 256 Go Noir</t>
        </is>
      </c>
      <c r="F215" s="17" t="inlineStr">
        <is>
          <t>256 Go, 5G et un format qui tient en main : le Galaxy S26 sans le prix de l’Ultra ; Boulanger vous le livre sans frais et son SAV répond 7 jours sur 7.</t>
        </is>
      </c>
      <c r="G215" s="19" t="inlineStr">
        <is>
          <t>https://www.boulanger.com/ref/1233918?at_medium=gea&amp;at_campaign=lemrock</t>
        </is>
      </c>
      <c r="H215" s="20" t="n">
        <v>8650</v>
      </c>
      <c r="I215" s="20" t="n">
        <v>58</v>
      </c>
      <c r="J215" s="21">
        <f>IF(H215=0,0,I215/H215)</f>
        <v/>
      </c>
    </row>
    <row r="216">
      <c r="A216" s="17" t="inlineStr">
        <is>
          <t>Boulanger</t>
        </is>
      </c>
      <c r="B216" s="17" t="inlineStr">
        <is>
          <t>Live</t>
        </is>
      </c>
      <c r="C216" s="17" t="inlineStr">
        <is>
          <t>Boulanger</t>
        </is>
      </c>
      <c r="D216" s="17" t="inlineStr">
        <is>
          <t>Smartphones et accessoires</t>
        </is>
      </c>
      <c r="E216" s="18" t="inlineStr">
        <is>
          <t>Coque HUAWEI P20 Lite Transparent</t>
        </is>
      </c>
      <c r="F216" s="17" t="inlineStr">
        <is>
          <t>Cette coque transparente a été fabriquée à base de TPU. Elle est faite pour protéger votre Huawei P20 Lite des chocs et des rayures. Cette coque semi-rigide permet un accès aisé à</t>
        </is>
      </c>
      <c r="G216" s="19" t="inlineStr">
        <is>
          <t>https://www.boulanger.com/ref/1106584at_medium=gea&amp;at_campaign=lemrock</t>
        </is>
      </c>
      <c r="H216" s="20" t="n">
        <v>5344</v>
      </c>
      <c r="I216" s="20" t="n">
        <v>30</v>
      </c>
      <c r="J216" s="21">
        <f>IF(H216=0,0,I216/H216)</f>
        <v/>
      </c>
    </row>
    <row r="217">
      <c r="A217" s="17" t="inlineStr">
        <is>
          <t>Boulanger</t>
        </is>
      </c>
      <c r="B217" s="17" t="inlineStr">
        <is>
          <t>Live</t>
        </is>
      </c>
      <c r="C217" s="17" t="inlineStr">
        <is>
          <t>Boulanger</t>
        </is>
      </c>
      <c r="D217" s="17" t="inlineStr">
        <is>
          <t>TV, image et son</t>
        </is>
      </c>
      <c r="E217" s="18" t="inlineStr">
        <is>
          <t>TV SONY KD32W800P1-32 pouces (80cm)</t>
        </is>
      </c>
      <c r="F217" s="17" t="inlineStr">
        <is>
          <t>Véritable centre de divertissement, le téléviseur Sony KD32W800P1 d'une diagonale de 80 cm est idéal pour profiter de vos films et de vos séries ou pour jouer, y compris en HDR.</t>
        </is>
      </c>
      <c r="G217" s="19" t="inlineStr">
        <is>
          <t>https://www.boulanger.com/ref/1187547at_medium=gea&amp;at_campaign=lemrock</t>
        </is>
      </c>
      <c r="H217" s="20" t="n">
        <v>5303</v>
      </c>
      <c r="I217" s="20" t="n">
        <v>30</v>
      </c>
      <c r="J217" s="21">
        <f>IF(H217=0,0,I217/H217)</f>
        <v/>
      </c>
    </row>
    <row r="218">
      <c r="A218" s="17" t="inlineStr">
        <is>
          <t>Boulanger</t>
        </is>
      </c>
      <c r="B218" s="17" t="inlineStr">
        <is>
          <t>Live</t>
        </is>
      </c>
      <c r="C218" s="17" t="inlineStr">
        <is>
          <t>Boulanger</t>
        </is>
      </c>
      <c r="D218" s="17" t="inlineStr">
        <is>
          <t>Smartphones et accessoires</t>
        </is>
      </c>
      <c r="E218" s="18" t="inlineStr">
        <is>
          <t>Smartphone SAMSUNG Galaxy S24 Ultra Gris</t>
        </is>
      </c>
      <c r="F218" s="17" t="inlineStr">
        <is>
          <t>Bienvenue dans la nouvelle ère de l'Intelligence Artificielle mobile. Entre vos mains, le Galaxy S24 Ultra vous ouvre de nouveaux horizons. Productifs d'abord, avec des</t>
        </is>
      </c>
      <c r="G218" s="19" t="inlineStr">
        <is>
          <t>https://www.boulanger.com/ref/1200027at_medium=gea&amp;at_campaign=lemrock</t>
        </is>
      </c>
      <c r="H218" s="20" t="n">
        <v>5247</v>
      </c>
      <c r="I218" s="20" t="n">
        <v>30</v>
      </c>
      <c r="J218" s="21">
        <f>IF(H218=0,0,I218/H218)</f>
        <v/>
      </c>
    </row>
    <row r="219">
      <c r="A219" s="17" t="inlineStr">
        <is>
          <t>Boulanger</t>
        </is>
      </c>
      <c r="B219" s="17" t="inlineStr">
        <is>
          <t>Live</t>
        </is>
      </c>
      <c r="C219" s="17" t="inlineStr">
        <is>
          <t>Boulanger</t>
        </is>
      </c>
      <c r="D219" s="17" t="inlineStr">
        <is>
          <t>Gros électroménager</t>
        </is>
      </c>
      <c r="E219" s="18" t="inlineStr">
        <is>
          <t>Grde Cuisine FALCON DELUX110 MIXT NOIR L</t>
        </is>
      </c>
      <c r="F219" s="17" t="inlineStr">
        <is>
          <t>FALCON DELUX110 MIXT NOIR LAITON: L'excellence du savoir-faire britannique en cuisine Design et performances au coeur de la tradition Le Piano de cuisson mixte FALCON DELUX110</t>
        </is>
      </c>
      <c r="G219" s="19" t="inlineStr">
        <is>
          <t>https://www.boulanger.com/ref/777415at_medium=gea&amp;at_campaign=lemrock</t>
        </is>
      </c>
      <c r="H219" s="20" t="n">
        <v>5073</v>
      </c>
      <c r="I219" s="20" t="n">
        <v>45</v>
      </c>
      <c r="J219" s="21">
        <f>IF(H219=0,0,I219/H219)</f>
        <v/>
      </c>
    </row>
    <row r="220">
      <c r="A220" s="17" t="inlineStr">
        <is>
          <t>Boulanger</t>
        </is>
      </c>
      <c r="B220" s="17" t="inlineStr">
        <is>
          <t>Live</t>
        </is>
      </c>
      <c r="C220" s="17" t="inlineStr">
        <is>
          <t>Boulanger</t>
        </is>
      </c>
      <c r="D220" s="17" t="inlineStr">
        <is>
          <t>Informatique</t>
        </is>
      </c>
      <c r="E220" s="18" t="inlineStr">
        <is>
          <t>PC Gamer MSI CreatorPro X18 HX A14VMG-44</t>
        </is>
      </c>
      <c r="F220" s="17" t="inlineStr">
        <is>
          <t>MSI CreatorPro X18 HX A14VMG-448FR : La Puissance au Service de la Créativité Une Performance Inégalée pour les Créateurs Le MSI CreatorPro X18 HX A14VMG-448FR est conçu pour</t>
        </is>
      </c>
      <c r="G220" s="19" t="inlineStr">
        <is>
          <t>https://www.boulanger.com/ref/1209059at_medium=gea&amp;at_campaign=lemrock</t>
        </is>
      </c>
      <c r="H220" s="20" t="n">
        <v>5067</v>
      </c>
      <c r="I220" s="20" t="n">
        <v>30</v>
      </c>
      <c r="J220" s="21">
        <f>IF(H220=0,0,I220/H220)</f>
        <v/>
      </c>
    </row>
    <row r="221">
      <c r="A221" s="17" t="inlineStr">
        <is>
          <t>Boulanger</t>
        </is>
      </c>
      <c r="B221" s="17" t="inlineStr">
        <is>
          <t>Live</t>
        </is>
      </c>
      <c r="C221" s="17" t="inlineStr">
        <is>
          <t>Boulanger</t>
        </is>
      </c>
      <c r="D221" s="17" t="inlineStr">
        <is>
          <t>Petit électroménager cuisine</t>
        </is>
      </c>
      <c r="E221" s="18" t="inlineStr">
        <is>
          <t>Gril STAUB 24x24cm manche silicone</t>
        </is>
      </c>
      <c r="F221" s="17" t="inlineStr">
        <is>
          <t>Poêle STAUB 24x24cm avec manche en silicone : l'allié robuste de votre cuisine Conception en fonte émaillée pour une cuisson parfaite La Poêle STAUB 24x24cm se distingue par sa</t>
        </is>
      </c>
      <c r="G221" s="19" t="inlineStr">
        <is>
          <t>https://www.boulanger.com/ref/846110at_medium=gea&amp;at_campaign=lemrock</t>
        </is>
      </c>
      <c r="H221" s="20" t="n">
        <v>5058</v>
      </c>
      <c r="I221" s="20" t="n">
        <v>30</v>
      </c>
      <c r="J221" s="21">
        <f>IF(H221=0,0,I221/H221)</f>
        <v/>
      </c>
    </row>
    <row r="222">
      <c r="A222" s="17" t="inlineStr">
        <is>
          <t>Boulanger</t>
        </is>
      </c>
      <c r="B222" s="17" t="inlineStr">
        <is>
          <t>Live</t>
        </is>
      </c>
      <c r="C222" s="17" t="inlineStr">
        <is>
          <t>Boulanger</t>
        </is>
      </c>
      <c r="D222" s="17" t="inlineStr">
        <is>
          <t>Petit électroménager cuisine</t>
        </is>
      </c>
      <c r="E222" s="18" t="inlineStr">
        <is>
          <t>Cafetière BIALETTI french press Preziosa</t>
        </is>
      </c>
      <c r="F222" s="17" t="inlineStr">
        <is>
          <t>Découvrez la cafetière à piston BIALETTI French Press Preziosa 1 Litre Un design élégant et fonctionnel La cafetière à piston BIALETTI French Press Preziosa 1 Litre est un</t>
        </is>
      </c>
      <c r="G222" s="19" t="inlineStr">
        <is>
          <t>https://www.boulanger.com/ref/138444at_medium=gea&amp;at_campaign=lemrock</t>
        </is>
      </c>
      <c r="H222" s="20" t="n">
        <v>5019</v>
      </c>
      <c r="I222" s="20" t="n">
        <v>23</v>
      </c>
      <c r="J222" s="21">
        <f>IF(H222=0,0,I222/H222)</f>
        <v/>
      </c>
    </row>
    <row r="223">
      <c r="A223" s="17" t="inlineStr">
        <is>
          <t>Boulanger</t>
        </is>
      </c>
      <c r="B223" s="17" t="inlineStr">
        <is>
          <t>Live</t>
        </is>
      </c>
      <c r="C223" s="17" t="inlineStr">
        <is>
          <t>Boulanger</t>
        </is>
      </c>
      <c r="D223" s="17" t="inlineStr">
        <is>
          <t>Gros électroménager</t>
        </is>
      </c>
      <c r="E223" s="18" t="inlineStr">
        <is>
          <t>Four Email SMEG SF6905P1</t>
        </is>
      </c>
      <c r="F223" s="17" t="inlineStr">
        <is>
          <t>Place au goût ! Smeg met entre vos mains un four ultra-performant avec le SF6905P1. Des performances professionnelles À vous les repas de chef étoilé dans le confort de votre</t>
        </is>
      </c>
      <c r="G223" s="19" t="inlineStr">
        <is>
          <t>https://www.boulanger.com/ref/1096918at_medium=gea&amp;at_campaign=lemrock</t>
        </is>
      </c>
      <c r="H223" s="20" t="n">
        <v>5010</v>
      </c>
      <c r="I223" s="20" t="n">
        <v>22</v>
      </c>
      <c r="J223" s="21">
        <f>IF(H223=0,0,I223/H223)</f>
        <v/>
      </c>
    </row>
    <row r="224">
      <c r="A224" s="17" t="inlineStr">
        <is>
          <t>Boulanger</t>
        </is>
      </c>
      <c r="B224" s="17" t="inlineStr">
        <is>
          <t>Live</t>
        </is>
      </c>
      <c r="C224" s="17" t="inlineStr">
        <is>
          <t>Boulanger</t>
        </is>
      </c>
      <c r="D224" s="17" t="inlineStr">
        <is>
          <t>Consommables et pièces détachées</t>
        </is>
      </c>
      <c r="E224" s="18" t="inlineStr">
        <is>
          <t>Cartouche CANON CLI551 XL Cyan</t>
        </is>
      </c>
      <c r="F224" s="17" t="inlineStr">
        <is>
          <t>Cartouche d'encre CANON CLI551 XL Cyan : Qualité et Performance pour vos Impressions Une cartouche haute capacité pour des impressions durables La cartouche d'encre CANON CLI551</t>
        </is>
      </c>
      <c r="G224" s="19" t="inlineStr">
        <is>
          <t>https://www.boulanger.com/ref/142796at_medium=gea&amp;at_campaign=lemrock</t>
        </is>
      </c>
      <c r="H224" s="20" t="n">
        <v>4973</v>
      </c>
      <c r="I224" s="20" t="n">
        <v>25</v>
      </c>
      <c r="J224" s="21">
        <f>IF(H224=0,0,I224/H224)</f>
        <v/>
      </c>
    </row>
    <row r="225">
      <c r="A225" s="17" t="inlineStr">
        <is>
          <t>Boulanger</t>
        </is>
      </c>
      <c r="B225" s="17" t="inlineStr">
        <is>
          <t>Live</t>
        </is>
      </c>
      <c r="C225" s="17" t="inlineStr">
        <is>
          <t>Boulanger</t>
        </is>
      </c>
      <c r="D225" s="17" t="inlineStr">
        <is>
          <t>Consommables et pièces détachées</t>
        </is>
      </c>
      <c r="E225" s="18" t="inlineStr">
        <is>
          <t>Câble BELKIN Jack 3.5mm spirale noir - 1</t>
        </is>
      </c>
      <c r="F225" s="17" t="inlineStr">
        <is>
          <t>Adoptez un look vintage pour vos câbles de son avec ce câble Belkin. Ce câble Belkin permet de brancher tous vos appareils sonores et propose robustesse et un certain design. Un</t>
        </is>
      </c>
      <c r="G225" s="19" t="inlineStr">
        <is>
          <t>https://www.boulanger.com/ref/284091at_medium=gea&amp;at_campaign=lemrock</t>
        </is>
      </c>
      <c r="H225" s="20" t="n">
        <v>4949</v>
      </c>
      <c r="I225" s="20" t="n">
        <v>30</v>
      </c>
      <c r="J225" s="21">
        <f>IF(H225=0,0,I225/H225)</f>
        <v/>
      </c>
    </row>
    <row r="226">
      <c r="A226" s="17" t="inlineStr">
        <is>
          <t>Boulanger</t>
        </is>
      </c>
      <c r="B226" s="17" t="inlineStr">
        <is>
          <t>Live</t>
        </is>
      </c>
      <c r="C226" s="17" t="inlineStr">
        <is>
          <t>Boulanger</t>
        </is>
      </c>
      <c r="D226" s="17" t="inlineStr">
        <is>
          <t>Smartphones et accessoires</t>
        </is>
      </c>
      <c r="E226" s="18" t="inlineStr">
        <is>
          <t>Alimentation WATT AND CO Uni.3000 mAh</t>
        </is>
      </c>
      <c r="F226" s="17" t="inlineStr">
        <is>
          <t>Chargeur Secteur WATT AND CO Uni.3000 mAh : La Solution de Charge Universelle Polyvalence et Compatibilité Étendue Le Chargeur secteur WATT AND CO Uni.3000 mAh est conçu pour</t>
        </is>
      </c>
      <c r="G226" s="19" t="inlineStr">
        <is>
          <t>https://www.boulanger.com/ref/151244at_medium=gea&amp;at_campaign=lemrock</t>
        </is>
      </c>
      <c r="H226" s="20" t="n">
        <v>4926</v>
      </c>
      <c r="I226" s="20" t="n">
        <v>27</v>
      </c>
      <c r="J226" s="21">
        <f>IF(H226=0,0,I226/H226)</f>
        <v/>
      </c>
    </row>
    <row r="227">
      <c r="A227" s="17" t="inlineStr">
        <is>
          <t>Boulanger</t>
        </is>
      </c>
      <c r="B227" s="17" t="inlineStr">
        <is>
          <t>Live</t>
        </is>
      </c>
      <c r="C227" s="17" t="inlineStr">
        <is>
          <t>Boulanger</t>
        </is>
      </c>
      <c r="D227" s="17" t="inlineStr">
        <is>
          <t>Gros électroménager</t>
        </is>
      </c>
      <c r="E227" s="18" t="inlineStr">
        <is>
          <t>Combi BOSCH KGN33NWEB</t>
        </is>
      </c>
      <c r="F227" s="17" t="inlineStr">
        <is>
          <t>Allez à l'essentiel ! Grâce au Combi BOSCH KGN33NWEB, vous disposerez d'un appareil polyvalent pour conserver simplement une grande quantité d'aliments. Un rangement simplifié En</t>
        </is>
      </c>
      <c r="G227" s="19" t="inlineStr">
        <is>
          <t>https://www.boulanger.com/ref/1147684at_medium=gea&amp;at_campaign=lemrock</t>
        </is>
      </c>
      <c r="H227" s="20" t="n">
        <v>4905</v>
      </c>
      <c r="I227" s="20" t="n">
        <v>37</v>
      </c>
      <c r="J227" s="21">
        <f>IF(H227=0,0,I227/H227)</f>
        <v/>
      </c>
    </row>
    <row r="228">
      <c r="A228" s="17" t="inlineStr">
        <is>
          <t>Boulanger</t>
        </is>
      </c>
      <c r="B228" s="17" t="inlineStr">
        <is>
          <t>Live</t>
        </is>
      </c>
      <c r="C228" s="17" t="inlineStr">
        <is>
          <t>Boulanger</t>
        </is>
      </c>
      <c r="D228" s="17" t="inlineStr">
        <is>
          <t>Petit électroménager cuisine</t>
        </is>
      </c>
      <c r="E228" s="18" t="inlineStr">
        <is>
          <t>Th-plongeur RIVIERA ET BAR TPL 350</t>
        </is>
      </c>
      <c r="F228" s="17" t="inlineStr">
        <is>
          <t>Thermoplongeur RIVIERA ET BAR TPL 350 : l'efficacité en toute simplicité Conception optimisée pour un usage quotidien Le Thermoplongeur RIVIERA ET BAR TPL 350, d'une puissance de</t>
        </is>
      </c>
      <c r="G228" s="19" t="inlineStr">
        <is>
          <t>https://www.boulanger.com/ref/51277at_medium=gea&amp;at_campaign=lemrock</t>
        </is>
      </c>
      <c r="H228" s="20" t="n">
        <v>4889</v>
      </c>
      <c r="I228" s="20" t="n">
        <v>22</v>
      </c>
      <c r="J228" s="21">
        <f>IF(H228=0,0,I228/H228)</f>
        <v/>
      </c>
    </row>
    <row r="229">
      <c r="A229" s="17" t="inlineStr">
        <is>
          <t>Boulanger</t>
        </is>
      </c>
      <c r="B229" s="17" t="inlineStr">
        <is>
          <t>Live</t>
        </is>
      </c>
      <c r="C229" s="17" t="inlineStr">
        <is>
          <t>Boulanger</t>
        </is>
      </c>
      <c r="D229" s="17" t="inlineStr">
        <is>
          <t>Consommables et pièces détachées</t>
        </is>
      </c>
      <c r="E229" s="18" t="inlineStr">
        <is>
          <t>Kit POLTI 4 serpillères &amp; 6 bonnettes</t>
        </is>
      </c>
      <c r="F229" s="17" t="inlineStr">
        <is>
          <t>Le kit se compose de 4 serpillières et 6 bonnettes : les serpillières sont conçues pour nettoyer tous les types de sols, les bonnettes, pour le nettoyage des tissus d'ameublement</t>
        </is>
      </c>
      <c r="G229" s="19" t="inlineStr">
        <is>
          <t>https://www.boulanger.com/ref/149847at_medium=gea&amp;at_campaign=lemrock</t>
        </is>
      </c>
      <c r="H229" s="20" t="n">
        <v>4884</v>
      </c>
      <c r="I229" s="20" t="n">
        <v>35</v>
      </c>
      <c r="J229" s="21">
        <f>IF(H229=0,0,I229/H229)</f>
        <v/>
      </c>
    </row>
    <row r="230">
      <c r="A230" s="17" t="inlineStr">
        <is>
          <t>Boulanger</t>
        </is>
      </c>
      <c r="B230" s="17" t="inlineStr">
        <is>
          <t>Live</t>
        </is>
      </c>
      <c r="C230" s="17" t="inlineStr">
        <is>
          <t>Boulanger</t>
        </is>
      </c>
      <c r="D230" s="17" t="inlineStr">
        <is>
          <t>TV, image et son</t>
        </is>
      </c>
      <c r="E230" s="18" t="inlineStr">
        <is>
          <t>Enc. YAMAHA MusicCast 20 blanc</t>
        </is>
      </c>
      <c r="F230" s="17" t="inlineStr">
        <is>
          <t>Libérez-vous de tout câble et profitez de vos musiques préférez où que vous soyez avec l'enceinte connecté Yamaha MusicCast 20. Avec ses deux haut-parleurs deux voies avec un</t>
        </is>
      </c>
      <c r="G230" s="19" t="inlineStr">
        <is>
          <t>https://www.boulanger.com/ref/1112317?at_medium=gea&amp;at_campaign=lemrock</t>
        </is>
      </c>
      <c r="H230" s="20" t="n">
        <v>779</v>
      </c>
      <c r="I230" s="20" t="n">
        <v>11</v>
      </c>
      <c r="J230" s="21">
        <f>IF(H230=0,0,I230/H230)</f>
        <v/>
      </c>
    </row>
    <row r="231">
      <c r="A231" s="17" t="inlineStr">
        <is>
          <t>Boulanger</t>
        </is>
      </c>
      <c r="B231" s="17" t="inlineStr">
        <is>
          <t>Live</t>
        </is>
      </c>
      <c r="C231" s="17" t="inlineStr">
        <is>
          <t>Boulanger</t>
        </is>
      </c>
      <c r="D231" s="17" t="inlineStr">
        <is>
          <t>TV, image et son</t>
        </is>
      </c>
      <c r="E231" s="18" t="inlineStr">
        <is>
          <t>TV SONY KD32W800P1-32 pouces (80cm)</t>
        </is>
      </c>
      <c r="F231" s="17" t="inlineStr">
        <is>
          <t>Véritable centre de divertissement, le téléviseur Sony KD32W800P1 d'une diagonale de 80 cm est idéal pour profiter de vos films et de vos séries ou pour jouer, y compris en HDR.</t>
        </is>
      </c>
      <c r="G231" s="19" t="inlineStr">
        <is>
          <t>https://www.boulanger.com/ref/1187547?at_medium=gea&amp;at_campaign=lemrock</t>
        </is>
      </c>
      <c r="H231" s="20" t="n">
        <v>637</v>
      </c>
      <c r="I231" s="20" t="n">
        <v>4</v>
      </c>
      <c r="J231" s="21">
        <f>IF(H231=0,0,I231/H231)</f>
        <v/>
      </c>
    </row>
    <row r="232">
      <c r="A232" s="17" t="inlineStr">
        <is>
          <t>Boulanger</t>
        </is>
      </c>
      <c r="B232" s="17" t="inlineStr">
        <is>
          <t>Live</t>
        </is>
      </c>
      <c r="C232" s="17" t="inlineStr">
        <is>
          <t>Boulanger</t>
        </is>
      </c>
      <c r="D232" s="17" t="inlineStr">
        <is>
          <t>TV, image et son</t>
        </is>
      </c>
      <c r="E232" s="18" t="inlineStr">
        <is>
          <t>Casque SONY MDR-ZX310 noir</t>
        </is>
      </c>
      <c r="F232" s="17" t="inlineStr">
        <is>
          <t>Un son hors du commun, de qualité exceptionnelle, et une fiabilité à toute épreuve, c'est ce que vous promet le casque Sony MDRZX310. Bénéficiez de la qualité d'une grande marque</t>
        </is>
      </c>
      <c r="G232" s="19" t="inlineStr">
        <is>
          <t>https://www.boulanger.com/ref/1028500?at_medium=gea&amp;at_campaign=lemrock</t>
        </is>
      </c>
      <c r="H232" s="20" t="n">
        <v>607</v>
      </c>
      <c r="I232" s="20" t="n">
        <v>7</v>
      </c>
      <c r="J232" s="21">
        <f>IF(H232=0,0,I232/H232)</f>
        <v/>
      </c>
    </row>
    <row r="233">
      <c r="A233" s="17" t="inlineStr">
        <is>
          <t>Cdiscount Voyages</t>
        </is>
      </c>
      <c r="B233" s="17" t="inlineStr">
        <is>
          <t>Live</t>
        </is>
      </c>
      <c r="C233" s="17" t="inlineStr">
        <is>
          <t>Cdiscount vol paiement 4x</t>
        </is>
      </c>
      <c r="D233" s="17" t="inlineStr">
        <is>
          <t>Cdiscount Vols 4x</t>
        </is>
      </c>
      <c r="E233" s="18" t="inlineStr">
        <is>
          <t>Cdiscount Voyages - destinations tendances à prix bas</t>
        </is>
      </c>
      <c r="F233" s="17" t="inlineStr">
        <is>
          <t>Réservez un vol vers une destination très demandée. Payez en 4x.</t>
        </is>
      </c>
      <c r="G233" s="19" t="inlineStr">
        <is>
          <t>https://www.awin1.com/cread.php?awinmid=14021&amp;awinaffid=2748398&amp;ued=https%3A%2F%2Fvol.cdiscount.com%2FPage%2Fcompanyoperations%2F%3Fid%3D22878</t>
        </is>
      </c>
      <c r="H233" s="20" t="n">
        <v>139280</v>
      </c>
      <c r="I233" s="20" t="n">
        <v>779</v>
      </c>
      <c r="J233" s="21">
        <f>IF(H233=0,0,I233/H233)</f>
        <v/>
      </c>
    </row>
    <row r="234">
      <c r="A234" s="17" t="inlineStr">
        <is>
          <t>Cdiscount Voyages</t>
        </is>
      </c>
      <c r="B234" s="17" t="inlineStr">
        <is>
          <t>Live</t>
        </is>
      </c>
      <c r="C234" s="17" t="inlineStr">
        <is>
          <t>Cdiscount vol paiement 4x</t>
        </is>
      </c>
      <c r="D234" s="17" t="inlineStr">
        <is>
          <t>Cdiscount Vols 4x</t>
        </is>
      </c>
      <c r="E234" s="18" t="inlineStr">
        <is>
          <t>Cdiscount Voyages - vols courts-courriers Europe</t>
        </is>
      </c>
      <c r="F234" s="17" t="inlineStr">
        <is>
          <t>Réservez un vol de moins de 3 heures vers une grande ville d’Europe. Payez en 4x.</t>
        </is>
      </c>
      <c r="G234" s="19" t="inlineStr">
        <is>
          <t>https://www.awin1.com/cread.php?awinmid=14021&amp;awinaffid=2748398&amp;ued=https%3A%2F%2Fvol.cdiscount.com%2FPage%2Fcompanyoperations%2F%3Fid%3D22561</t>
        </is>
      </c>
      <c r="H234" s="20" t="n">
        <v>135342</v>
      </c>
      <c r="I234" s="20" t="n">
        <v>655</v>
      </c>
      <c r="J234" s="21">
        <f>IF(H234=0,0,I234/H234)</f>
        <v/>
      </c>
    </row>
    <row r="235">
      <c r="A235" s="17" t="inlineStr">
        <is>
          <t>Cdiscount Voyages</t>
        </is>
      </c>
      <c r="B235" s="17" t="inlineStr">
        <is>
          <t>Live</t>
        </is>
      </c>
      <c r="C235" s="17" t="inlineStr">
        <is>
          <t>Cdiscount vol paiement 4x</t>
        </is>
      </c>
      <c r="D235" s="17" t="inlineStr">
        <is>
          <t>Cdiscount Vols 4x</t>
        </is>
      </c>
      <c r="E235" s="18" t="inlineStr">
        <is>
          <t>Cdiscount Voyages - vols vers le Moyen-Orient et l’Islande</t>
        </is>
      </c>
      <c r="F235" s="17" t="inlineStr">
        <is>
          <t>Réservez un vol vers le Moyen-Orient ou l’Islande. Payez en 4x.</t>
        </is>
      </c>
      <c r="G235" s="19" t="inlineStr">
        <is>
          <t>https://www.awin1.com/cread.php?awinmid=14021&amp;awinaffid=2748398&amp;ued=https%3A%2F%2Fvol.cdiscount.com%2FPage%2Fcompanyoperations%2F%3Fid%3D22559</t>
        </is>
      </c>
      <c r="H235" s="20" t="n">
        <v>134684</v>
      </c>
      <c r="I235" s="20" t="n">
        <v>684</v>
      </c>
      <c r="J235" s="21">
        <f>IF(H235=0,0,I235/H235)</f>
        <v/>
      </c>
    </row>
    <row r="236">
      <c r="A236" s="17" t="inlineStr">
        <is>
          <t>Cdiscount Voyages</t>
        </is>
      </c>
      <c r="B236" s="17" t="inlineStr">
        <is>
          <t>Live</t>
        </is>
      </c>
      <c r="C236" s="17" t="inlineStr">
        <is>
          <t>Cdiscount vol paiement 4x</t>
        </is>
      </c>
      <c r="D236" s="17" t="inlineStr">
        <is>
          <t>Cdiscount Vols 4x</t>
        </is>
      </c>
      <c r="E236" s="18" t="inlineStr">
        <is>
          <t>Cdiscount Voyages - vols vers l’Afrique à prix bas</t>
        </is>
      </c>
      <c r="F236" s="17" t="inlineStr">
        <is>
          <t>Réservez un vol vers le Maghreb ou l’Afrique de l’Ouest. Payez en 4x.</t>
        </is>
      </c>
      <c r="G236" s="19" t="inlineStr">
        <is>
          <t>https://www.awin1.com/cread.php?awinmid=14021&amp;awinaffid=2748398&amp;ued=https%3A%2F%2Fvol.cdiscount.com%2FPage%2Fcompanyoperations%2F%3Fid%3D22875</t>
        </is>
      </c>
      <c r="H236" s="20" t="n">
        <v>134272</v>
      </c>
      <c r="I236" s="20" t="n">
        <v>693</v>
      </c>
      <c r="J236" s="21">
        <f>IF(H236=0,0,I236/H236)</f>
        <v/>
      </c>
    </row>
    <row r="237">
      <c r="A237" s="17" t="inlineStr">
        <is>
          <t>Cdiscount Voyages</t>
        </is>
      </c>
      <c r="B237" s="17" t="inlineStr">
        <is>
          <t>Live</t>
        </is>
      </c>
      <c r="C237" s="17" t="inlineStr">
        <is>
          <t>Cdiscount vol paiement 4x</t>
        </is>
      </c>
      <c r="D237" s="17" t="inlineStr">
        <is>
          <t>Cdiscount Vols 4x</t>
        </is>
      </c>
      <c r="E237" s="18" t="inlineStr">
        <is>
          <t>Cdiscount Voyages - vols vers Thaïlande, Vietnam, Bali</t>
        </is>
      </c>
      <c r="F237" s="17" t="inlineStr">
        <is>
          <t>Réservez un vol vers la Thaïlande, le Vietnam ou Bali. Payez en 4x.</t>
        </is>
      </c>
      <c r="G237" s="19" t="inlineStr">
        <is>
          <t>https://www.awin1.com/cread.php?awinmid=14021&amp;awinaffid=2748398&amp;ued=https%3A%2F%2Fvol.cdiscount.com%2FPage%2Fcompanyoperations%2F%3Fid%3D22877</t>
        </is>
      </c>
      <c r="H237" s="20" t="n">
        <v>134173</v>
      </c>
      <c r="I237" s="20" t="n">
        <v>698</v>
      </c>
      <c r="J237" s="21">
        <f>IF(H237=0,0,I237/H237)</f>
        <v/>
      </c>
    </row>
    <row r="238">
      <c r="A238" s="17" t="inlineStr">
        <is>
          <t>Cdiscount Voyages</t>
        </is>
      </c>
      <c r="B238" s="17" t="inlineStr">
        <is>
          <t>Live</t>
        </is>
      </c>
      <c r="C238" s="17" t="inlineStr">
        <is>
          <t>Cdiscount vol paiement 4x</t>
        </is>
      </c>
      <c r="D238" s="17" t="inlineStr">
        <is>
          <t>Cdiscount Vols 4x</t>
        </is>
      </c>
      <c r="E238" s="18" t="inlineStr">
        <is>
          <t>Cdiscount Voyages - vols vers la Martinique et la Guadeloupe</t>
        </is>
      </c>
      <c r="F238" s="17" t="inlineStr">
        <is>
          <t>Réservez un vol vers la Martinique ou la Guadeloupe. Payez en 4x.</t>
        </is>
      </c>
      <c r="G238" s="19" t="inlineStr">
        <is>
          <t>https://www.awin1.com/cread.php?awinmid=14021&amp;awinaffid=2748398&amp;ued=https%3A%2F%2Fvol.cdiscount.com%2FPage%2Fcompanyoperations%2F%3Fid%3D22563</t>
        </is>
      </c>
      <c r="H238" s="20" t="n">
        <v>133477</v>
      </c>
      <c r="I238" s="20" t="n">
        <v>676</v>
      </c>
      <c r="J238" s="21">
        <f>IF(H238=0,0,I238/H238)</f>
        <v/>
      </c>
    </row>
    <row r="239">
      <c r="A239" s="17" t="inlineStr">
        <is>
          <t>Cdiscount Voyages</t>
        </is>
      </c>
      <c r="B239" s="17" t="inlineStr">
        <is>
          <t>Live</t>
        </is>
      </c>
      <c r="C239" s="17" t="inlineStr">
        <is>
          <t>cdiscount voyage séjours 4</t>
        </is>
      </c>
      <c r="D239" s="17" t="inlineStr">
        <is>
          <t>Travel and Tourism</t>
        </is>
      </c>
      <c r="E239" s="18" t="inlineStr">
        <is>
          <t>Séjours tout compris pas chers | Cdiscount Voyages</t>
        </is>
      </c>
      <c r="F239" s="17" t="inlineStr">
        <is>
          <t>Cdiscount Voyages réunit ses séjours au meilleur prix et le paiement en 4 fois, en exclusivité web, pour partir sans tout avancer.</t>
        </is>
      </c>
      <c r="G239" s="19" t="inlineStr">
        <is>
          <t>https://www.awin1.com/awclick.php?gid=343397&amp;mid=14021&amp;awinaffid=2748398&amp;linkid=2681295&amp;clickref=</t>
        </is>
      </c>
      <c r="H239" s="20" t="n">
        <v>26453</v>
      </c>
      <c r="I239" s="20" t="n">
        <v>138</v>
      </c>
      <c r="J239" s="21">
        <f>IF(H239=0,0,I239/H239)</f>
        <v/>
      </c>
    </row>
    <row r="240">
      <c r="A240" s="17" t="inlineStr">
        <is>
          <t>Cdiscount Voyages</t>
        </is>
      </c>
      <c r="B240" s="17" t="inlineStr">
        <is>
          <t>Live</t>
        </is>
      </c>
      <c r="C240" s="17" t="inlineStr">
        <is>
          <t>cdiscount voyage séjours 4</t>
        </is>
      </c>
      <c r="D240" s="17" t="inlineStr">
        <is>
          <t>Cdiscount Voyages</t>
        </is>
      </c>
      <c r="E240" s="18" t="inlineStr">
        <is>
          <t>Séjour pas cher - Paiement en 4x - 🌍 Cdiscount Voyages</t>
        </is>
      </c>
      <c r="F240" s="17" t="inlineStr">
        <is>
          <t>Vous souhaitez partir en vacances ? Découvrez tous nos séjours pour partir en voyage ✓ Au meilleur prix ✓ Paiement 4x en exclu web avec Cdiscount Voyages !</t>
        </is>
      </c>
      <c r="G240" s="19" t="inlineStr">
        <is>
          <t>https://www.awin1.com/awclick.php?gid=343397&amp;mid=14021&amp;awinaffid=2748398&amp;linkid=2681295&amp;clickref=</t>
        </is>
      </c>
      <c r="H240" s="20" t="n">
        <v>23600</v>
      </c>
      <c r="I240" s="20" t="n">
        <v>100</v>
      </c>
      <c r="J240" s="21">
        <f>IF(H240=0,0,I240/H240)</f>
        <v/>
      </c>
    </row>
    <row r="241">
      <c r="A241" s="17" t="inlineStr">
        <is>
          <t>Cdiscount Voyages</t>
        </is>
      </c>
      <c r="B241" s="17" t="inlineStr">
        <is>
          <t>Live</t>
        </is>
      </c>
      <c r="C241" s="17" t="inlineStr">
        <is>
          <t>cdiscount voyage séjours 4</t>
        </is>
      </c>
      <c r="D241" s="17" t="inlineStr">
        <is>
          <t>Travel and Tourism</t>
        </is>
      </c>
      <c r="E241" s="18" t="inlineStr">
        <is>
          <t>Vacances et séjours au meilleur prix | Cdiscount Voyages</t>
        </is>
      </c>
      <c r="F241" s="17" t="inlineStr">
        <is>
          <t>Fuerteventura, l’une des sept îles des Canaries, mêle paysages volcaniques et plages de sable fin : le R2 Rio Calma 4* vous y attend.</t>
        </is>
      </c>
      <c r="G241" s="19" t="inlineStr">
        <is>
          <t>https://sejour.cdiscount.com/package?s_pid=324388</t>
        </is>
      </c>
      <c r="H241" s="20" t="n">
        <v>21529</v>
      </c>
      <c r="I241" s="20" t="n">
        <v>123</v>
      </c>
      <c r="J241" s="21">
        <f>IF(H241=0,0,I241/H241)</f>
        <v/>
      </c>
    </row>
    <row r="242">
      <c r="A242" s="17" t="inlineStr">
        <is>
          <t>Cdiscount Voyages</t>
        </is>
      </c>
      <c r="B242" s="17" t="inlineStr">
        <is>
          <t>Live</t>
        </is>
      </c>
      <c r="C242" s="17" t="inlineStr">
        <is>
          <t>cdiscount voyage séjours 4</t>
        </is>
      </c>
      <c r="D242" s="17" t="inlineStr">
        <is>
          <t>Séjours Canaries et Baléares</t>
        </is>
      </c>
      <c r="E242" s="18" t="inlineStr">
        <is>
          <t>Hôtel Amber El Fell 4*</t>
        </is>
      </c>
      <c r="F242" s="17" t="inlineStr">
        <is>
          <t>* Hôtel les pieds dans l’eau * Des chambres confortables * Un séjour idéal</t>
        </is>
      </c>
      <c r="G242" s="19" t="inlineStr">
        <is>
          <t>https://sejour.cdiscount.com/package?s_pid=428319</t>
        </is>
      </c>
      <c r="H242" s="20" t="n">
        <v>20798</v>
      </c>
      <c r="I242" s="20" t="n">
        <v>100</v>
      </c>
      <c r="J242" s="21">
        <f>IF(H242=0,0,I242/H242)</f>
        <v/>
      </c>
    </row>
    <row r="243">
      <c r="A243" s="17" t="inlineStr">
        <is>
          <t>Cdiscount Voyages</t>
        </is>
      </c>
      <c r="B243" s="17" t="inlineStr">
        <is>
          <t>Live</t>
        </is>
      </c>
      <c r="C243" s="17" t="inlineStr">
        <is>
          <t>cdiscount voyage séjours 4</t>
        </is>
      </c>
      <c r="D243" s="17" t="inlineStr">
        <is>
          <t>Travel and Tourism</t>
        </is>
      </c>
      <c r="E243" s="18" t="inlineStr">
        <is>
          <t>Vacances et séjours au meilleur prix | Cdiscount Voyages</t>
        </is>
      </c>
      <c r="F243" s="17" t="inlineStr">
        <is>
          <t>Le R2 Pajara Beach 4* by Ôvoyages est proche des plus belles plages de la région, avec des chambres spacieuses et une immense piscine en lagon.</t>
        </is>
      </c>
      <c r="G243" s="19" t="inlineStr">
        <is>
          <t>https://sejour.cdiscount.com/package?s_pid=17860</t>
        </is>
      </c>
      <c r="H243" s="20" t="n">
        <v>20600</v>
      </c>
      <c r="I243" s="20" t="n">
        <v>100</v>
      </c>
      <c r="J243" s="21">
        <f>IF(H243=0,0,I243/H243)</f>
        <v/>
      </c>
    </row>
    <row r="244">
      <c r="A244" s="17" t="inlineStr">
        <is>
          <t>Cdiscount Voyages</t>
        </is>
      </c>
      <c r="B244" s="17" t="inlineStr">
        <is>
          <t>Live</t>
        </is>
      </c>
      <c r="C244" s="17" t="inlineStr">
        <is>
          <t>cdiscount voyage séjours 4</t>
        </is>
      </c>
      <c r="D244" s="17" t="inlineStr">
        <is>
          <t>Travel and Tourism</t>
        </is>
      </c>
      <c r="E244" s="18" t="inlineStr">
        <is>
          <t>Circuits et séjours pas chers | Cdiscount Voyages</t>
        </is>
      </c>
      <c r="F244" s="17" t="inlineStr">
        <is>
          <t>L’hôtel Ankaa 4*, réservé aux plus de 16 ans, borde la Méditerranée à Majorque, une île de 80 km de long et 550 km de côte.</t>
        </is>
      </c>
      <c r="G244" s="19" t="inlineStr">
        <is>
          <t>https://sejour.cdiscount.com/package?s_pid=320093</t>
        </is>
      </c>
      <c r="H244" s="20" t="n">
        <v>20572</v>
      </c>
      <c r="I244" s="20" t="n">
        <v>114</v>
      </c>
      <c r="J244" s="21">
        <f>IF(H244=0,0,I244/H244)</f>
        <v/>
      </c>
    </row>
    <row r="245">
      <c r="A245" s="17" t="inlineStr">
        <is>
          <t>Cdiscount Voyages</t>
        </is>
      </c>
      <c r="B245" s="17" t="inlineStr">
        <is>
          <t>Live</t>
        </is>
      </c>
      <c r="C245" s="17" t="inlineStr">
        <is>
          <t>cdiscount voyage séjours 4</t>
        </is>
      </c>
      <c r="D245" s="17" t="inlineStr">
        <is>
          <t>Travel and Tourism</t>
        </is>
      </c>
      <c r="E245" s="18" t="inlineStr">
        <is>
          <t>Vacances all inclusive pas chères | Cdiscount Voyages</t>
        </is>
      </c>
      <c r="F245" s="17" t="inlineStr">
        <is>
          <t>L’hôtel Amber El Fell 4* a les pieds dans l’eau, avec des chambres confortables pour des vacances tunisiennes sans rien organiser.</t>
        </is>
      </c>
      <c r="G245" s="19" t="inlineStr">
        <is>
          <t>https://sejour.cdiscount.com/package?s_pid=428319</t>
        </is>
      </c>
      <c r="H245" s="20" t="n">
        <v>20409</v>
      </c>
      <c r="I245" s="20" t="n">
        <v>95</v>
      </c>
      <c r="J245" s="21">
        <f>IF(H245=0,0,I245/H245)</f>
        <v/>
      </c>
    </row>
    <row r="246">
      <c r="A246" s="17" t="inlineStr">
        <is>
          <t>Cdiscount Voyages</t>
        </is>
      </c>
      <c r="B246" s="17" t="inlineStr">
        <is>
          <t>Live</t>
        </is>
      </c>
      <c r="C246" s="17" t="inlineStr">
        <is>
          <t>cdiscount voyage séjours 4</t>
        </is>
      </c>
      <c r="D246" s="17" t="inlineStr">
        <is>
          <t>Travel and Tourism</t>
        </is>
      </c>
      <c r="E246" s="18" t="inlineStr">
        <is>
          <t>Vacances et séjours au meilleur prix | Cdiscount Voyages</t>
        </is>
      </c>
      <c r="F246" s="17" t="inlineStr">
        <is>
          <t>Ce combiné entre culture et charme vous emmène à Athènes, capitale alliant trésors antiques et modernité, avec un hébergement Standard 2* ou 3* au choix.</t>
        </is>
      </c>
      <c r="G246" s="19" t="inlineStr">
        <is>
          <t>https://sejour.cdiscount.com/package?s_pid=483714</t>
        </is>
      </c>
      <c r="H246" s="20" t="n">
        <v>20287</v>
      </c>
      <c r="I246" s="20" t="n">
        <v>98</v>
      </c>
      <c r="J246" s="21">
        <f>IF(H246=0,0,I246/H246)</f>
        <v/>
      </c>
    </row>
    <row r="247">
      <c r="A247" s="17" t="inlineStr">
        <is>
          <t>Cdiscount Voyages</t>
        </is>
      </c>
      <c r="B247" s="17" t="inlineStr">
        <is>
          <t>Live</t>
        </is>
      </c>
      <c r="C247" s="17" t="inlineStr">
        <is>
          <t>cdiscount voyage séjours 4</t>
        </is>
      </c>
      <c r="D247" s="17" t="inlineStr">
        <is>
          <t>Travel and Tourism</t>
        </is>
      </c>
      <c r="E247" s="18" t="inlineStr">
        <is>
          <t>Vacances et séjours au meilleur prix | Cdiscount Voyages</t>
        </is>
      </c>
      <c r="F247" s="17" t="inlineStr">
        <is>
          <t>L’hôtel Méhari Hammamet Thalasso &amp; Spa 5* est situé en front de mer : un hôtel de caractère, entre luxe et confort, pour votre séjour en Tunisie.</t>
        </is>
      </c>
      <c r="G247" s="19" t="inlineStr">
        <is>
          <t>https://sejour.cdiscount.com/package?s_pid=176430</t>
        </is>
      </c>
      <c r="H247" s="20" t="n">
        <v>20187</v>
      </c>
      <c r="I247" s="20" t="n">
        <v>83</v>
      </c>
      <c r="J247" s="21">
        <f>IF(H247=0,0,I247/H247)</f>
        <v/>
      </c>
    </row>
    <row r="248">
      <c r="A248" s="17" t="inlineStr">
        <is>
          <t>Cdiscount Voyages</t>
        </is>
      </c>
      <c r="B248" s="17" t="inlineStr">
        <is>
          <t>Live</t>
        </is>
      </c>
      <c r="C248" s="17" t="inlineStr">
        <is>
          <t>cdiscount voyage séjours 4</t>
        </is>
      </c>
      <c r="D248" s="17" t="inlineStr">
        <is>
          <t>Travel Packages</t>
        </is>
      </c>
      <c r="E248" s="18" t="inlineStr">
        <is>
          <t>Forfaits vacances tout compris pas chers | Cdiscount Voyages</t>
        </is>
      </c>
      <c r="F248" s="17" t="inlineStr">
        <is>
          <t>Cdiscount Voyages aligne ses séjours à petit prix et le paiement en 4 fois, en exclusivité web, pour boucler un forfait complet.</t>
        </is>
      </c>
      <c r="G248" s="19" t="inlineStr">
        <is>
          <t>https://www.awin1.com/awclick.php?gid=343397&amp;mid=14021&amp;awinaffid=2748398&amp;linkid=2681295&amp;clickref=</t>
        </is>
      </c>
      <c r="H248" s="20" t="n">
        <v>19711</v>
      </c>
      <c r="I248" s="20" t="n">
        <v>96</v>
      </c>
      <c r="J248" s="21">
        <f>IF(H248=0,0,I248/H248)</f>
        <v/>
      </c>
    </row>
    <row r="249">
      <c r="A249" s="17" t="inlineStr">
        <is>
          <t>Cdiscount Voyages</t>
        </is>
      </c>
      <c r="B249" s="17" t="inlineStr">
        <is>
          <t>Live</t>
        </is>
      </c>
      <c r="C249" s="17" t="inlineStr">
        <is>
          <t>cdiscount voyage séjours 4</t>
        </is>
      </c>
      <c r="D249" s="17" t="inlineStr">
        <is>
          <t>Travel and Tourism</t>
        </is>
      </c>
      <c r="E249" s="18" t="inlineStr">
        <is>
          <t>Séjours et clubs de vacances pas chers | Cdiscount Voyages</t>
        </is>
      </c>
      <c r="F249" s="17" t="inlineStr">
        <is>
          <t>Le Copthorne Dubai 4* installe vos vacances dans le deuxième plus grand émirat des Émirats arabes unis, entre Orient et Occident.</t>
        </is>
      </c>
      <c r="G249" s="19" t="inlineStr">
        <is>
          <t>https://sejour.cdiscount.com/package?s_pid=252863</t>
        </is>
      </c>
      <c r="H249" s="20" t="n">
        <v>19250</v>
      </c>
      <c r="I249" s="20" t="n">
        <v>84</v>
      </c>
      <c r="J249" s="21">
        <f>IF(H249=0,0,I249/H249)</f>
        <v/>
      </c>
    </row>
    <row r="250">
      <c r="A250" s="17" t="inlineStr">
        <is>
          <t>Cdiscount Voyages</t>
        </is>
      </c>
      <c r="B250" s="17" t="inlineStr">
        <is>
          <t>Live</t>
        </is>
      </c>
      <c r="C250" s="17" t="inlineStr">
        <is>
          <t>cdiscount voyage séjours 4</t>
        </is>
      </c>
      <c r="D250" s="17" t="inlineStr">
        <is>
          <t>Séjours Canaries et Baléares</t>
        </is>
      </c>
      <c r="E250" s="18" t="inlineStr">
        <is>
          <t>Tun-mir/méhari Hammamet Thalasso &amp; Spa 5*</t>
        </is>
      </c>
      <c r="F250" s="17" t="inlineStr">
        <is>
          <t>* Situé en front de mer * Un hôtel de caractère * Luxe et confort</t>
        </is>
      </c>
      <c r="G250" s="19" t="inlineStr">
        <is>
          <t>https://sejour.cdiscount.com/package?s_pid=176430</t>
        </is>
      </c>
      <c r="H250" s="20" t="n">
        <v>19219</v>
      </c>
      <c r="I250" s="20" t="n">
        <v>94</v>
      </c>
      <c r="J250" s="21">
        <f>IF(H250=0,0,I250/H250)</f>
        <v/>
      </c>
    </row>
    <row r="251">
      <c r="A251" s="17" t="inlineStr">
        <is>
          <t>Cdiscount Voyages</t>
        </is>
      </c>
      <c r="B251" s="17" t="inlineStr">
        <is>
          <t>Live</t>
        </is>
      </c>
      <c r="C251" s="17" t="inlineStr">
        <is>
          <t>cdiscount voyage séjours 4</t>
        </is>
      </c>
      <c r="D251" s="17" t="inlineStr">
        <is>
          <t>Accommodations</t>
        </is>
      </c>
      <c r="E251" s="18" t="inlineStr">
        <is>
          <t>Hôtels et clubs pas chers | Cdiscount Voyages</t>
        </is>
      </c>
      <c r="F251" s="17" t="inlineStr">
        <is>
          <t>L’hôtel Ankaa 4*, réservé aux plus de 16 ans, fait face aux côtes valenciennes à Majorque, la plus grande île des Baléares.</t>
        </is>
      </c>
      <c r="G251" s="19" t="inlineStr">
        <is>
          <t>https://sejour.cdiscount.com/package?s_pid=320093</t>
        </is>
      </c>
      <c r="H251" s="20" t="n">
        <v>18994</v>
      </c>
      <c r="I251" s="20" t="n">
        <v>108</v>
      </c>
      <c r="J251" s="21">
        <f>IF(H251=0,0,I251/H251)</f>
        <v/>
      </c>
    </row>
    <row r="252">
      <c r="A252" s="17" t="inlineStr">
        <is>
          <t>Cdiscount Voyages</t>
        </is>
      </c>
      <c r="B252" s="17" t="inlineStr">
        <is>
          <t>Live</t>
        </is>
      </c>
      <c r="C252" s="17" t="inlineStr">
        <is>
          <t>cdiscount voyage séjours 4</t>
        </is>
      </c>
      <c r="D252" s="17" t="inlineStr">
        <is>
          <t>Travel and Tourism</t>
        </is>
      </c>
      <c r="E252" s="18" t="inlineStr">
        <is>
          <t>Vacances et séjours au meilleur prix | Cdiscount Voyages</t>
        </is>
      </c>
      <c r="F252" s="17" t="inlineStr">
        <is>
          <t>Le Vincci Dar Midoun 4* se trouve dans un environnement de palmiers et de verdure, au bord d’une longue et belle plage de sable.</t>
        </is>
      </c>
      <c r="G252" s="19" t="inlineStr">
        <is>
          <t>https://sejour.cdiscount.com/package?s_pid=487363</t>
        </is>
      </c>
      <c r="H252" s="20" t="n">
        <v>18746</v>
      </c>
      <c r="I252" s="20" t="n">
        <v>91</v>
      </c>
      <c r="J252" s="21">
        <f>IF(H252=0,0,I252/H252)</f>
        <v/>
      </c>
    </row>
    <row r="253">
      <c r="A253" s="17" t="inlineStr">
        <is>
          <t>Cdiscount Voyages</t>
        </is>
      </c>
      <c r="B253" s="17" t="inlineStr">
        <is>
          <t>Live</t>
        </is>
      </c>
      <c r="C253" s="17" t="inlineStr">
        <is>
          <t>cdiscount voyage séjours 4</t>
        </is>
      </c>
      <c r="D253" s="17" t="inlineStr">
        <is>
          <t>Séjours Canaries et Baléares</t>
        </is>
      </c>
      <c r="E253" s="18" t="inlineStr">
        <is>
          <t>R2 Pajara Beach 4* By Ôvoyages</t>
        </is>
      </c>
      <c r="F253" s="17" t="inlineStr">
        <is>
          <t>* La proximité avec les plus belles plages de la région * Les chambres spacieuses et confortables * L’immense piscine en lagon</t>
        </is>
      </c>
      <c r="G253" s="19" t="inlineStr">
        <is>
          <t>https://sejour.cdiscount.com/package?s_pid=17860</t>
        </is>
      </c>
      <c r="H253" s="20" t="n">
        <v>18704</v>
      </c>
      <c r="I253" s="20" t="n">
        <v>77</v>
      </c>
      <c r="J253" s="21">
        <f>IF(H253=0,0,I253/H253)</f>
        <v/>
      </c>
    </row>
    <row r="254">
      <c r="A254" s="17" t="inlineStr">
        <is>
          <t>Cdiscount Voyages</t>
        </is>
      </c>
      <c r="B254" s="17" t="inlineStr">
        <is>
          <t>Live</t>
        </is>
      </c>
      <c r="C254" s="17" t="inlineStr">
        <is>
          <t>cdiscount voyage séjours 4</t>
        </is>
      </c>
      <c r="D254" s="17" t="inlineStr">
        <is>
          <t>Séjours Canaries et Baléares</t>
        </is>
      </c>
      <c r="E254" s="18" t="inlineStr">
        <is>
          <t>Hôtel Ankaa - Adults Only (+16 Ans) ****</t>
        </is>
      </c>
      <c r="F254" s="17" t="inlineStr">
        <is>
          <t>Située face aux côtes valenciennes, au coeur de la méditerranée, Majorque est la plus grande île des Baléares, mesurant près de 80 km de long et 550 km de côte. Destination pleine</t>
        </is>
      </c>
      <c r="G254" s="19" t="inlineStr">
        <is>
          <t>https://sejour.cdiscount.com/package?s_pid=320093</t>
        </is>
      </c>
      <c r="H254" s="20" t="n">
        <v>18678</v>
      </c>
      <c r="I254" s="20" t="n">
        <v>96</v>
      </c>
      <c r="J254" s="21">
        <f>IF(H254=0,0,I254/H254)</f>
        <v/>
      </c>
    </row>
    <row r="255">
      <c r="A255" s="17" t="inlineStr">
        <is>
          <t>Cdiscount Voyages</t>
        </is>
      </c>
      <c r="B255" s="17" t="inlineStr">
        <is>
          <t>Live</t>
        </is>
      </c>
      <c r="C255" s="17" t="inlineStr">
        <is>
          <t>cdiscount voyage séjours 4</t>
        </is>
      </c>
      <c r="D255" s="17" t="inlineStr">
        <is>
          <t>Séjours Canaries et Baléares</t>
        </is>
      </c>
      <c r="E255" s="18" t="inlineStr">
        <is>
          <t>Club Marmara Golden Coast - Choix Flex ****</t>
        </is>
      </c>
      <c r="F255" s="17" t="inlineStr">
        <is>
          <t>* À seulement 20 min à pied de la charmante station balnéaire de Nea Makri, de ses commerces, bars et tavernes. * Sa situation en bord de plage et au cœur d'un vaste parc. * La</t>
        </is>
      </c>
      <c r="G255" s="19" t="inlineStr">
        <is>
          <t>https://sejour.cdiscount.com/package?s_pid=32962</t>
        </is>
      </c>
      <c r="H255" s="20" t="n">
        <v>18668</v>
      </c>
      <c r="I255" s="20" t="n">
        <v>101</v>
      </c>
      <c r="J255" s="21">
        <f>IF(H255=0,0,I255/H255)</f>
        <v/>
      </c>
    </row>
    <row r="256">
      <c r="A256" s="17" t="inlineStr">
        <is>
          <t>Cdiscount Voyages</t>
        </is>
      </c>
      <c r="B256" s="17" t="inlineStr">
        <is>
          <t>Live</t>
        </is>
      </c>
      <c r="C256" s="17" t="inlineStr">
        <is>
          <t>cdiscount voyage séjours 4</t>
        </is>
      </c>
      <c r="D256" s="17" t="inlineStr">
        <is>
          <t>Séjours Canaries et Baléares</t>
        </is>
      </c>
      <c r="E256" s="18" t="inlineStr">
        <is>
          <t>Combiné Athènes &amp; Îles De Santorin Grèce</t>
        </is>
      </c>
      <c r="F256" s="17" t="inlineStr">
        <is>
          <t>* La capitale hellénique, alliance de trésors antiques et de modernité * Le combiné entre culture et charme * Choisir entre un hébergement Standard 2*/3*</t>
        </is>
      </c>
      <c r="G256" s="19" t="inlineStr">
        <is>
          <t>https://sejour.cdiscount.com/package?s_pid=483714</t>
        </is>
      </c>
      <c r="H256" s="20" t="n">
        <v>18633</v>
      </c>
      <c r="I256" s="20" t="n">
        <v>88</v>
      </c>
      <c r="J256" s="21">
        <f>IF(H256=0,0,I256/H256)</f>
        <v/>
      </c>
    </row>
    <row r="257">
      <c r="A257" s="17" t="inlineStr">
        <is>
          <t>Cdiscount Voyages</t>
        </is>
      </c>
      <c r="B257" s="17" t="inlineStr">
        <is>
          <t>Live</t>
        </is>
      </c>
      <c r="C257" s="17" t="inlineStr">
        <is>
          <t>cdiscount voyage séjours 4</t>
        </is>
      </c>
      <c r="D257" s="17" t="inlineStr">
        <is>
          <t>Accommodations</t>
        </is>
      </c>
      <c r="E257" s="18" t="inlineStr">
        <is>
          <t>Hôtels et auberges de jeunesse pas chers | Cdiscount Voyages</t>
        </is>
      </c>
      <c r="F257" s="17" t="inlineStr">
        <is>
          <t>L’Hotel Santorini 3* occupe un emplacement central à Fira, avec le wifi gratuit et les transports publics à deux pas pour visiter l’île.</t>
        </is>
      </c>
      <c r="G257" s="19" t="inlineStr">
        <is>
          <t>https://sejour.cdiscount.com/package?s_pid=481304</t>
        </is>
      </c>
      <c r="H257" s="20" t="n">
        <v>18598</v>
      </c>
      <c r="I257" s="20" t="n">
        <v>99</v>
      </c>
      <c r="J257" s="21">
        <f>IF(H257=0,0,I257/H257)</f>
        <v/>
      </c>
    </row>
    <row r="258">
      <c r="A258" s="17" t="inlineStr">
        <is>
          <t>Cdiscount Voyages</t>
        </is>
      </c>
      <c r="B258" s="17" t="inlineStr">
        <is>
          <t>Live</t>
        </is>
      </c>
      <c r="C258" s="17" t="inlineStr">
        <is>
          <t>cdiscount voyage séjours 4</t>
        </is>
      </c>
      <c r="D258" s="17" t="inlineStr">
        <is>
          <t>Travel and Tourism</t>
        </is>
      </c>
      <c r="E258" s="18" t="inlineStr">
        <is>
          <t>Vacances et séjours au meilleur prix | Cdiscount Voyages</t>
        </is>
      </c>
      <c r="F258" s="17" t="inlineStr">
        <is>
          <t>Le Mercure Hotel Apartments Dubai Barsha Heights 4* a une station de métro à 150 m, un espace spa et bien-être et cinq restaurants et bars.</t>
        </is>
      </c>
      <c r="G258" s="19" t="inlineStr">
        <is>
          <t>https://sejour.cdiscount.com/package?s_pid=363687</t>
        </is>
      </c>
      <c r="H258" s="20" t="n">
        <v>18568</v>
      </c>
      <c r="I258" s="20" t="n">
        <v>80</v>
      </c>
      <c r="J258" s="21">
        <f>IF(H258=0,0,I258/H258)</f>
        <v/>
      </c>
    </row>
    <row r="259">
      <c r="A259" s="17" t="inlineStr">
        <is>
          <t>Cdiscount Voyages</t>
        </is>
      </c>
      <c r="B259" s="17" t="inlineStr">
        <is>
          <t>Live</t>
        </is>
      </c>
      <c r="C259" s="17" t="inlineStr">
        <is>
          <t>cdiscount voyage séjours 4</t>
        </is>
      </c>
      <c r="D259" s="17" t="inlineStr">
        <is>
          <t>Séjours Canaries et Baléares</t>
        </is>
      </c>
      <c r="E259" s="18" t="inlineStr">
        <is>
          <t>R2 Rio Calma 4*</t>
        </is>
      </c>
      <c r="F259" s="17" t="inlineStr">
        <is>
          <t>Fuerteventura est l'une des sept îles de l'archipel des Canaries. Au large des côtes africaines, elle est un parfait mélange de paysages volcaniques, de plages de sable fin, de</t>
        </is>
      </c>
      <c r="G259" s="19" t="inlineStr">
        <is>
          <t>https://sejour.cdiscount.com/package?s_pid=324388</t>
        </is>
      </c>
      <c r="H259" s="20" t="n">
        <v>18558</v>
      </c>
      <c r="I259" s="20" t="n">
        <v>100</v>
      </c>
      <c r="J259" s="21">
        <f>IF(H259=0,0,I259/H259)</f>
        <v/>
      </c>
    </row>
    <row r="260">
      <c r="A260" s="17" t="inlineStr">
        <is>
          <t>Cdiscount Voyages</t>
        </is>
      </c>
      <c r="B260" s="17" t="inlineStr">
        <is>
          <t>Live</t>
        </is>
      </c>
      <c r="C260" s="17" t="inlineStr">
        <is>
          <t>cdiscount voyage séjours 4</t>
        </is>
      </c>
      <c r="D260" s="17" t="inlineStr">
        <is>
          <t>Séjours Canaries et Baléares</t>
        </is>
      </c>
      <c r="E260" s="18" t="inlineStr">
        <is>
          <t>Vincci Dar Midoun 4*</t>
        </is>
      </c>
      <c r="F260" s="17" t="inlineStr">
        <is>
          <t>Dans un environnement exceptionnel de palmiers et de verdure et au bord d'une longue et belle plage de sable.</t>
        </is>
      </c>
      <c r="G260" s="19" t="inlineStr">
        <is>
          <t>https://sejour.cdiscount.com/package?s_pid=487363</t>
        </is>
      </c>
      <c r="H260" s="20" t="n">
        <v>18515</v>
      </c>
      <c r="I260" s="20" t="n">
        <v>82</v>
      </c>
      <c r="J260" s="21">
        <f>IF(H260=0,0,I260/H260)</f>
        <v/>
      </c>
    </row>
    <row r="261">
      <c r="A261" s="17" t="inlineStr">
        <is>
          <t>Cdiscount Voyages</t>
        </is>
      </c>
      <c r="B261" s="17" t="inlineStr">
        <is>
          <t>Live</t>
        </is>
      </c>
      <c r="C261" s="17" t="inlineStr">
        <is>
          <t>cdiscount voyage séjours 4</t>
        </is>
      </c>
      <c r="D261" s="17" t="inlineStr">
        <is>
          <t>Travel and Tourism</t>
        </is>
      </c>
      <c r="E261" s="18" t="inlineStr">
        <is>
          <t>Vacances et séjours au meilleur prix | Cdiscount Voyages</t>
        </is>
      </c>
      <c r="F261" s="17" t="inlineStr">
        <is>
          <t>L’Avani Deira Dubai 5* vous accueille dans la vieille ville, avec une piscine installée sur son toit-terrasse et un accès direct au souk.</t>
        </is>
      </c>
      <c r="G261" s="19" t="inlineStr">
        <is>
          <t>https://sejour.cdiscount.com/package?s_pid=330794</t>
        </is>
      </c>
      <c r="H261" s="20" t="n">
        <v>18492</v>
      </c>
      <c r="I261" s="20" t="n">
        <v>98</v>
      </c>
      <c r="J261" s="21">
        <f>IF(H261=0,0,I261/H261)</f>
        <v/>
      </c>
    </row>
    <row r="262">
      <c r="A262" s="17" t="inlineStr">
        <is>
          <t>Cdiscount Voyages</t>
        </is>
      </c>
      <c r="B262" s="17" t="inlineStr">
        <is>
          <t>Live</t>
        </is>
      </c>
      <c r="C262" s="17" t="inlineStr">
        <is>
          <t>cdiscount voyage séjours 4</t>
        </is>
      </c>
      <c r="D262" s="17" t="inlineStr">
        <is>
          <t>Travel and Tourism</t>
        </is>
      </c>
      <c r="E262" s="18" t="inlineStr">
        <is>
          <t>Vacances et séjours au meilleur prix | Cdiscount Voyages</t>
        </is>
      </c>
      <c r="F262" s="17" t="inlineStr">
        <is>
          <t>L’Hotel Santorini 3* occupe un emplacement central à Fira, avec une connexion Wi-Fi gratuite et les transports publics à proximité.</t>
        </is>
      </c>
      <c r="G262" s="19" t="inlineStr">
        <is>
          <t>https://sejour.cdiscount.com/package?s_pid=481304</t>
        </is>
      </c>
      <c r="H262" s="20" t="n">
        <v>18475</v>
      </c>
      <c r="I262" s="20" t="n">
        <v>96</v>
      </c>
      <c r="J262" s="21">
        <f>IF(H262=0,0,I262/H262)</f>
        <v/>
      </c>
    </row>
    <row r="263">
      <c r="A263" s="17" t="inlineStr">
        <is>
          <t>Cdiscount Voyages</t>
        </is>
      </c>
      <c r="B263" s="17" t="inlineStr">
        <is>
          <t>Live</t>
        </is>
      </c>
      <c r="C263" s="17" t="inlineStr">
        <is>
          <t>cdiscount voyage séjours 4</t>
        </is>
      </c>
      <c r="D263" s="17" t="inlineStr">
        <is>
          <t>Séjours Canaries et Baléares</t>
        </is>
      </c>
      <c r="E263" s="18" t="inlineStr">
        <is>
          <t>Avani Deira Dubai 5*</t>
        </is>
      </c>
      <c r="F263" s="17" t="inlineStr">
        <is>
          <t>* La situation dans la vieille ville * Les services de qualité * La piscine sur le toit-terrasse</t>
        </is>
      </c>
      <c r="G263" s="19" t="inlineStr">
        <is>
          <t>https://sejour.cdiscount.com/package?s_pid=330794</t>
        </is>
      </c>
      <c r="H263" s="20" t="n">
        <v>18468</v>
      </c>
      <c r="I263" s="20" t="n">
        <v>85</v>
      </c>
      <c r="J263" s="21">
        <f>IF(H263=0,0,I263/H263)</f>
        <v/>
      </c>
    </row>
    <row r="264">
      <c r="A264" s="17" t="inlineStr">
        <is>
          <t>Cdiscount Voyages</t>
        </is>
      </c>
      <c r="B264" s="17" t="inlineStr">
        <is>
          <t>Live</t>
        </is>
      </c>
      <c r="C264" s="17" t="inlineStr">
        <is>
          <t>cdiscount voyage séjours 4</t>
        </is>
      </c>
      <c r="D264" s="17" t="inlineStr">
        <is>
          <t>Accommodations</t>
        </is>
      </c>
      <c r="E264" s="18" t="inlineStr">
        <is>
          <t>Hôtels et séjours pas chers | Cdiscount Voyages</t>
        </is>
      </c>
      <c r="F264" s="17" t="inlineStr">
        <is>
          <t>Ce combiné entre culture et charme vous emmène à Athènes, capitale alliant trésors antiques et modernité, avec un hébergement Standard 2* ou 3* au choix.</t>
        </is>
      </c>
      <c r="G264" s="19" t="inlineStr">
        <is>
          <t>https://sejour.cdiscount.com/package?s_pid=483714</t>
        </is>
      </c>
      <c r="H264" s="20" t="n">
        <v>18446</v>
      </c>
      <c r="I264" s="20" t="n">
        <v>77</v>
      </c>
      <c r="J264" s="21">
        <f>IF(H264=0,0,I264/H264)</f>
        <v/>
      </c>
    </row>
    <row r="265">
      <c r="A265" s="17" t="inlineStr">
        <is>
          <t>Cdiscount Voyages</t>
        </is>
      </c>
      <c r="B265" s="17" t="inlineStr">
        <is>
          <t>Live</t>
        </is>
      </c>
      <c r="C265" s="17" t="inlineStr">
        <is>
          <t>cdiscount voyage séjours 4</t>
        </is>
      </c>
      <c r="D265" s="17" t="inlineStr">
        <is>
          <t>Accommodations</t>
        </is>
      </c>
      <c r="E265" s="18" t="inlineStr">
        <is>
          <t>Hôtels et séjours pas chers | Cdiscount Voyages</t>
        </is>
      </c>
      <c r="F265" s="17" t="inlineStr">
        <is>
          <t>L’hôtel Méhari Hammamet Thalasso &amp; Spa 5* est situé en front de mer : un hôtel de caractère, entre luxe et confort, pour votre séjour en Tunisie.</t>
        </is>
      </c>
      <c r="G265" s="19" t="inlineStr">
        <is>
          <t>https://sejour.cdiscount.com/package?s_pid=176430</t>
        </is>
      </c>
      <c r="H265" s="20" t="n">
        <v>18436</v>
      </c>
      <c r="I265" s="20" t="n">
        <v>96</v>
      </c>
      <c r="J265" s="21">
        <f>IF(H265=0,0,I265/H265)</f>
        <v/>
      </c>
    </row>
    <row r="266">
      <c r="A266" s="17" t="inlineStr">
        <is>
          <t>Cdiscount Voyages</t>
        </is>
      </c>
      <c r="B266" s="17" t="inlineStr">
        <is>
          <t>Live</t>
        </is>
      </c>
      <c r="C266" s="17" t="inlineStr">
        <is>
          <t>cdiscount voyage séjours 4</t>
        </is>
      </c>
      <c r="D266" s="17" t="inlineStr">
        <is>
          <t>Séjours Canaries et Baléares</t>
        </is>
      </c>
      <c r="E266" s="18" t="inlineStr">
        <is>
          <t>Hôtel Copthorne Hôtel Dubai ****</t>
        </is>
      </c>
      <c r="F266" s="17" t="inlineStr">
        <is>
          <t>Dubaï, situé au carrefour entre l'orient et l'occident, est le deuxième plus grand émirat des Émirats Arabes Unis (EAU). Symbole de modernité au coeur de la péninsule arabique</t>
        </is>
      </c>
      <c r="G266" s="19" t="inlineStr">
        <is>
          <t>https://sejour.cdiscount.com/package?s_pid=252863</t>
        </is>
      </c>
      <c r="H266" s="20" t="n">
        <v>18410</v>
      </c>
      <c r="I266" s="20" t="n">
        <v>83</v>
      </c>
      <c r="J266" s="21">
        <f>IF(H266=0,0,I266/H266)</f>
        <v/>
      </c>
    </row>
    <row r="267">
      <c r="A267" s="17" t="inlineStr">
        <is>
          <t>Cdiscount Voyages</t>
        </is>
      </c>
      <c r="B267" s="17" t="inlineStr">
        <is>
          <t>Live</t>
        </is>
      </c>
      <c r="C267" s="17" t="inlineStr">
        <is>
          <t>cdiscount voyage séjours 4</t>
        </is>
      </c>
      <c r="D267" s="17" t="inlineStr">
        <is>
          <t>Accommodations</t>
        </is>
      </c>
      <c r="E267" s="18" t="inlineStr">
        <is>
          <t>Hôtels et séjours pas chers | Cdiscount Voyages</t>
        </is>
      </c>
      <c r="F267" s="17" t="inlineStr">
        <is>
          <t>Le R2 Pajara Beach 4* by Ôvoyages est proche des plus belles plages de la région, avec des chambres spacieuses et une immense piscine en lagon.</t>
        </is>
      </c>
      <c r="G267" s="19" t="inlineStr">
        <is>
          <t>https://sejour.cdiscount.com/package?s_pid=17860</t>
        </is>
      </c>
      <c r="H267" s="20" t="n">
        <v>18376</v>
      </c>
      <c r="I267" s="20" t="n">
        <v>82</v>
      </c>
      <c r="J267" s="21">
        <f>IF(H267=0,0,I267/H267)</f>
        <v/>
      </c>
    </row>
    <row r="268">
      <c r="A268" s="17" t="inlineStr">
        <is>
          <t>Cdiscount Voyages</t>
        </is>
      </c>
      <c r="B268" s="17" t="inlineStr">
        <is>
          <t>Live</t>
        </is>
      </c>
      <c r="C268" s="17" t="inlineStr">
        <is>
          <t>cdiscount voyage séjours 4</t>
        </is>
      </c>
      <c r="D268" s="17" t="inlineStr">
        <is>
          <t>Séjours Canaries et Baléares</t>
        </is>
      </c>
      <c r="E268" s="18" t="inlineStr">
        <is>
          <t>Hotel Santorini 3*</t>
        </is>
      </c>
      <c r="F268" s="17" t="inlineStr">
        <is>
          <t>* Emplacement central à Fira * Connexion Wi-Fi gratuite * Proximité transports publics</t>
        </is>
      </c>
      <c r="G268" s="19" t="inlineStr">
        <is>
          <t>https://sejour.cdiscount.com/package?s_pid=481304</t>
        </is>
      </c>
      <c r="H268" s="20" t="n">
        <v>18371</v>
      </c>
      <c r="I268" s="20" t="n">
        <v>83</v>
      </c>
      <c r="J268" s="21">
        <f>IF(H268=0,0,I268/H268)</f>
        <v/>
      </c>
    </row>
    <row r="269">
      <c r="A269" s="17" t="inlineStr">
        <is>
          <t>Cdiscount Voyages</t>
        </is>
      </c>
      <c r="B269" s="17" t="inlineStr">
        <is>
          <t>Live</t>
        </is>
      </c>
      <c r="C269" s="17" t="inlineStr">
        <is>
          <t>cdiscount voyage séjours 4</t>
        </is>
      </c>
      <c r="D269" s="17" t="inlineStr">
        <is>
          <t>Travel and Tourism</t>
        </is>
      </c>
      <c r="E269" s="18" t="inlineStr">
        <is>
          <t>Vacances et séjours au meilleur prix | Cdiscount Voyages</t>
        </is>
      </c>
      <c r="F269" s="17" t="inlineStr">
        <is>
          <t>Le Club Marmara Golden Coast est en bord de plage, au cœur d’un vaste parc, à 20 minutes à pied de Nea Makri, de ses commerces et de ses tavernes.</t>
        </is>
      </c>
      <c r="G269" s="19" t="inlineStr">
        <is>
          <t>https://sejour.cdiscount.com/package?s_pid=32962</t>
        </is>
      </c>
      <c r="H269" s="20" t="n">
        <v>18345</v>
      </c>
      <c r="I269" s="20" t="n">
        <v>97</v>
      </c>
      <c r="J269" s="21">
        <f>IF(H269=0,0,I269/H269)</f>
        <v/>
      </c>
    </row>
    <row r="270">
      <c r="A270" s="17" t="inlineStr">
        <is>
          <t>Cdiscount Voyages</t>
        </is>
      </c>
      <c r="B270" s="17" t="inlineStr">
        <is>
          <t>Live</t>
        </is>
      </c>
      <c r="C270" s="17" t="inlineStr">
        <is>
          <t>cdiscount voyage séjours 4</t>
        </is>
      </c>
      <c r="D270" s="17" t="inlineStr">
        <is>
          <t>Accommodations</t>
        </is>
      </c>
      <c r="E270" s="18" t="inlineStr">
        <is>
          <t>Hôtels et séjours pas chers | Cdiscount Voyages</t>
        </is>
      </c>
      <c r="F270" s="17" t="inlineStr">
        <is>
          <t>Le Mercure Hotel Apartments Dubai Barsha Heights 4* a une station de métro à 150 m, un espace spa et bien-être et cinq restaurants et bars.</t>
        </is>
      </c>
      <c r="G270" s="19" t="inlineStr">
        <is>
          <t>https://sejour.cdiscount.com/package?s_pid=363687</t>
        </is>
      </c>
      <c r="H270" s="20" t="n">
        <v>18255</v>
      </c>
      <c r="I270" s="20" t="n">
        <v>102</v>
      </c>
      <c r="J270" s="21">
        <f>IF(H270=0,0,I270/H270)</f>
        <v/>
      </c>
    </row>
    <row r="271">
      <c r="A271" s="17" t="inlineStr">
        <is>
          <t>Cdiscount Voyages</t>
        </is>
      </c>
      <c r="B271" s="17" t="inlineStr">
        <is>
          <t>Live</t>
        </is>
      </c>
      <c r="C271" s="17" t="inlineStr">
        <is>
          <t>cdiscount voyage séjours 4</t>
        </is>
      </c>
      <c r="D271" s="17" t="inlineStr">
        <is>
          <t>Accommodations</t>
        </is>
      </c>
      <c r="E271" s="18" t="inlineStr">
        <is>
          <t>Hôtels et séjours pas chers | Cdiscount Voyages</t>
        </is>
      </c>
      <c r="F271" s="17" t="inlineStr">
        <is>
          <t>L’Avani Deira Dubai 5* vous accueille dans la vieille ville, avec une piscine installée sur son toit-terrasse et un accès direct au souk.</t>
        </is>
      </c>
      <c r="G271" s="19" t="inlineStr">
        <is>
          <t>https://sejour.cdiscount.com/package?s_pid=330794</t>
        </is>
      </c>
      <c r="H271" s="20" t="n">
        <v>18250</v>
      </c>
      <c r="I271" s="20" t="n">
        <v>101</v>
      </c>
      <c r="J271" s="21">
        <f>IF(H271=0,0,I271/H271)</f>
        <v/>
      </c>
    </row>
    <row r="272">
      <c r="A272" s="17" t="inlineStr">
        <is>
          <t>Cdiscount Voyages</t>
        </is>
      </c>
      <c r="B272" s="17" t="inlineStr">
        <is>
          <t>Live</t>
        </is>
      </c>
      <c r="C272" s="17" t="inlineStr">
        <is>
          <t>cdiscount voyage séjours 4</t>
        </is>
      </c>
      <c r="D272" s="17" t="inlineStr">
        <is>
          <t>Séjours Canaries et Baléares</t>
        </is>
      </c>
      <c r="E272" s="18" t="inlineStr">
        <is>
          <t>Mercure Hotel Apartments Dubai Barsha Heights 4*</t>
        </is>
      </c>
      <c r="F272" s="17" t="inlineStr">
        <is>
          <t>* La station de métro à 150 m * L’espace Spa et bien-être * Les 5 restaurants et bars</t>
        </is>
      </c>
      <c r="G272" s="19" t="inlineStr">
        <is>
          <t>https://sejour.cdiscount.com/package?s_pid=363687</t>
        </is>
      </c>
      <c r="H272" s="20" t="n">
        <v>18247</v>
      </c>
      <c r="I272" s="20" t="n">
        <v>79</v>
      </c>
      <c r="J272" s="21">
        <f>IF(H272=0,0,I272/H272)</f>
        <v/>
      </c>
    </row>
    <row r="273">
      <c r="A273" s="17" t="inlineStr">
        <is>
          <t>Cdiscount Voyages</t>
        </is>
      </c>
      <c r="B273" s="17" t="inlineStr">
        <is>
          <t>Live</t>
        </is>
      </c>
      <c r="C273" s="17" t="inlineStr">
        <is>
          <t>cdiscount voyage séjours 4</t>
        </is>
      </c>
      <c r="D273" s="17" t="inlineStr">
        <is>
          <t>Travel Packages</t>
        </is>
      </c>
      <c r="E273" s="18" t="inlineStr">
        <is>
          <t>Séjours combinés pas chers | Cdiscount Voyages</t>
        </is>
      </c>
      <c r="F273" s="17" t="inlineStr">
        <is>
          <t>Ce combiné entre culture et charme vous emmène à Athènes, capitale alliant trésors antiques et modernité, avec un hébergement Standard 2* ou 3* au choix.</t>
        </is>
      </c>
      <c r="G273" s="19" t="inlineStr">
        <is>
          <t>https://sejour.cdiscount.com/package?s_pid=483714</t>
        </is>
      </c>
      <c r="H273" s="20" t="n">
        <v>18241</v>
      </c>
      <c r="I273" s="20" t="n">
        <v>85</v>
      </c>
      <c r="J273" s="21">
        <f>IF(H273=0,0,I273/H273)</f>
        <v/>
      </c>
    </row>
    <row r="274">
      <c r="A274" s="17" t="inlineStr">
        <is>
          <t>Cdiscount Voyages</t>
        </is>
      </c>
      <c r="B274" s="17" t="inlineStr">
        <is>
          <t>Live</t>
        </is>
      </c>
      <c r="C274" s="17" t="inlineStr">
        <is>
          <t>cdiscount voyage séjours 4</t>
        </is>
      </c>
      <c r="D274" s="17" t="inlineStr">
        <is>
          <t>Travel Packages</t>
        </is>
      </c>
      <c r="E274" s="18" t="inlineStr">
        <is>
          <t>Voyages organisés en club pas chers | Cdiscount Voyages</t>
        </is>
      </c>
      <c r="F274" s="17" t="inlineStr">
        <is>
          <t>Le Club Marmara Golden Coast 4* borde la plage, à 20 minutes à pied des commerces et tavernes de Nea Makri, au cœur d’un vaste parc.</t>
        </is>
      </c>
      <c r="G274" s="19" t="inlineStr">
        <is>
          <t>https://sejour.cdiscount.com/package?s_pid=32962</t>
        </is>
      </c>
      <c r="H274" s="20" t="n">
        <v>18178</v>
      </c>
      <c r="I274" s="20" t="n">
        <v>95</v>
      </c>
      <c r="J274" s="21">
        <f>IF(H274=0,0,I274/H274)</f>
        <v/>
      </c>
    </row>
    <row r="275">
      <c r="A275" s="17" t="inlineStr">
        <is>
          <t>Cdiscount Voyages</t>
        </is>
      </c>
      <c r="B275" s="17" t="inlineStr">
        <is>
          <t>Live</t>
        </is>
      </c>
      <c r="C275" s="17" t="inlineStr">
        <is>
          <t>cdiscount voyage séjours 4</t>
        </is>
      </c>
      <c r="D275" s="17" t="inlineStr">
        <is>
          <t>Accommodations</t>
        </is>
      </c>
      <c r="E275" s="18" t="inlineStr">
        <is>
          <t>Hôtels au meilleur prix | Cdiscount Voyages</t>
        </is>
      </c>
      <c r="F275" s="17" t="inlineStr">
        <is>
          <t>L’hôtel Amber El Fell 4* a les pieds dans l’eau, avec des chambres confortables et tout ce qu’il faut pour un séjour au calme en Tunisie.</t>
        </is>
      </c>
      <c r="G275" s="19" t="inlineStr">
        <is>
          <t>https://sejour.cdiscount.com/package?s_pid=428319</t>
        </is>
      </c>
      <c r="H275" s="20" t="n">
        <v>18156</v>
      </c>
      <c r="I275" s="20" t="n">
        <v>83</v>
      </c>
      <c r="J275" s="21">
        <f>IF(H275=0,0,I275/H275)</f>
        <v/>
      </c>
    </row>
    <row r="276">
      <c r="A276" s="17" t="inlineStr">
        <is>
          <t>Cdiscount Voyages</t>
        </is>
      </c>
      <c r="B276" s="17" t="inlineStr">
        <is>
          <t>Live</t>
        </is>
      </c>
      <c r="C276" s="17" t="inlineStr">
        <is>
          <t>cdiscount voyage séjours 4</t>
        </is>
      </c>
      <c r="D276" s="17" t="inlineStr">
        <is>
          <t>Accommodations</t>
        </is>
      </c>
      <c r="E276" s="18" t="inlineStr">
        <is>
          <t>Hôtels et séjours pas chers | Cdiscount Voyages</t>
        </is>
      </c>
      <c r="F276" s="17" t="inlineStr">
        <is>
          <t>Le Vincci Dar Midoun 4* se trouve dans un environnement de palmiers et de verdure, au bord d’une longue et belle plage de sable.</t>
        </is>
      </c>
      <c r="G276" s="19" t="inlineStr">
        <is>
          <t>https://sejour.cdiscount.com/package?s_pid=487363</t>
        </is>
      </c>
      <c r="H276" s="20" t="n">
        <v>18149</v>
      </c>
      <c r="I276" s="20" t="n">
        <v>91</v>
      </c>
      <c r="J276" s="21">
        <f>IF(H276=0,0,I276/H276)</f>
        <v/>
      </c>
    </row>
    <row r="277">
      <c r="A277" s="17" t="inlineStr">
        <is>
          <t>Cdiscount Voyages</t>
        </is>
      </c>
      <c r="B277" s="17" t="inlineStr">
        <is>
          <t>Live</t>
        </is>
      </c>
      <c r="C277" s="17" t="inlineStr">
        <is>
          <t>cdiscount voyage séjours 4</t>
        </is>
      </c>
      <c r="D277" s="17" t="inlineStr">
        <is>
          <t>Accommodations</t>
        </is>
      </c>
      <c r="E277" s="18" t="inlineStr">
        <is>
          <t>Hôtels et auberges pas chers | Cdiscount Voyages</t>
        </is>
      </c>
      <c r="F277" s="17" t="inlineStr">
        <is>
          <t>Le Copthorne Dubai 4* ouvre sur un émirat au carrefour de l’Orient et de l’Occident, symbole de modernité au cœur de la péninsule arabique.</t>
        </is>
      </c>
      <c r="G277" s="19" t="inlineStr">
        <is>
          <t>https://sejour.cdiscount.com/package?s_pid=252863</t>
        </is>
      </c>
      <c r="H277" s="20" t="n">
        <v>18023</v>
      </c>
      <c r="I277" s="20" t="n">
        <v>96</v>
      </c>
      <c r="J277" s="21">
        <f>IF(H277=0,0,I277/H277)</f>
        <v/>
      </c>
    </row>
    <row r="278">
      <c r="A278" s="17" t="inlineStr">
        <is>
          <t>Cdiscount Voyages</t>
        </is>
      </c>
      <c r="B278" s="17" t="inlineStr">
        <is>
          <t>Live</t>
        </is>
      </c>
      <c r="C278" s="17" t="inlineStr">
        <is>
          <t>cdiscount voyage séjours 4</t>
        </is>
      </c>
      <c r="D278" s="17" t="inlineStr">
        <is>
          <t>Accommodations</t>
        </is>
      </c>
      <c r="E278" s="18" t="inlineStr">
        <is>
          <t>Hôtels et séjours pas chers | Cdiscount Voyages</t>
        </is>
      </c>
      <c r="F278" s="17" t="inlineStr">
        <is>
          <t>Fuerteventura, l’une des sept îles des Canaries, mêle paysages volcaniques et plages de sable fin : le R2 Rio Calma 4* vous y attend.</t>
        </is>
      </c>
      <c r="G278" s="19" t="inlineStr">
        <is>
          <t>https://sejour.cdiscount.com/package?s_pid=324388</t>
        </is>
      </c>
      <c r="H278" s="20" t="n">
        <v>18005</v>
      </c>
      <c r="I278" s="20" t="n">
        <v>109</v>
      </c>
      <c r="J278" s="21">
        <f>IF(H278=0,0,I278/H278)</f>
        <v/>
      </c>
    </row>
    <row r="279">
      <c r="A279" s="17" t="inlineStr">
        <is>
          <t>Cdiscount Voyages</t>
        </is>
      </c>
      <c r="B279" s="17" t="inlineStr">
        <is>
          <t>Live</t>
        </is>
      </c>
      <c r="C279" s="17" t="inlineStr">
        <is>
          <t>cdiscount voyage séjours 4</t>
        </is>
      </c>
      <c r="D279" s="17" t="inlineStr">
        <is>
          <t>Accommodations</t>
        </is>
      </c>
      <c r="E279" s="18" t="inlineStr">
        <is>
          <t>Hôtels et séjours pas chers | Cdiscount Voyages</t>
        </is>
      </c>
      <c r="F279" s="17" t="inlineStr">
        <is>
          <t>Le Club Marmara Golden Coast est en bord de plage, au cœur d’un vaste parc, à 20 minutes à pied de Nea Makri, de ses commerces et de ses tavernes.</t>
        </is>
      </c>
      <c r="G279" s="19" t="inlineStr">
        <is>
          <t>https://sejour.cdiscount.com/package?s_pid=32962</t>
        </is>
      </c>
      <c r="H279" s="20" t="n">
        <v>17920</v>
      </c>
      <c r="I279" s="20" t="n">
        <v>101</v>
      </c>
      <c r="J279" s="21">
        <f>IF(H279=0,0,I279/H279)</f>
        <v/>
      </c>
    </row>
    <row r="280">
      <c r="A280" s="17" t="inlineStr">
        <is>
          <t>Cdiscount Voyages</t>
        </is>
      </c>
      <c r="B280" s="17" t="inlineStr">
        <is>
          <t>Live</t>
        </is>
      </c>
      <c r="C280" s="17" t="inlineStr">
        <is>
          <t>Cdiscount vol 4</t>
        </is>
      </c>
      <c r="D280" s="17" t="inlineStr">
        <is>
          <t>Vols Paris — Asie et Océanie</t>
        </is>
      </c>
      <c r="E280" s="18" t="inlineStr">
        <is>
          <t>Vol Nice - Addis Abeba</t>
        </is>
      </c>
      <c r="F280" s="17" t="inlineStr">
        <is>
          <t>Billet d'avion Nice (France) - Addis Abeba (Éthiopie) à partir de 783.5€</t>
        </is>
      </c>
      <c r="G280" s="19" t="inlineStr">
        <is>
          <t>https://www.cdiscount.com/voyages/vol/fl-dep-fr/dep-nce/nce-add.html</t>
        </is>
      </c>
      <c r="H280" s="20" t="n">
        <v>11483</v>
      </c>
      <c r="I280" s="20" t="n">
        <v>54</v>
      </c>
      <c r="J280" s="21">
        <f>IF(H280=0,0,I280/H280)</f>
        <v/>
      </c>
    </row>
    <row r="281">
      <c r="A281" s="17" t="inlineStr">
        <is>
          <t>Cdiscount Voyages</t>
        </is>
      </c>
      <c r="B281" s="17" t="inlineStr">
        <is>
          <t>Live</t>
        </is>
      </c>
      <c r="C281" s="17" t="inlineStr">
        <is>
          <t>Cdiscount vol 4</t>
        </is>
      </c>
      <c r="D281" s="17" t="inlineStr">
        <is>
          <t>Vols Paris — Asie et Océanie</t>
        </is>
      </c>
      <c r="E281" s="18" t="inlineStr">
        <is>
          <t>Vol Nice - Lanzarote</t>
        </is>
      </c>
      <c r="F281" s="17" t="inlineStr">
        <is>
          <t>Billet d'avion Nice (France) - Lanzarote (Espagne) à partir de 199.98€</t>
        </is>
      </c>
      <c r="G281" s="19" t="inlineStr">
        <is>
          <t>https://www.cdiscount.com/voyages/vol/fl-dep-fr/dep-nce/nce-ace.html</t>
        </is>
      </c>
      <c r="H281" s="20" t="n">
        <v>11439</v>
      </c>
      <c r="I281" s="20" t="n">
        <v>56</v>
      </c>
      <c r="J281" s="21">
        <f>IF(H281=0,0,I281/H281)</f>
        <v/>
      </c>
    </row>
    <row r="282">
      <c r="A282" s="17" t="inlineStr">
        <is>
          <t>Cdiscount Voyages</t>
        </is>
      </c>
      <c r="B282" s="17" t="inlineStr">
        <is>
          <t>Live</t>
        </is>
      </c>
      <c r="C282" s="17" t="inlineStr">
        <is>
          <t>Cdiscount vol 4</t>
        </is>
      </c>
      <c r="D282" s="17" t="inlineStr">
        <is>
          <t>Vols Paris — Asie et Océanie</t>
        </is>
      </c>
      <c r="E282" s="18" t="inlineStr">
        <is>
          <t>Vol Lyon - Abidjan</t>
        </is>
      </c>
      <c r="F282" s="17" t="inlineStr">
        <is>
          <t>Billet d'avion Lyon (France) - Abidjan (Côte d'Ivoire) à partir de 497.11€</t>
        </is>
      </c>
      <c r="G282" s="19" t="inlineStr">
        <is>
          <t>https://www.cdiscount.com/voyages/vol/fl-dep-fr/dep-lys/lys-abj.html</t>
        </is>
      </c>
      <c r="H282" s="20" t="n">
        <v>10937</v>
      </c>
      <c r="I282" s="20" t="n">
        <v>63</v>
      </c>
      <c r="J282" s="21">
        <f>IF(H282=0,0,I282/H282)</f>
        <v/>
      </c>
    </row>
    <row r="283">
      <c r="A283" s="17" t="inlineStr">
        <is>
          <t>Cdiscount Voyages</t>
        </is>
      </c>
      <c r="B283" s="17" t="inlineStr">
        <is>
          <t>Live</t>
        </is>
      </c>
      <c r="C283" s="17" t="inlineStr">
        <is>
          <t>Cdiscount vol 4</t>
        </is>
      </c>
      <c r="D283" s="17" t="inlineStr">
        <is>
          <t>Vols Paris — Asie et Océanie</t>
        </is>
      </c>
      <c r="E283" s="18" t="inlineStr">
        <is>
          <t>Vol Lyon - Strasbourg</t>
        </is>
      </c>
      <c r="F283" s="17" t="inlineStr">
        <is>
          <t>Billet d'avion Lyon (France) - Strasbourg (France) à partir de 143.65€</t>
        </is>
      </c>
      <c r="G283" s="19" t="inlineStr">
        <is>
          <t>https://www.cdiscount.com/voyages/vol/fl-dep-fr/dep-lys/lys-sxb.html</t>
        </is>
      </c>
      <c r="H283" s="20" t="n">
        <v>10893</v>
      </c>
      <c r="I283" s="20" t="n">
        <v>53</v>
      </c>
      <c r="J283" s="21">
        <f>IF(H283=0,0,I283/H283)</f>
        <v/>
      </c>
    </row>
    <row r="284">
      <c r="A284" s="17" t="inlineStr">
        <is>
          <t>Cdiscount Voyages</t>
        </is>
      </c>
      <c r="B284" s="17" t="inlineStr">
        <is>
          <t>Live</t>
        </is>
      </c>
      <c r="C284" s="17" t="inlineStr">
        <is>
          <t>Cdiscount vol 4</t>
        </is>
      </c>
      <c r="D284" s="17" t="inlineStr">
        <is>
          <t>Travel and Tourism</t>
        </is>
      </c>
      <c r="E284" s="18" t="inlineStr">
        <is>
          <t>Vol Paris – La Réunion pas cher | Cdiscount Voyages</t>
        </is>
      </c>
      <c r="F284" s="17" t="inlineStr">
        <is>
          <t>Réservez votre vol Paris – La Réunion au meilleur prix sur Cdiscount Voyages : paiement en 4x sans frais et réservation en ligne simple et rapide.</t>
        </is>
      </c>
      <c r="G284" s="19" t="inlineStr">
        <is>
          <t>https://www.cdiscount.com/voyages/vol/fl-dep-fr/dep-par/par-run.html</t>
        </is>
      </c>
      <c r="H284" s="20" t="n">
        <v>10263</v>
      </c>
      <c r="I284" s="20" t="n">
        <v>46</v>
      </c>
      <c r="J284" s="21">
        <f>IF(H284=0,0,I284/H284)</f>
        <v/>
      </c>
    </row>
    <row r="285">
      <c r="A285" s="17" t="inlineStr">
        <is>
          <t>Cdiscount Voyages</t>
        </is>
      </c>
      <c r="B285" s="17" t="inlineStr">
        <is>
          <t>Live</t>
        </is>
      </c>
      <c r="C285" s="17" t="inlineStr">
        <is>
          <t>Cdiscount vol 4</t>
        </is>
      </c>
      <c r="D285" s="17" t="inlineStr">
        <is>
          <t>Travel and Tourism</t>
        </is>
      </c>
      <c r="E285" s="18" t="inlineStr">
        <is>
          <t>Vol Lyon - Strasbourg</t>
        </is>
      </c>
      <c r="F285" s="17" t="inlineStr">
        <is>
          <t>Billet d'avion Lyon (France) - Strasbourg (France) à partir de 143.65€</t>
        </is>
      </c>
      <c r="G285" s="19" t="inlineStr">
        <is>
          <t>https://www.cdiscount.com/voyages/vol/fl-dep-fr/dep-lys/lys-sxb.html</t>
        </is>
      </c>
      <c r="H285" s="20" t="n">
        <v>10254</v>
      </c>
      <c r="I285" s="20" t="n">
        <v>39</v>
      </c>
      <c r="J285" s="21">
        <f>IF(H285=0,0,I285/H285)</f>
        <v/>
      </c>
    </row>
    <row r="286">
      <c r="A286" s="17" t="inlineStr">
        <is>
          <t>Cdiscount Voyages</t>
        </is>
      </c>
      <c r="B286" s="17" t="inlineStr">
        <is>
          <t>Live</t>
        </is>
      </c>
      <c r="C286" s="17" t="inlineStr">
        <is>
          <t>Cdiscount vol 4</t>
        </is>
      </c>
      <c r="D286" s="17" t="inlineStr">
        <is>
          <t>Travel and Tourism</t>
        </is>
      </c>
      <c r="E286" s="18" t="inlineStr">
        <is>
          <t>Vol Nice - Lanzarote</t>
        </is>
      </c>
      <c r="F286" s="17" t="inlineStr">
        <is>
          <t>Billet d'avion Nice (France) - Lanzarote (Espagne) à partir de 199.98€</t>
        </is>
      </c>
      <c r="G286" s="19" t="inlineStr">
        <is>
          <t>https://www.cdiscount.com/voyages/vol/fl-dep-fr/dep-nce/nce-ace.html</t>
        </is>
      </c>
      <c r="H286" s="20" t="n">
        <v>9928</v>
      </c>
      <c r="I286" s="20" t="n">
        <v>45</v>
      </c>
      <c r="J286" s="21">
        <f>IF(H286=0,0,I286/H286)</f>
        <v/>
      </c>
    </row>
    <row r="287">
      <c r="A287" s="17" t="inlineStr">
        <is>
          <t>Cdiscount Voyages</t>
        </is>
      </c>
      <c r="B287" s="17" t="inlineStr">
        <is>
          <t>Live</t>
        </is>
      </c>
      <c r="C287" s="17" t="inlineStr">
        <is>
          <t>Cdiscount vol 4</t>
        </is>
      </c>
      <c r="D287" s="17" t="inlineStr">
        <is>
          <t>Travel and Tourism</t>
        </is>
      </c>
      <c r="E287" s="18" t="inlineStr">
        <is>
          <t>Vol Paris – Pointe-à-Pitre pas cher | Cdiscount Voyages</t>
        </is>
      </c>
      <c r="F287" s="17" t="inlineStr">
        <is>
          <t>Réservez votre vol Paris – Pointe-à-Pitre au meilleur prix sur Cdiscount Voyages : paiement en 4x sans frais et réservation en ligne simple et rapide.</t>
        </is>
      </c>
      <c r="G287" s="19" t="inlineStr">
        <is>
          <t>https://www.cdiscount.com/voyages/vol/fl-dep-fr/dep-par/par-ptp.html</t>
        </is>
      </c>
      <c r="H287" s="20" t="n">
        <v>9822</v>
      </c>
      <c r="I287" s="20" t="n">
        <v>45</v>
      </c>
      <c r="J287" s="21">
        <f>IF(H287=0,0,I287/H287)</f>
        <v/>
      </c>
    </row>
    <row r="288">
      <c r="A288" s="17" t="inlineStr">
        <is>
          <t>Cdiscount Voyages</t>
        </is>
      </c>
      <c r="B288" s="17" t="inlineStr">
        <is>
          <t>Live</t>
        </is>
      </c>
      <c r="C288" s="17" t="inlineStr">
        <is>
          <t>Cdiscount vol 4</t>
        </is>
      </c>
      <c r="D288" s="17" t="inlineStr">
        <is>
          <t>Vols Paris — Asie et Océanie</t>
        </is>
      </c>
      <c r="E288" s="18" t="inlineStr">
        <is>
          <t>Vol Nice - Abidjan</t>
        </is>
      </c>
      <c r="F288" s="17" t="inlineStr">
        <is>
          <t>Billet d'avion Nice (France) - Abidjan (Côte d'Ivoire) à partir de 511.79€</t>
        </is>
      </c>
      <c r="G288" s="19" t="inlineStr">
        <is>
          <t>https://www.cdiscount.com/voyages/vol/fl-dep-fr/dep-nce/nce-abj.html</t>
        </is>
      </c>
      <c r="H288" s="20" t="n">
        <v>9678</v>
      </c>
      <c r="I288" s="20" t="n">
        <v>40</v>
      </c>
      <c r="J288" s="21">
        <f>IF(H288=0,0,I288/H288)</f>
        <v/>
      </c>
    </row>
    <row r="289">
      <c r="A289" s="17" t="inlineStr">
        <is>
          <t>Cdiscount Voyages</t>
        </is>
      </c>
      <c r="B289" s="17" t="inlineStr">
        <is>
          <t>Live</t>
        </is>
      </c>
      <c r="C289" s="17" t="inlineStr">
        <is>
          <t>Cdiscount vol 4</t>
        </is>
      </c>
      <c r="D289" s="17" t="inlineStr">
        <is>
          <t>Travel and Tourism</t>
        </is>
      </c>
      <c r="E289" s="18" t="inlineStr">
        <is>
          <t>Vol Paris – Nice pas cher | Cdiscount Voyages</t>
        </is>
      </c>
      <c r="F289" s="17" t="inlineStr">
        <is>
          <t>Réservez votre vol Paris – Nice au meilleur prix sur Cdiscount Voyages : paiement en 4x sans frais et réservation en ligne simple et rapide.</t>
        </is>
      </c>
      <c r="G289" s="19" t="inlineStr">
        <is>
          <t>https://www.cdiscount.com/voyages/vol/fl-dep-fr/dep-par/par-nce.html</t>
        </is>
      </c>
      <c r="H289" s="20" t="n">
        <v>9593</v>
      </c>
      <c r="I289" s="20" t="n">
        <v>38</v>
      </c>
      <c r="J289" s="21">
        <f>IF(H289=0,0,I289/H289)</f>
        <v/>
      </c>
    </row>
    <row r="290">
      <c r="A290" s="17" t="inlineStr">
        <is>
          <t>Cdiscount Voyages</t>
        </is>
      </c>
      <c r="B290" s="17" t="inlineStr">
        <is>
          <t>Live</t>
        </is>
      </c>
      <c r="C290" s="17" t="inlineStr">
        <is>
          <t>Cdiscount vol 4</t>
        </is>
      </c>
      <c r="D290" s="17" t="inlineStr">
        <is>
          <t>Vols Paris — Asie et Océanie</t>
        </is>
      </c>
      <c r="E290" s="18" t="inlineStr">
        <is>
          <t>Vol Paris – Bangkok pas cher | Cdiscount Voyages</t>
        </is>
      </c>
      <c r="F290" s="17" t="inlineStr">
        <is>
          <t>Réservez votre vol Paris – Bangkok au meilleur prix sur Cdiscount Voyages : paiement en 4x sans frais et réservation en ligne simple et rapide.</t>
        </is>
      </c>
      <c r="G290" s="19" t="inlineStr">
        <is>
          <t>https://www.cdiscount.com/voyages/vol/fl-dep-fr/dep-par/par-bkk.html</t>
        </is>
      </c>
      <c r="H290" s="20" t="n">
        <v>9412</v>
      </c>
      <c r="I290" s="20" t="n">
        <v>43</v>
      </c>
      <c r="J290" s="21">
        <f>IF(H290=0,0,I290/H290)</f>
        <v/>
      </c>
    </row>
    <row r="291">
      <c r="A291" s="17" t="inlineStr">
        <is>
          <t>Cdiscount Voyages</t>
        </is>
      </c>
      <c r="B291" s="17" t="inlineStr">
        <is>
          <t>Live</t>
        </is>
      </c>
      <c r="C291" s="17" t="inlineStr">
        <is>
          <t>Cdiscount vol 4</t>
        </is>
      </c>
      <c r="D291" s="17" t="inlineStr">
        <is>
          <t>Vols Paris — Afrique et Maghreb</t>
        </is>
      </c>
      <c r="E291" s="18" t="inlineStr">
        <is>
          <t>Vol Paris – Marrakech pas cher | Cdiscount Voyages</t>
        </is>
      </c>
      <c r="F291" s="17" t="inlineStr">
        <is>
          <t>Réservez votre vol Paris – Marrakech au meilleur prix sur Cdiscount Voyages : paiement en 4x sans frais et réservation en ligne simple et rapide.</t>
        </is>
      </c>
      <c r="G291" s="19" t="inlineStr">
        <is>
          <t>https://www.cdiscount.com/voyages/vol/fl-dep-fr/dep-par/par-rak.html</t>
        </is>
      </c>
      <c r="H291" s="20" t="n">
        <v>9404</v>
      </c>
      <c r="I291" s="20" t="n">
        <v>56</v>
      </c>
      <c r="J291" s="21">
        <f>IF(H291=0,0,I291/H291)</f>
        <v/>
      </c>
    </row>
    <row r="292">
      <c r="A292" s="17" t="inlineStr">
        <is>
          <t>Cdiscount Voyages</t>
        </is>
      </c>
      <c r="B292" s="17" t="inlineStr">
        <is>
          <t>Live</t>
        </is>
      </c>
      <c r="C292" s="17" t="inlineStr">
        <is>
          <t>Cdiscount vol 4</t>
        </is>
      </c>
      <c r="D292" s="17" t="inlineStr">
        <is>
          <t>Travel and Tourism</t>
        </is>
      </c>
      <c r="E292" s="18" t="inlineStr">
        <is>
          <t>Vol Paris – Barcelone pas cher | Cdiscount Voyages</t>
        </is>
      </c>
      <c r="F292" s="17" t="inlineStr">
        <is>
          <t>Réservez votre vol Paris – Barcelone au meilleur prix sur Cdiscount Voyages : paiement en 4x sans frais et réservation en ligne simple et rapide.</t>
        </is>
      </c>
      <c r="G292" s="19" t="inlineStr">
        <is>
          <t>https://www.cdiscount.com/voyages/vol/fl-dep-fr/dep-par/par-bcn.html</t>
        </is>
      </c>
      <c r="H292" s="20" t="n">
        <v>9398</v>
      </c>
      <c r="I292" s="20" t="n">
        <v>45</v>
      </c>
      <c r="J292" s="21">
        <f>IF(H292=0,0,I292/H292)</f>
        <v/>
      </c>
    </row>
    <row r="293">
      <c r="A293" s="17" t="inlineStr">
        <is>
          <t>Cdiscount Voyages</t>
        </is>
      </c>
      <c r="B293" s="17" t="inlineStr">
        <is>
          <t>Live</t>
        </is>
      </c>
      <c r="C293" s="17" t="inlineStr">
        <is>
          <t>Cdiscount vol 4</t>
        </is>
      </c>
      <c r="D293" s="17" t="inlineStr">
        <is>
          <t>Vols Paris — Afrique et Maghreb</t>
        </is>
      </c>
      <c r="E293" s="18" t="inlineStr">
        <is>
          <t>Vol Paris – Casablanca pas cher | Cdiscount Voyages</t>
        </is>
      </c>
      <c r="F293" s="17" t="inlineStr">
        <is>
          <t>Réservez votre vol Paris – Casablanca au meilleur prix sur Cdiscount Voyages : paiement en 4x sans frais et réservation en ligne simple et rapide.</t>
        </is>
      </c>
      <c r="G293" s="19" t="inlineStr">
        <is>
          <t>https://www.cdiscount.com/voyages/vol/fl-dep-fr/dep-par/par-cas.html</t>
        </is>
      </c>
      <c r="H293" s="20" t="n">
        <v>9326</v>
      </c>
      <c r="I293" s="20" t="n">
        <v>45</v>
      </c>
      <c r="J293" s="21">
        <f>IF(H293=0,0,I293/H293)</f>
        <v/>
      </c>
    </row>
    <row r="294">
      <c r="A294" s="17" t="inlineStr">
        <is>
          <t>Cdiscount Voyages</t>
        </is>
      </c>
      <c r="B294" s="17" t="inlineStr">
        <is>
          <t>Live</t>
        </is>
      </c>
      <c r="C294" s="17" t="inlineStr">
        <is>
          <t>Cdiscount vol 4</t>
        </is>
      </c>
      <c r="D294" s="17" t="inlineStr">
        <is>
          <t>Vols Paris — Asie et Océanie</t>
        </is>
      </c>
      <c r="E294" s="18" t="inlineStr">
        <is>
          <t>Vol Marseille - Annaba</t>
        </is>
      </c>
      <c r="F294" s="17" t="inlineStr">
        <is>
          <t>Billet d'avion Marseille (France) - Annaba (Algérie) à partir de 169.59€</t>
        </is>
      </c>
      <c r="G294" s="19" t="inlineStr">
        <is>
          <t>https://www.cdiscount.com/voyages/vol/fl-dep-fr/dep-mrs/mrs-aae.html</t>
        </is>
      </c>
      <c r="H294" s="20" t="n">
        <v>9309</v>
      </c>
      <c r="I294" s="20" t="n">
        <v>33</v>
      </c>
      <c r="J294" s="21">
        <f>IF(H294=0,0,I294/H294)</f>
        <v/>
      </c>
    </row>
    <row r="295">
      <c r="A295" s="17" t="inlineStr">
        <is>
          <t>Cdiscount Voyages</t>
        </is>
      </c>
      <c r="B295" s="17" t="inlineStr">
        <is>
          <t>Live</t>
        </is>
      </c>
      <c r="C295" s="17" t="inlineStr">
        <is>
          <t>Cdiscount vol 4</t>
        </is>
      </c>
      <c r="D295" s="17" t="inlineStr">
        <is>
          <t>Vols Paris — Afrique et Maghreb</t>
        </is>
      </c>
      <c r="E295" s="18" t="inlineStr">
        <is>
          <t>Vol Paris – Alger pas cher | Cdiscount Voyages</t>
        </is>
      </c>
      <c r="F295" s="17" t="inlineStr">
        <is>
          <t>Réservez votre vol Paris – Alger au meilleur prix sur Cdiscount Voyages : paiement en 4x sans frais et réservation en ligne simple et rapide.</t>
        </is>
      </c>
      <c r="G295" s="19" t="inlineStr">
        <is>
          <t>https://www.cdiscount.com/voyages/vol/fl-dep-fr/dep-par/par-alg.html</t>
        </is>
      </c>
      <c r="H295" s="20" t="n">
        <v>9300</v>
      </c>
      <c r="I295" s="20" t="n">
        <v>37</v>
      </c>
      <c r="J295" s="21">
        <f>IF(H295=0,0,I295/H295)</f>
        <v/>
      </c>
    </row>
    <row r="296">
      <c r="A296" s="17" t="inlineStr">
        <is>
          <t>Cdiscount Voyages</t>
        </is>
      </c>
      <c r="B296" s="17" t="inlineStr">
        <is>
          <t>Live</t>
        </is>
      </c>
      <c r="C296" s="17" t="inlineStr">
        <is>
          <t>Cdiscount vol 4</t>
        </is>
      </c>
      <c r="D296" s="17" t="inlineStr">
        <is>
          <t>Travel and Tourism</t>
        </is>
      </c>
      <c r="E296" s="18" t="inlineStr">
        <is>
          <t>Vol Paris – Tunis pas cher | Cdiscount Voyages</t>
        </is>
      </c>
      <c r="F296" s="17" t="inlineStr">
        <is>
          <t>Réservez votre vol Paris – Tunis au meilleur prix sur Cdiscount Voyages : paiement en 4x sans frais et réservation en ligne simple et rapide.</t>
        </is>
      </c>
      <c r="G296" s="19" t="inlineStr">
        <is>
          <t>https://www.cdiscount.com/voyages/vol/fl-dep-fr/dep-par/par-tun.html</t>
        </is>
      </c>
      <c r="H296" s="20" t="n">
        <v>9299</v>
      </c>
      <c r="I296" s="20" t="n">
        <v>46</v>
      </c>
      <c r="J296" s="21">
        <f>IF(H296=0,0,I296/H296)</f>
        <v/>
      </c>
    </row>
    <row r="297">
      <c r="A297" s="17" t="inlineStr">
        <is>
          <t>Cdiscount Voyages</t>
        </is>
      </c>
      <c r="B297" s="17" t="inlineStr">
        <is>
          <t>Live</t>
        </is>
      </c>
      <c r="C297" s="17" t="inlineStr">
        <is>
          <t>Cdiscount vol 4</t>
        </is>
      </c>
      <c r="D297" s="17" t="inlineStr">
        <is>
          <t>Vols Paris — Afrique et Maghreb</t>
        </is>
      </c>
      <c r="E297" s="18" t="inlineStr">
        <is>
          <t>Vol Paris – Tunis pas cher | Cdiscount Voyages</t>
        </is>
      </c>
      <c r="F297" s="17" t="inlineStr">
        <is>
          <t>Réservez votre vol Paris – Tunis au meilleur prix sur Cdiscount Voyages : paiement en 4x sans frais et réservation en ligne simple et rapide.</t>
        </is>
      </c>
      <c r="G297" s="19" t="inlineStr">
        <is>
          <t>https://www.cdiscount.com/voyages/vol/fl-dep-fr/dep-par/par-tun.html</t>
        </is>
      </c>
      <c r="H297" s="20" t="n">
        <v>9286</v>
      </c>
      <c r="I297" s="20" t="n">
        <v>69</v>
      </c>
      <c r="J297" s="21">
        <f>IF(H297=0,0,I297/H297)</f>
        <v/>
      </c>
    </row>
    <row r="298">
      <c r="A298" s="17" t="inlineStr">
        <is>
          <t>Cdiscount Voyages</t>
        </is>
      </c>
      <c r="B298" s="17" t="inlineStr">
        <is>
          <t>Live</t>
        </is>
      </c>
      <c r="C298" s="17" t="inlineStr">
        <is>
          <t>Cdiscount vol 4</t>
        </is>
      </c>
      <c r="D298" s="17" t="inlineStr">
        <is>
          <t>Vols Paris — Asie et Océanie</t>
        </is>
      </c>
      <c r="E298" s="18" t="inlineStr">
        <is>
          <t>Vol Paris – Bali pas cher | Cdiscount Voyages</t>
        </is>
      </c>
      <c r="F298" s="17" t="inlineStr">
        <is>
          <t>Réservez votre vol Paris – Bali au meilleur prix sur Cdiscount Voyages : paiement en 4x sans frais et réservation en ligne simple et rapide.</t>
        </is>
      </c>
      <c r="G298" s="19" t="inlineStr">
        <is>
          <t>https://www.cdiscount.com/voyages/vol/fl-dep-fr/dep-par/par-dps.html</t>
        </is>
      </c>
      <c r="H298" s="20" t="n">
        <v>9264</v>
      </c>
      <c r="I298" s="20" t="n">
        <v>38</v>
      </c>
      <c r="J298" s="21">
        <f>IF(H298=0,0,I298/H298)</f>
        <v/>
      </c>
    </row>
    <row r="299">
      <c r="A299" s="17" t="inlineStr">
        <is>
          <t>Cdiscount Voyages</t>
        </is>
      </c>
      <c r="B299" s="17" t="inlineStr">
        <is>
          <t>Live</t>
        </is>
      </c>
      <c r="C299" s="17" t="inlineStr">
        <is>
          <t>Cdiscount vol 4</t>
        </is>
      </c>
      <c r="D299" s="17" t="inlineStr">
        <is>
          <t>Vols Paris — Afrique et Maghreb</t>
        </is>
      </c>
      <c r="E299" s="18" t="inlineStr">
        <is>
          <t>Vol Paris – Dakar pas cher | Cdiscount Voyages</t>
        </is>
      </c>
      <c r="F299" s="17" t="inlineStr">
        <is>
          <t>Réservez votre vol Paris – Dakar au meilleur prix sur Cdiscount Voyages : paiement en 4x sans frais et réservation en ligne simple et rapide.</t>
        </is>
      </c>
      <c r="G299" s="19" t="inlineStr">
        <is>
          <t>https://www.cdiscount.com/voyages/vol/fl-dep-fr/dep-par/par-dkr.html</t>
        </is>
      </c>
      <c r="H299" s="20" t="n">
        <v>9245</v>
      </c>
      <c r="I299" s="20" t="n">
        <v>36</v>
      </c>
      <c r="J299" s="21">
        <f>IF(H299=0,0,I299/H299)</f>
        <v/>
      </c>
    </row>
    <row r="300">
      <c r="A300" s="17" t="inlineStr">
        <is>
          <t>Cdiscount Voyages</t>
        </is>
      </c>
      <c r="B300" s="17" t="inlineStr">
        <is>
          <t>Live</t>
        </is>
      </c>
      <c r="C300" s="17" t="inlineStr">
        <is>
          <t>Cdiscount vol 4</t>
        </is>
      </c>
      <c r="D300" s="17" t="inlineStr">
        <is>
          <t>Vols Paris — Asie et Océanie</t>
        </is>
      </c>
      <c r="E300" s="18" t="inlineStr">
        <is>
          <t>Vol Paris – Shanghai pas cher | Cdiscount Voyages</t>
        </is>
      </c>
      <c r="F300" s="17" t="inlineStr">
        <is>
          <t>Réservez votre vol Paris – Shanghai au meilleur prix sur Cdiscount Voyages : paiement en 4x sans frais et réservation en ligne simple et rapide.</t>
        </is>
      </c>
      <c r="G300" s="19" t="inlineStr">
        <is>
          <t>https://www.cdiscount.com/voyages/vol/fl-dep-fr/dep-par/par-sha.html</t>
        </is>
      </c>
      <c r="H300" s="20" t="n">
        <v>9232</v>
      </c>
      <c r="I300" s="20" t="n">
        <v>48</v>
      </c>
      <c r="J300" s="21">
        <f>IF(H300=0,0,I300/H300)</f>
        <v/>
      </c>
    </row>
    <row r="301">
      <c r="A301" s="17" t="inlineStr">
        <is>
          <t>Cdiscount Voyages</t>
        </is>
      </c>
      <c r="B301" s="17" t="inlineStr">
        <is>
          <t>Live</t>
        </is>
      </c>
      <c r="C301" s="17" t="inlineStr">
        <is>
          <t>Cdiscount vol 4</t>
        </is>
      </c>
      <c r="D301" s="17" t="inlineStr">
        <is>
          <t>Vols Paris — Asie et Océanie</t>
        </is>
      </c>
      <c r="E301" s="18" t="inlineStr">
        <is>
          <t>Vol Lyon - Annaba</t>
        </is>
      </c>
      <c r="F301" s="17" t="inlineStr">
        <is>
          <t>Billet d'avion Lyon (France) - Annaba (Algérie) à partir de 180.31€</t>
        </is>
      </c>
      <c r="G301" s="19" t="inlineStr">
        <is>
          <t>https://www.cdiscount.com/voyages/vol/fl-dep-fr/dep-lys/lys-aae.html</t>
        </is>
      </c>
      <c r="H301" s="20" t="n">
        <v>9178</v>
      </c>
      <c r="I301" s="20" t="n">
        <v>37</v>
      </c>
      <c r="J301" s="21">
        <f>IF(H301=0,0,I301/H301)</f>
        <v/>
      </c>
    </row>
    <row r="302">
      <c r="A302" s="17" t="inlineStr">
        <is>
          <t>Cdiscount Voyages</t>
        </is>
      </c>
      <c r="B302" s="17" t="inlineStr">
        <is>
          <t>Live</t>
        </is>
      </c>
      <c r="C302" s="17" t="inlineStr">
        <is>
          <t>Cdiscount vol 4</t>
        </is>
      </c>
      <c r="D302" s="17" t="inlineStr">
        <is>
          <t>Vols Paris — Asie et Océanie</t>
        </is>
      </c>
      <c r="E302" s="18" t="inlineStr">
        <is>
          <t>Vol Paris – Tokyo pas cher | Cdiscount Voyages</t>
        </is>
      </c>
      <c r="F302" s="17" t="inlineStr">
        <is>
          <t>Réservez votre vol Paris – Tokyo au meilleur prix sur Cdiscount Voyages : paiement en 4x sans frais et réservation en ligne simple et rapide.</t>
        </is>
      </c>
      <c r="G302" s="19" t="inlineStr">
        <is>
          <t>https://www.cdiscount.com/voyages/vol/fl-dep-fr/dep-par/par-tyo.html</t>
        </is>
      </c>
      <c r="H302" s="20" t="n">
        <v>9156</v>
      </c>
      <c r="I302" s="20" t="n">
        <v>43</v>
      </c>
      <c r="J302" s="21">
        <f>IF(H302=0,0,I302/H302)</f>
        <v/>
      </c>
    </row>
    <row r="303">
      <c r="A303" s="17" t="inlineStr">
        <is>
          <t>Cdiscount Voyages</t>
        </is>
      </c>
      <c r="B303" s="17" t="inlineStr">
        <is>
          <t>Live</t>
        </is>
      </c>
      <c r="C303" s="17" t="inlineStr">
        <is>
          <t>Cdiscount vol 4</t>
        </is>
      </c>
      <c r="D303" s="17" t="inlineStr">
        <is>
          <t>Vols Paris — Afrique et Maghreb</t>
        </is>
      </c>
      <c r="E303" s="18" t="inlineStr">
        <is>
          <t>Vol Nice - Lanzarote</t>
        </is>
      </c>
      <c r="F303" s="17" t="inlineStr">
        <is>
          <t>Billet d'avion Nice (France) - Lanzarote (Espagne) à partir de 199.98€</t>
        </is>
      </c>
      <c r="G303" s="19" t="inlineStr">
        <is>
          <t>https://www.cdiscount.com/voyages/vol/fl-dep-fr/dep-nce/nce-ace.html</t>
        </is>
      </c>
      <c r="H303" s="20" t="n">
        <v>9074</v>
      </c>
      <c r="I303" s="20" t="n">
        <v>50</v>
      </c>
      <c r="J303" s="21">
        <f>IF(H303=0,0,I303/H303)</f>
        <v/>
      </c>
    </row>
    <row r="304">
      <c r="A304" s="17" t="inlineStr">
        <is>
          <t>Cdiscount Voyages</t>
        </is>
      </c>
      <c r="B304" s="17" t="inlineStr">
        <is>
          <t>Live</t>
        </is>
      </c>
      <c r="C304" s="17" t="inlineStr">
        <is>
          <t>Cdiscount vol 4</t>
        </is>
      </c>
      <c r="D304" s="17" t="inlineStr">
        <is>
          <t>Vols Paris — Asie et Océanie</t>
        </is>
      </c>
      <c r="E304" s="18" t="inlineStr">
        <is>
          <t>Vol Paris – Fort-de-France pas cher | Cdiscount Voyages</t>
        </is>
      </c>
      <c r="F304" s="17" t="inlineStr">
        <is>
          <t>Réservez votre vol Paris – Fort-de-France au meilleur prix sur Cdiscount Voyages : paiement en 4x sans frais et réservation en ligne simple et rapide.</t>
        </is>
      </c>
      <c r="G304" s="19" t="inlineStr">
        <is>
          <t>https://www.cdiscount.com/voyages/vol/fl-dep-fr/dep-par/par-fdf.html</t>
        </is>
      </c>
      <c r="H304" s="20" t="n">
        <v>9067</v>
      </c>
      <c r="I304" s="20" t="n">
        <v>38</v>
      </c>
      <c r="J304" s="21">
        <f>IF(H304=0,0,I304/H304)</f>
        <v/>
      </c>
    </row>
    <row r="305">
      <c r="A305" s="17" t="inlineStr">
        <is>
          <t>Cdiscount Voyages</t>
        </is>
      </c>
      <c r="B305" s="17" t="inlineStr">
        <is>
          <t>Live</t>
        </is>
      </c>
      <c r="C305" s="17" t="inlineStr">
        <is>
          <t>Cdiscount vol 4</t>
        </is>
      </c>
      <c r="D305" s="17" t="inlineStr">
        <is>
          <t>Travel and Tourism</t>
        </is>
      </c>
      <c r="E305" s="18" t="inlineStr">
        <is>
          <t>Vol Paris – Montréal pas cher | Cdiscount Voyages</t>
        </is>
      </c>
      <c r="F305" s="17" t="inlineStr">
        <is>
          <t>Réservez votre vol Paris – Montréal au meilleur prix sur Cdiscount Voyages : paiement en 4x sans frais et réservation en ligne simple et rapide.</t>
        </is>
      </c>
      <c r="G305" s="19" t="inlineStr">
        <is>
          <t>https://www.cdiscount.com/voyages/vol/fl-dep-fr/dep-par/par-ymq.html</t>
        </is>
      </c>
      <c r="H305" s="20" t="n">
        <v>9062</v>
      </c>
      <c r="I305" s="20" t="n">
        <v>47</v>
      </c>
      <c r="J305" s="21">
        <f>IF(H305=0,0,I305/H305)</f>
        <v/>
      </c>
    </row>
    <row r="306">
      <c r="A306" s="17" t="inlineStr">
        <is>
          <t>Cdiscount Voyages</t>
        </is>
      </c>
      <c r="B306" s="17" t="inlineStr">
        <is>
          <t>Live</t>
        </is>
      </c>
      <c r="C306" s="17" t="inlineStr">
        <is>
          <t>Cdiscount vol 4</t>
        </is>
      </c>
      <c r="D306" s="17" t="inlineStr">
        <is>
          <t>Travel and Tourism</t>
        </is>
      </c>
      <c r="E306" s="18" t="inlineStr">
        <is>
          <t>Vol Paris – Marseille pas cher | Cdiscount Voyages</t>
        </is>
      </c>
      <c r="F306" s="17" t="inlineStr">
        <is>
          <t>Réservez votre vol Paris – Marseille au meilleur prix sur Cdiscount Voyages : paiement en 4x sans frais et réservation en ligne simple et rapide.</t>
        </is>
      </c>
      <c r="G306" s="19" t="inlineStr">
        <is>
          <t>https://www.cdiscount.com/voyages/vol/fl-dep-fr/dep-par/par-mrs.html</t>
        </is>
      </c>
      <c r="H306" s="20" t="n">
        <v>8900</v>
      </c>
      <c r="I306" s="20" t="n">
        <v>40</v>
      </c>
      <c r="J306" s="21">
        <f>IF(H306=0,0,I306/H306)</f>
        <v/>
      </c>
    </row>
    <row r="307">
      <c r="A307" s="17" t="inlineStr">
        <is>
          <t>Cdiscount Voyages</t>
        </is>
      </c>
      <c r="B307" s="17" t="inlineStr">
        <is>
          <t>Live</t>
        </is>
      </c>
      <c r="C307" s="17" t="inlineStr">
        <is>
          <t>Cdiscount vol 4</t>
        </is>
      </c>
      <c r="D307" s="17" t="inlineStr">
        <is>
          <t>Travel and Tourism</t>
        </is>
      </c>
      <c r="E307" s="18" t="inlineStr">
        <is>
          <t>Vol Paris – Dakar pas cher | Cdiscount Voyages</t>
        </is>
      </c>
      <c r="F307" s="17" t="inlineStr">
        <is>
          <t>Réservez votre vol Paris – Dakar au meilleur prix sur Cdiscount Voyages : paiement en 4x sans frais et réservation en ligne simple et rapide.</t>
        </is>
      </c>
      <c r="G307" s="19" t="inlineStr">
        <is>
          <t>https://www.cdiscount.com/voyages/vol/fl-dep-fr/dep-par/par-dkr.html</t>
        </is>
      </c>
      <c r="H307" s="20" t="n">
        <v>8873</v>
      </c>
      <c r="I307" s="20" t="n">
        <v>46</v>
      </c>
      <c r="J307" s="21">
        <f>IF(H307=0,0,I307/H307)</f>
        <v/>
      </c>
    </row>
    <row r="308">
      <c r="A308" s="17" t="inlineStr">
        <is>
          <t>Cdiscount Voyages</t>
        </is>
      </c>
      <c r="B308" s="17" t="inlineStr">
        <is>
          <t>Live</t>
        </is>
      </c>
      <c r="C308" s="17" t="inlineStr">
        <is>
          <t>Cdiscount vol 4</t>
        </is>
      </c>
      <c r="D308" s="17" t="inlineStr">
        <is>
          <t>Vols Paris — Asie et Océanie</t>
        </is>
      </c>
      <c r="E308" s="18" t="inlineStr">
        <is>
          <t>Vol Marseille - Abidjan</t>
        </is>
      </c>
      <c r="F308" s="17" t="inlineStr">
        <is>
          <t>Billet d'avion Marseille (France) - Abidjan (Côte d'Ivoire) à partir de 495.56€</t>
        </is>
      </c>
      <c r="G308" s="19" t="inlineStr">
        <is>
          <t>https://www.cdiscount.com/voyages/vol/fl-dep-fr/dep-mrs/mrs-abj.html</t>
        </is>
      </c>
      <c r="H308" s="20" t="n">
        <v>8824</v>
      </c>
      <c r="I308" s="20" t="n">
        <v>42</v>
      </c>
      <c r="J308" s="21">
        <f>IF(H308=0,0,I308/H308)</f>
        <v/>
      </c>
    </row>
    <row r="309">
      <c r="A309" s="17" t="inlineStr">
        <is>
          <t>Cdiscount Voyages</t>
        </is>
      </c>
      <c r="B309" s="17" t="inlineStr">
        <is>
          <t>Live</t>
        </is>
      </c>
      <c r="C309" s="17" t="inlineStr">
        <is>
          <t>Cdiscount vol 4</t>
        </is>
      </c>
      <c r="D309" s="17" t="inlineStr">
        <is>
          <t>Vols Paris — Asie et Océanie</t>
        </is>
      </c>
      <c r="E309" s="18" t="inlineStr">
        <is>
          <t>Vol Paris – La Réunion pas cher | Cdiscount Voyages</t>
        </is>
      </c>
      <c r="F309" s="17" t="inlineStr">
        <is>
          <t>Réservez votre vol Paris – La Réunion au meilleur prix sur Cdiscount Voyages : paiement en 4x sans frais et réservation en ligne simple et rapide.</t>
        </is>
      </c>
      <c r="G309" s="19" t="inlineStr">
        <is>
          <t>https://www.cdiscount.com/voyages/vol/fl-dep-fr/dep-par/par-run.html</t>
        </is>
      </c>
      <c r="H309" s="20" t="n">
        <v>8719</v>
      </c>
      <c r="I309" s="20" t="n">
        <v>41</v>
      </c>
      <c r="J309" s="21">
        <f>IF(H309=0,0,I309/H309)</f>
        <v/>
      </c>
    </row>
    <row r="310">
      <c r="A310" s="17" t="inlineStr">
        <is>
          <t>Cdiscount Voyages</t>
        </is>
      </c>
      <c r="B310" s="17" t="inlineStr">
        <is>
          <t>Live</t>
        </is>
      </c>
      <c r="C310" s="17" t="inlineStr">
        <is>
          <t>Cdiscount vol 4</t>
        </is>
      </c>
      <c r="D310" s="17" t="inlineStr">
        <is>
          <t>Travel and Tourism</t>
        </is>
      </c>
      <c r="E310" s="18" t="inlineStr">
        <is>
          <t>Vol Marseille - Annaba</t>
        </is>
      </c>
      <c r="F310" s="17" t="inlineStr">
        <is>
          <t>Billet d'avion Marseille (France) - Annaba (Algérie) à partir de 169.59€</t>
        </is>
      </c>
      <c r="G310" s="19" t="inlineStr">
        <is>
          <t>https://www.cdiscount.com/voyages/vol/fl-dep-fr/dep-mrs/mrs-aae.html</t>
        </is>
      </c>
      <c r="H310" s="20" t="n">
        <v>8683</v>
      </c>
      <c r="I310" s="20" t="n">
        <v>44</v>
      </c>
      <c r="J310" s="21">
        <f>IF(H310=0,0,I310/H310)</f>
        <v/>
      </c>
    </row>
    <row r="311">
      <c r="A311" s="17" t="inlineStr">
        <is>
          <t>Cdiscount Voyages</t>
        </is>
      </c>
      <c r="B311" s="17" t="inlineStr">
        <is>
          <t>Live</t>
        </is>
      </c>
      <c r="C311" s="17" t="inlineStr">
        <is>
          <t>Cdiscount vol 4</t>
        </is>
      </c>
      <c r="D311" s="17" t="inlineStr">
        <is>
          <t>Vols Paris — Asie et Océanie</t>
        </is>
      </c>
      <c r="E311" s="18" t="inlineStr">
        <is>
          <t>Vol Paris – Pointe-à-Pitre pas cher | Cdiscount Voyages</t>
        </is>
      </c>
      <c r="F311" s="17" t="inlineStr">
        <is>
          <t>Réservez votre vol Paris – Pointe-à-Pitre au meilleur prix sur Cdiscount Voyages : paiement en 4x sans frais et réservation en ligne simple et rapide.</t>
        </is>
      </c>
      <c r="G311" s="19" t="inlineStr">
        <is>
          <t>https://www.cdiscount.com/voyages/vol/fl-dep-fr/dep-par/par-ptp.html</t>
        </is>
      </c>
      <c r="H311" s="20" t="n">
        <v>8654</v>
      </c>
      <c r="I311" s="20" t="n">
        <v>59</v>
      </c>
      <c r="J311" s="21">
        <f>IF(H311=0,0,I311/H311)</f>
        <v/>
      </c>
    </row>
    <row r="312">
      <c r="A312" s="17" t="inlineStr">
        <is>
          <t>Cdiscount Voyages</t>
        </is>
      </c>
      <c r="B312" s="17" t="inlineStr">
        <is>
          <t>Live</t>
        </is>
      </c>
      <c r="C312" s="17" t="inlineStr">
        <is>
          <t>Cdiscount vol 4</t>
        </is>
      </c>
      <c r="D312" s="17" t="inlineStr">
        <is>
          <t>Travel and Tourism</t>
        </is>
      </c>
      <c r="E312" s="18" t="inlineStr">
        <is>
          <t>Vol Paris – Fort-de-France pas cher | Cdiscount Voyages</t>
        </is>
      </c>
      <c r="F312" s="17" t="inlineStr">
        <is>
          <t>Réservez votre vol Paris – Fort-de-France au meilleur prix sur Cdiscount Voyages : paiement en 4x sans frais et réservation en ligne simple et rapide.</t>
        </is>
      </c>
      <c r="G312" s="19" t="inlineStr">
        <is>
          <t>https://www.cdiscount.com/voyages/vol/fl-dep-fr/dep-par/par-fdf.html</t>
        </is>
      </c>
      <c r="H312" s="20" t="n">
        <v>8646</v>
      </c>
      <c r="I312" s="20" t="n">
        <v>39</v>
      </c>
      <c r="J312" s="21">
        <f>IF(H312=0,0,I312/H312)</f>
        <v/>
      </c>
    </row>
    <row r="313">
      <c r="A313" s="17" t="inlineStr">
        <is>
          <t>Cdiscount Voyages</t>
        </is>
      </c>
      <c r="B313" s="17" t="inlineStr">
        <is>
          <t>Live</t>
        </is>
      </c>
      <c r="C313" s="17" t="inlineStr">
        <is>
          <t>Cdiscount vol 4</t>
        </is>
      </c>
      <c r="D313" s="17" t="inlineStr">
        <is>
          <t>Travel and Tourism</t>
        </is>
      </c>
      <c r="E313" s="18" t="inlineStr">
        <is>
          <t>Vol Paris – Punta Cana pas cher | Cdiscount Voyages</t>
        </is>
      </c>
      <c r="F313" s="17" t="inlineStr">
        <is>
          <t>Réservez votre vol Paris – Punta Cana au meilleur prix sur Cdiscount Voyages : paiement en 4x sans frais et réservation en ligne simple et rapide.</t>
        </is>
      </c>
      <c r="G313" s="19" t="inlineStr">
        <is>
          <t>https://www.cdiscount.com/voyages/vol/fl-dep-fr/dep-par/par-puj.html</t>
        </is>
      </c>
      <c r="H313" s="20" t="n">
        <v>8594</v>
      </c>
      <c r="I313" s="20" t="n">
        <v>44</v>
      </c>
      <c r="J313" s="21">
        <f>IF(H313=0,0,I313/H313)</f>
        <v/>
      </c>
    </row>
    <row r="314">
      <c r="A314" s="17" t="inlineStr">
        <is>
          <t>Cdiscount Voyages</t>
        </is>
      </c>
      <c r="B314" s="17" t="inlineStr">
        <is>
          <t>Live</t>
        </is>
      </c>
      <c r="C314" s="17" t="inlineStr">
        <is>
          <t>Cdiscount vol 4</t>
        </is>
      </c>
      <c r="D314" s="17" t="inlineStr">
        <is>
          <t>Vols Paris — Asie et Océanie</t>
        </is>
      </c>
      <c r="E314" s="18" t="inlineStr">
        <is>
          <t>Vol Marseille - Accra</t>
        </is>
      </c>
      <c r="F314" s="17" t="inlineStr">
        <is>
          <t>Billet d'avion Marseille (France) - Accra (Ghana) à partir de 821.46€</t>
        </is>
      </c>
      <c r="G314" s="19" t="inlineStr">
        <is>
          <t>https://www.cdiscount.com/voyages/vol/fl-dep-fr/dep-mrs/mrs-acc.html</t>
        </is>
      </c>
      <c r="H314" s="20" t="n">
        <v>8583</v>
      </c>
      <c r="I314" s="20" t="n">
        <v>33</v>
      </c>
      <c r="J314" s="21">
        <f>IF(H314=0,0,I314/H314)</f>
        <v/>
      </c>
    </row>
    <row r="315">
      <c r="A315" s="17" t="inlineStr">
        <is>
          <t>Cdiscount Voyages</t>
        </is>
      </c>
      <c r="B315" s="17" t="inlineStr">
        <is>
          <t>Live</t>
        </is>
      </c>
      <c r="C315" s="17" t="inlineStr">
        <is>
          <t>Cdiscount vol 4</t>
        </is>
      </c>
      <c r="D315" s="17" t="inlineStr">
        <is>
          <t>Travel and Tourism</t>
        </is>
      </c>
      <c r="E315" s="18" t="inlineStr">
        <is>
          <t>Vol Paris – Marrakech pas cher | Cdiscount Voyages</t>
        </is>
      </c>
      <c r="F315" s="17" t="inlineStr">
        <is>
          <t>Réservez votre vol Paris – Marrakech au meilleur prix sur Cdiscount Voyages : paiement en 4x sans frais et réservation en ligne simple et rapide.</t>
        </is>
      </c>
      <c r="G315" s="19" t="inlineStr">
        <is>
          <t>https://www.cdiscount.com/voyages/vol/fl-dep-fr/dep-par/par-rak.html</t>
        </is>
      </c>
      <c r="H315" s="20" t="n">
        <v>8551</v>
      </c>
      <c r="I315" s="20" t="n">
        <v>44</v>
      </c>
      <c r="J315" s="21">
        <f>IF(H315=0,0,I315/H315)</f>
        <v/>
      </c>
    </row>
    <row r="316">
      <c r="A316" s="17" t="inlineStr">
        <is>
          <t>Cdiscount Voyages</t>
        </is>
      </c>
      <c r="B316" s="17" t="inlineStr">
        <is>
          <t>Live</t>
        </is>
      </c>
      <c r="C316" s="17" t="inlineStr">
        <is>
          <t>Cdiscount vol 4</t>
        </is>
      </c>
      <c r="D316" s="17" t="inlineStr">
        <is>
          <t>Travel and Tourism</t>
        </is>
      </c>
      <c r="E316" s="18" t="inlineStr">
        <is>
          <t>Vol Paris – Cancún pas cher | Cdiscount Voyages</t>
        </is>
      </c>
      <c r="F316" s="17" t="inlineStr">
        <is>
          <t>Réservez votre vol Paris – Cancún au meilleur prix sur Cdiscount Voyages : paiement en 4x sans frais et réservation en ligne simple et rapide.</t>
        </is>
      </c>
      <c r="G316" s="19" t="inlineStr">
        <is>
          <t>https://www.cdiscount.com/voyages/vol/fl-dep-fr/dep-par/par-cun.html</t>
        </is>
      </c>
      <c r="H316" s="20" t="n">
        <v>8517</v>
      </c>
      <c r="I316" s="20" t="n">
        <v>42</v>
      </c>
      <c r="J316" s="21">
        <f>IF(H316=0,0,I316/H316)</f>
        <v/>
      </c>
    </row>
    <row r="317">
      <c r="A317" s="17" t="inlineStr">
        <is>
          <t>Cdiscount Voyages</t>
        </is>
      </c>
      <c r="B317" s="17" t="inlineStr">
        <is>
          <t>Live</t>
        </is>
      </c>
      <c r="C317" s="17" t="inlineStr">
        <is>
          <t>Cdiscount vol 4</t>
        </is>
      </c>
      <c r="D317" s="17" t="inlineStr">
        <is>
          <t>Travel and Tourism</t>
        </is>
      </c>
      <c r="E317" s="18" t="inlineStr">
        <is>
          <t>Vol Paris – Porto pas cher | Cdiscount Voyages</t>
        </is>
      </c>
      <c r="F317" s="17" t="inlineStr">
        <is>
          <t>Réservez votre vol Paris – Porto au meilleur prix sur Cdiscount Voyages : paiement en 4x sans frais et réservation en ligne simple et rapide.</t>
        </is>
      </c>
      <c r="G317" s="19" t="inlineStr">
        <is>
          <t>https://www.cdiscount.com/voyages/vol/fl-dep-fr/dep-par/par-opo.html</t>
        </is>
      </c>
      <c r="H317" s="20" t="n">
        <v>8495</v>
      </c>
      <c r="I317" s="20" t="n">
        <v>53</v>
      </c>
      <c r="J317" s="21">
        <f>IF(H317=0,0,I317/H317)</f>
        <v/>
      </c>
    </row>
    <row r="318">
      <c r="A318" s="17" t="inlineStr">
        <is>
          <t>Cdiscount Voyages</t>
        </is>
      </c>
      <c r="B318" s="17" t="inlineStr">
        <is>
          <t>Live</t>
        </is>
      </c>
      <c r="C318" s="17" t="inlineStr">
        <is>
          <t>Cdiscount vol 4</t>
        </is>
      </c>
      <c r="D318" s="17" t="inlineStr">
        <is>
          <t>Travel and Tourism</t>
        </is>
      </c>
      <c r="E318" s="18" t="inlineStr">
        <is>
          <t>Vol Paris – Tokyo pas cher | Cdiscount Voyages</t>
        </is>
      </c>
      <c r="F318" s="17" t="inlineStr">
        <is>
          <t>Réservez votre vol Paris – Tokyo au meilleur prix sur Cdiscount Voyages : paiement en 4x sans frais et réservation en ligne simple et rapide.</t>
        </is>
      </c>
      <c r="G318" s="19" t="inlineStr">
        <is>
          <t>https://www.cdiscount.com/voyages/vol/fl-dep-fr/dep-par/par-tyo.html</t>
        </is>
      </c>
      <c r="H318" s="20" t="n">
        <v>8493</v>
      </c>
      <c r="I318" s="20" t="n">
        <v>36</v>
      </c>
      <c r="J318" s="21">
        <f>IF(H318=0,0,I318/H318)</f>
        <v/>
      </c>
    </row>
    <row r="319">
      <c r="A319" s="17" t="inlineStr">
        <is>
          <t>Cdiscount Voyages</t>
        </is>
      </c>
      <c r="B319" s="17" t="inlineStr">
        <is>
          <t>Live</t>
        </is>
      </c>
      <c r="C319" s="17" t="inlineStr">
        <is>
          <t>Cdiscount vol 4</t>
        </is>
      </c>
      <c r="D319" s="17" t="inlineStr">
        <is>
          <t>Travel and Tourism</t>
        </is>
      </c>
      <c r="E319" s="18" t="inlineStr">
        <is>
          <t>Vol Nice - Addis Abeba</t>
        </is>
      </c>
      <c r="F319" s="17" t="inlineStr">
        <is>
          <t>Billet d'avion Nice (France) - Addis Abeba (Éthiopie) à partir de 783.5€</t>
        </is>
      </c>
      <c r="G319" s="19" t="inlineStr">
        <is>
          <t>https://www.cdiscount.com/voyages/vol/fl-dep-fr/dep-nce/nce-add.html</t>
        </is>
      </c>
      <c r="H319" s="20" t="n">
        <v>8492</v>
      </c>
      <c r="I319" s="20" t="n">
        <v>45</v>
      </c>
      <c r="J319" s="21">
        <f>IF(H319=0,0,I319/H319)</f>
        <v/>
      </c>
    </row>
    <row r="320">
      <c r="A320" s="17" t="inlineStr">
        <is>
          <t>Cdiscount Voyages</t>
        </is>
      </c>
      <c r="B320" s="17" t="inlineStr">
        <is>
          <t>Live</t>
        </is>
      </c>
      <c r="C320" s="17" t="inlineStr">
        <is>
          <t>Cdiscount vol 4</t>
        </is>
      </c>
      <c r="D320" s="17" t="inlineStr">
        <is>
          <t>Travel and Tourism</t>
        </is>
      </c>
      <c r="E320" s="18" t="inlineStr">
        <is>
          <t>Vol Paris – Tenerife pas cher | Cdiscount Voyages</t>
        </is>
      </c>
      <c r="F320" s="17" t="inlineStr">
        <is>
          <t>Réservez votre vol Paris – Tenerife au meilleur prix sur Cdiscount Voyages : paiement en 4x sans frais et réservation en ligne simple et rapide.</t>
        </is>
      </c>
      <c r="G320" s="19" t="inlineStr">
        <is>
          <t>https://www.cdiscount.com/voyages/vol/fl-dep-fr/dep-par/par-tci.html</t>
        </is>
      </c>
      <c r="H320" s="20" t="n">
        <v>8483</v>
      </c>
      <c r="I320" s="20" t="n">
        <v>42</v>
      </c>
      <c r="J320" s="21">
        <f>IF(H320=0,0,I320/H320)</f>
        <v/>
      </c>
    </row>
    <row r="321">
      <c r="A321" s="17" t="inlineStr">
        <is>
          <t>Cdiscount Voyages</t>
        </is>
      </c>
      <c r="B321" s="17" t="inlineStr">
        <is>
          <t>Live</t>
        </is>
      </c>
      <c r="C321" s="17" t="inlineStr">
        <is>
          <t>Cdiscount vol 4</t>
        </is>
      </c>
      <c r="D321" s="17" t="inlineStr">
        <is>
          <t>Travel and Tourism</t>
        </is>
      </c>
      <c r="E321" s="18" t="inlineStr">
        <is>
          <t>Vol Paris – Lisbonne pas cher | Cdiscount Voyages</t>
        </is>
      </c>
      <c r="F321" s="17" t="inlineStr">
        <is>
          <t>Réservez votre vol Paris – Lisbonne au meilleur prix sur Cdiscount Voyages : paiement en 4x sans frais et réservation en ligne simple et rapide.</t>
        </is>
      </c>
      <c r="G321" s="19" t="inlineStr">
        <is>
          <t>https://www.cdiscount.com/voyages/vol/fl-dep-fr/dep-par/par-lis.html</t>
        </is>
      </c>
      <c r="H321" s="20" t="n">
        <v>8477</v>
      </c>
      <c r="I321" s="20" t="n">
        <v>55</v>
      </c>
      <c r="J321" s="21">
        <f>IF(H321=0,0,I321/H321)</f>
        <v/>
      </c>
    </row>
    <row r="322">
      <c r="A322" s="17" t="inlineStr">
        <is>
          <t>Cdiscount Voyages</t>
        </is>
      </c>
      <c r="B322" s="17" t="inlineStr">
        <is>
          <t>Live</t>
        </is>
      </c>
      <c r="C322" s="17" t="inlineStr">
        <is>
          <t>Cdiscount vol 4</t>
        </is>
      </c>
      <c r="D322" s="17" t="inlineStr">
        <is>
          <t>Travel and Tourism</t>
        </is>
      </c>
      <c r="E322" s="18" t="inlineStr">
        <is>
          <t>Vol Paris – Rome pas cher | Cdiscount Voyages</t>
        </is>
      </c>
      <c r="F322" s="17" t="inlineStr">
        <is>
          <t>Réservez votre vol Paris – Rome au meilleur prix sur Cdiscount Voyages : paiement en 4x sans frais et réservation en ligne simple et rapide.</t>
        </is>
      </c>
      <c r="G322" s="19" t="inlineStr">
        <is>
          <t>https://www.cdiscount.com/voyages/vol/fl-dep-fr/dep-par/par-rom.html</t>
        </is>
      </c>
      <c r="H322" s="20" t="n">
        <v>8468</v>
      </c>
      <c r="I322" s="20" t="n">
        <v>43</v>
      </c>
      <c r="J322" s="21">
        <f>IF(H322=0,0,I322/H322)</f>
        <v/>
      </c>
    </row>
    <row r="323">
      <c r="A323" s="17" t="inlineStr">
        <is>
          <t>Cdiscount Voyages</t>
        </is>
      </c>
      <c r="B323" s="17" t="inlineStr">
        <is>
          <t>Live</t>
        </is>
      </c>
      <c r="C323" s="17" t="inlineStr">
        <is>
          <t>Cdiscount vol 4</t>
        </is>
      </c>
      <c r="D323" s="17" t="inlineStr">
        <is>
          <t>Travel and Tourism</t>
        </is>
      </c>
      <c r="E323" s="18" t="inlineStr">
        <is>
          <t>Vol Paris – Alger pas cher | Cdiscount Voyages</t>
        </is>
      </c>
      <c r="F323" s="17" t="inlineStr">
        <is>
          <t>Réservez votre vol Paris – Alger au meilleur prix sur Cdiscount Voyages : paiement en 4x sans frais et réservation en ligne simple et rapide.</t>
        </is>
      </c>
      <c r="G323" s="19" t="inlineStr">
        <is>
          <t>https://www.cdiscount.com/voyages/vol/fl-dep-fr/dep-par/par-alg.html</t>
        </is>
      </c>
      <c r="H323" s="20" t="n">
        <v>8465</v>
      </c>
      <c r="I323" s="20" t="n">
        <v>43</v>
      </c>
      <c r="J323" s="21">
        <f>IF(H323=0,0,I323/H323)</f>
        <v/>
      </c>
    </row>
    <row r="324">
      <c r="A324" s="17" t="inlineStr">
        <is>
          <t>Cdiscount Voyages</t>
        </is>
      </c>
      <c r="B324" s="17" t="inlineStr">
        <is>
          <t>Live</t>
        </is>
      </c>
      <c r="C324" s="17" t="inlineStr">
        <is>
          <t>Cdiscount vol 4</t>
        </is>
      </c>
      <c r="D324" s="17" t="inlineStr">
        <is>
          <t>Travel and Tourism</t>
        </is>
      </c>
      <c r="E324" s="18" t="inlineStr">
        <is>
          <t>Vol Paris – Casablanca pas cher | Cdiscount Voyages</t>
        </is>
      </c>
      <c r="F324" s="17" t="inlineStr">
        <is>
          <t>Réservez votre vol Paris – Casablanca au meilleur prix sur Cdiscount Voyages : paiement en 4x sans frais et réservation en ligne simple et rapide.</t>
        </is>
      </c>
      <c r="G324" s="19" t="inlineStr">
        <is>
          <t>https://www.cdiscount.com/voyages/vol/fl-dep-fr/dep-par/par-cas.html</t>
        </is>
      </c>
      <c r="H324" s="20" t="n">
        <v>8461</v>
      </c>
      <c r="I324" s="20" t="n">
        <v>40</v>
      </c>
      <c r="J324" s="21">
        <f>IF(H324=0,0,I324/H324)</f>
        <v/>
      </c>
    </row>
    <row r="325">
      <c r="A325" s="17" t="inlineStr">
        <is>
          <t>Cdiscount Voyages</t>
        </is>
      </c>
      <c r="B325" s="17" t="inlineStr">
        <is>
          <t>Live</t>
        </is>
      </c>
      <c r="C325" s="17" t="inlineStr">
        <is>
          <t>Cdiscount vol 4</t>
        </is>
      </c>
      <c r="D325" s="17" t="inlineStr">
        <is>
          <t>Travel and Tourism</t>
        </is>
      </c>
      <c r="E325" s="18" t="inlineStr">
        <is>
          <t>Vol Paris – Venise pas cher | Cdiscount Voyages</t>
        </is>
      </c>
      <c r="F325" s="17" t="inlineStr">
        <is>
          <t>Réservez votre vol Paris – Venise au meilleur prix sur Cdiscount Voyages : paiement en 4x sans frais et réservation en ligne simple et rapide.</t>
        </is>
      </c>
      <c r="G325" s="19" t="inlineStr">
        <is>
          <t>https://www.cdiscount.com/voyages/vol/fl-dep-fr/dep-par/par-vce.html</t>
        </is>
      </c>
      <c r="H325" s="20" t="n">
        <v>8460</v>
      </c>
      <c r="I325" s="20" t="n">
        <v>45</v>
      </c>
      <c r="J325" s="21">
        <f>IF(H325=0,0,I325/H325)</f>
        <v/>
      </c>
    </row>
    <row r="326">
      <c r="A326" s="17" t="inlineStr">
        <is>
          <t>Cdiscount Voyages</t>
        </is>
      </c>
      <c r="B326" s="17" t="inlineStr">
        <is>
          <t>Live</t>
        </is>
      </c>
      <c r="C326" s="17" t="inlineStr">
        <is>
          <t>Cdiscount vol 4</t>
        </is>
      </c>
      <c r="D326" s="17" t="inlineStr">
        <is>
          <t>Vols Paris — Asie et Océanie</t>
        </is>
      </c>
      <c r="E326" s="18" t="inlineStr">
        <is>
          <t>Vol Paris – Tunis pas cher | Cdiscount Voyages</t>
        </is>
      </c>
      <c r="F326" s="17" t="inlineStr">
        <is>
          <t>Réservez votre vol Paris – Tunis au meilleur prix sur Cdiscount Voyages : paiement en 4x sans frais et réservation en ligne simple et rapide.</t>
        </is>
      </c>
      <c r="G326" s="19" t="inlineStr">
        <is>
          <t>https://www.cdiscount.com/voyages/vol/fl-dep-fr/dep-par/par-tun.html</t>
        </is>
      </c>
      <c r="H326" s="20" t="n">
        <v>8453</v>
      </c>
      <c r="I326" s="20" t="n">
        <v>41</v>
      </c>
      <c r="J326" s="21">
        <f>IF(H326=0,0,I326/H326)</f>
        <v/>
      </c>
    </row>
    <row r="327">
      <c r="A327" s="17" t="inlineStr">
        <is>
          <t>Cdiscount Voyages</t>
        </is>
      </c>
      <c r="B327" s="17" t="inlineStr">
        <is>
          <t>Live</t>
        </is>
      </c>
      <c r="C327" s="17" t="inlineStr">
        <is>
          <t>Cdiscount vol 4</t>
        </is>
      </c>
      <c r="D327" s="17" t="inlineStr">
        <is>
          <t>Vols Paris — Afrique et Maghreb</t>
        </is>
      </c>
      <c r="E327" s="18" t="inlineStr">
        <is>
          <t>Vol Lyon - Strasbourg</t>
        </is>
      </c>
      <c r="F327" s="17" t="inlineStr">
        <is>
          <t>Billet d'avion Lyon (France) - Strasbourg (France) à partir de 143.65€</t>
        </is>
      </c>
      <c r="G327" s="19" t="inlineStr">
        <is>
          <t>https://www.cdiscount.com/voyages/vol/fl-dep-fr/dep-lys/lys-sxb.html</t>
        </is>
      </c>
      <c r="H327" s="20" t="n">
        <v>8421</v>
      </c>
      <c r="I327" s="20" t="n">
        <v>41</v>
      </c>
      <c r="J327" s="21">
        <f>IF(H327=0,0,I327/H327)</f>
        <v/>
      </c>
    </row>
    <row r="328">
      <c r="A328" s="17" t="inlineStr">
        <is>
          <t>Cdiscount Voyages</t>
        </is>
      </c>
      <c r="B328" s="17" t="inlineStr">
        <is>
          <t>Live</t>
        </is>
      </c>
      <c r="C328" s="17" t="inlineStr">
        <is>
          <t>Cdiscount vol 4</t>
        </is>
      </c>
      <c r="D328" s="17" t="inlineStr">
        <is>
          <t>Vols Paris — Asie et Océanie</t>
        </is>
      </c>
      <c r="E328" s="18" t="inlineStr">
        <is>
          <t>Vol Paris – Marseille pas cher | Cdiscount Voyages</t>
        </is>
      </c>
      <c r="F328" s="17" t="inlineStr">
        <is>
          <t>Réservez votre vol Paris – Marseille au meilleur prix sur Cdiscount Voyages : paiement en 4x sans frais et réservation en ligne simple et rapide.</t>
        </is>
      </c>
      <c r="G328" s="19" t="inlineStr">
        <is>
          <t>https://www.cdiscount.com/voyages/vol/fl-dep-fr/dep-par/par-mrs.html</t>
        </is>
      </c>
      <c r="H328" s="20" t="n">
        <v>8419</v>
      </c>
      <c r="I328" s="20" t="n">
        <v>57</v>
      </c>
      <c r="J328" s="21">
        <f>IF(H328=0,0,I328/H328)</f>
        <v/>
      </c>
    </row>
    <row r="329">
      <c r="A329" s="17" t="inlineStr">
        <is>
          <t>Cdiscount Voyages</t>
        </is>
      </c>
      <c r="B329" s="17" t="inlineStr">
        <is>
          <t>Live</t>
        </is>
      </c>
      <c r="C329" s="17" t="inlineStr">
        <is>
          <t>Cdiscount vol 4</t>
        </is>
      </c>
      <c r="D329" s="17" t="inlineStr">
        <is>
          <t>Travel and Tourism</t>
        </is>
      </c>
      <c r="E329" s="18" t="inlineStr">
        <is>
          <t>Vol Paris – Bali pas cher | Cdiscount Voyages</t>
        </is>
      </c>
      <c r="F329" s="17" t="inlineStr">
        <is>
          <t>Réservez votre vol Paris – Bali au meilleur prix sur Cdiscount Voyages : paiement en 4x sans frais et réservation en ligne simple et rapide.</t>
        </is>
      </c>
      <c r="G329" s="19" t="inlineStr">
        <is>
          <t>https://www.cdiscount.com/voyages/vol/fl-dep-fr/dep-par/par-dps.html</t>
        </is>
      </c>
      <c r="H329" s="20" t="n">
        <v>8393</v>
      </c>
      <c r="I329" s="20" t="n">
        <v>42</v>
      </c>
      <c r="J329" s="21">
        <f>IF(H329=0,0,I329/H329)</f>
        <v/>
      </c>
    </row>
    <row r="330">
      <c r="A330" s="17" t="inlineStr">
        <is>
          <t>Cdiscount Voyages</t>
        </is>
      </c>
      <c r="B330" s="17" t="inlineStr">
        <is>
          <t>Live</t>
        </is>
      </c>
      <c r="C330" s="17" t="inlineStr">
        <is>
          <t>Cdiscount vol 4</t>
        </is>
      </c>
      <c r="D330" s="17" t="inlineStr">
        <is>
          <t>Vols Paris — Asie et Océanie</t>
        </is>
      </c>
      <c r="E330" s="18" t="inlineStr">
        <is>
          <t>Vol Paris – Casablanca pas cher | Cdiscount Voyages</t>
        </is>
      </c>
      <c r="F330" s="17" t="inlineStr">
        <is>
          <t>Réservez votre vol Paris – Casablanca au meilleur prix sur Cdiscount Voyages : paiement en 4x sans frais et réservation en ligne simple et rapide.</t>
        </is>
      </c>
      <c r="G330" s="19" t="inlineStr">
        <is>
          <t>https://www.cdiscount.com/voyages/vol/fl-dep-fr/dep-par/par-cas.html</t>
        </is>
      </c>
      <c r="H330" s="20" t="n">
        <v>8390</v>
      </c>
      <c r="I330" s="20" t="n">
        <v>35</v>
      </c>
      <c r="J330" s="21">
        <f>IF(H330=0,0,I330/H330)</f>
        <v/>
      </c>
    </row>
    <row r="331">
      <c r="A331" s="17" t="inlineStr">
        <is>
          <t>Cdiscount Voyages</t>
        </is>
      </c>
      <c r="B331" s="17" t="inlineStr">
        <is>
          <t>Live</t>
        </is>
      </c>
      <c r="C331" s="17" t="inlineStr">
        <is>
          <t>Cdiscount vol 4</t>
        </is>
      </c>
      <c r="D331" s="17" t="inlineStr">
        <is>
          <t>Travel and Tourism</t>
        </is>
      </c>
      <c r="E331" s="18" t="inlineStr">
        <is>
          <t>Vol Lyon - Annaba</t>
        </is>
      </c>
      <c r="F331" s="17" t="inlineStr">
        <is>
          <t>Billet d'avion Lyon (France) - Annaba (Algérie) à partir de 180.31€</t>
        </is>
      </c>
      <c r="G331" s="19" t="inlineStr">
        <is>
          <t>https://www.cdiscount.com/voyages/vol/fl-dep-fr/dep-lys/lys-aae.html</t>
        </is>
      </c>
      <c r="H331" s="20" t="n">
        <v>8381</v>
      </c>
      <c r="I331" s="20" t="n">
        <v>36</v>
      </c>
      <c r="J331" s="21">
        <f>IF(H331=0,0,I331/H331)</f>
        <v/>
      </c>
    </row>
    <row r="332">
      <c r="A332" s="17" t="inlineStr">
        <is>
          <t>Cdiscount Voyages</t>
        </is>
      </c>
      <c r="B332" s="17" t="inlineStr">
        <is>
          <t>Live</t>
        </is>
      </c>
      <c r="C332" s="17" t="inlineStr">
        <is>
          <t>Cdiscount vol 4</t>
        </is>
      </c>
      <c r="D332" s="17" t="inlineStr">
        <is>
          <t>Travel and Tourism</t>
        </is>
      </c>
      <c r="E332" s="18" t="inlineStr">
        <is>
          <t>Vol Paris – New York pas cher | Cdiscount Voyages</t>
        </is>
      </c>
      <c r="F332" s="17" t="inlineStr">
        <is>
          <t>Réservez votre vol Paris – New York au meilleur prix sur Cdiscount Voyages : paiement en 4x sans frais et réservation en ligne simple et rapide.</t>
        </is>
      </c>
      <c r="G332" s="19" t="inlineStr">
        <is>
          <t>https://www.cdiscount.com/voyages/vol/fl-dep-fr/dep-par/par-nyc.html</t>
        </is>
      </c>
      <c r="H332" s="20" t="n">
        <v>8376</v>
      </c>
      <c r="I332" s="20" t="n">
        <v>46</v>
      </c>
      <c r="J332" s="21">
        <f>IF(H332=0,0,I332/H332)</f>
        <v/>
      </c>
    </row>
    <row r="333">
      <c r="A333" s="17" t="inlineStr">
        <is>
          <t>Cdiscount Voyages</t>
        </is>
      </c>
      <c r="B333" s="17" t="inlineStr">
        <is>
          <t>Live</t>
        </is>
      </c>
      <c r="C333" s="17" t="inlineStr">
        <is>
          <t>Cdiscount vol 4</t>
        </is>
      </c>
      <c r="D333" s="17" t="inlineStr">
        <is>
          <t>Vols Paris — Afrique et Maghreb</t>
        </is>
      </c>
      <c r="E333" s="18" t="inlineStr">
        <is>
          <t>Vol Paris – Miami pas cher | Cdiscount Voyages</t>
        </is>
      </c>
      <c r="F333" s="17" t="inlineStr">
        <is>
          <t>Réservez votre vol Paris – Miami au meilleur prix sur Cdiscount Voyages : paiement en 4x sans frais et réservation en ligne simple et rapide.</t>
        </is>
      </c>
      <c r="G333" s="19" t="inlineStr">
        <is>
          <t>https://www.cdiscount.com/voyages/vol/fl-dep-fr/dep-par/par-mia.html</t>
        </is>
      </c>
      <c r="H333" s="20" t="n">
        <v>8360</v>
      </c>
      <c r="I333" s="20" t="n">
        <v>40</v>
      </c>
      <c r="J333" s="21">
        <f>IF(H333=0,0,I333/H333)</f>
        <v/>
      </c>
    </row>
    <row r="334">
      <c r="A334" s="17" t="inlineStr">
        <is>
          <t>Cdiscount Voyages</t>
        </is>
      </c>
      <c r="B334" s="17" t="inlineStr">
        <is>
          <t>Live</t>
        </is>
      </c>
      <c r="C334" s="17" t="inlineStr">
        <is>
          <t>Cdiscount vol 4</t>
        </is>
      </c>
      <c r="D334" s="17" t="inlineStr">
        <is>
          <t>Vols Paris — Afrique et Maghreb</t>
        </is>
      </c>
      <c r="E334" s="18" t="inlineStr">
        <is>
          <t>Vol Paris – Marseille pas cher | Cdiscount Voyages</t>
        </is>
      </c>
      <c r="F334" s="17" t="inlineStr">
        <is>
          <t>Réservez votre vol Paris – Marseille au meilleur prix sur Cdiscount Voyages : paiement en 4x sans frais et réservation en ligne simple et rapide.</t>
        </is>
      </c>
      <c r="G334" s="19" t="inlineStr">
        <is>
          <t>https://www.cdiscount.com/voyages/vol/fl-dep-fr/dep-par/par-mrs.html</t>
        </is>
      </c>
      <c r="H334" s="20" t="n">
        <v>8338</v>
      </c>
      <c r="I334" s="20" t="n">
        <v>39</v>
      </c>
      <c r="J334" s="21">
        <f>IF(H334=0,0,I334/H334)</f>
        <v/>
      </c>
    </row>
    <row r="335">
      <c r="A335" s="17" t="inlineStr">
        <is>
          <t>Cdiscount Voyages</t>
        </is>
      </c>
      <c r="B335" s="17" t="inlineStr">
        <is>
          <t>Live</t>
        </is>
      </c>
      <c r="C335" s="17" t="inlineStr">
        <is>
          <t>Cdiscount vol 4</t>
        </is>
      </c>
      <c r="D335" s="17" t="inlineStr">
        <is>
          <t>Travel and Tourism</t>
        </is>
      </c>
      <c r="E335" s="18" t="inlineStr">
        <is>
          <t>Vol Marseille - Abidjan</t>
        </is>
      </c>
      <c r="F335" s="17" t="inlineStr">
        <is>
          <t>Billet d'avion Marseille (France) - Abidjan (Côte d'Ivoire) à partir de 495.56€</t>
        </is>
      </c>
      <c r="G335" s="19" t="inlineStr">
        <is>
          <t>https://www.cdiscount.com/voyages/vol/fl-dep-fr/dep-mrs/mrs-abj.html</t>
        </is>
      </c>
      <c r="H335" s="20" t="n">
        <v>8336</v>
      </c>
      <c r="I335" s="20" t="n">
        <v>38</v>
      </c>
      <c r="J335" s="21">
        <f>IF(H335=0,0,I335/H335)</f>
        <v/>
      </c>
    </row>
    <row r="336">
      <c r="A336" s="17" t="inlineStr">
        <is>
          <t>Cdiscount Voyages</t>
        </is>
      </c>
      <c r="B336" s="17" t="inlineStr">
        <is>
          <t>Live</t>
        </is>
      </c>
      <c r="C336" s="17" t="inlineStr">
        <is>
          <t>Cdiscount vol 4</t>
        </is>
      </c>
      <c r="D336" s="17" t="inlineStr">
        <is>
          <t>Vols Paris — Afrique et Maghreb</t>
        </is>
      </c>
      <c r="E336" s="18" t="inlineStr">
        <is>
          <t>Vol Paris – Bangkok pas cher | Cdiscount Voyages</t>
        </is>
      </c>
      <c r="F336" s="17" t="inlineStr">
        <is>
          <t>Réservez votre vol Paris – Bangkok au meilleur prix sur Cdiscount Voyages : paiement en 4x sans frais et réservation en ligne simple et rapide.</t>
        </is>
      </c>
      <c r="G336" s="19" t="inlineStr">
        <is>
          <t>https://www.cdiscount.com/voyages/vol/fl-dep-fr/dep-par/par-bkk.html</t>
        </is>
      </c>
      <c r="H336" s="20" t="n">
        <v>8333</v>
      </c>
      <c r="I336" s="20" t="n">
        <v>48</v>
      </c>
      <c r="J336" s="21">
        <f>IF(H336=0,0,I336/H336)</f>
        <v/>
      </c>
    </row>
    <row r="337">
      <c r="A337" s="17" t="inlineStr">
        <is>
          <t>Cdiscount Voyages</t>
        </is>
      </c>
      <c r="B337" s="17" t="inlineStr">
        <is>
          <t>Live</t>
        </is>
      </c>
      <c r="C337" s="17" t="inlineStr">
        <is>
          <t>Cdiscount vol 4</t>
        </is>
      </c>
      <c r="D337" s="17" t="inlineStr">
        <is>
          <t>Vols Paris — Afrique et Maghreb</t>
        </is>
      </c>
      <c r="E337" s="18" t="inlineStr">
        <is>
          <t>Vol Nice - Addis Abeba</t>
        </is>
      </c>
      <c r="F337" s="17" t="inlineStr">
        <is>
          <t>Billet d'avion Nice (France) - Addis Abeba (Éthiopie) à partir de 783.5€</t>
        </is>
      </c>
      <c r="G337" s="19" t="inlineStr">
        <is>
          <t>https://www.cdiscount.com/voyages/vol/fl-dep-fr/dep-nce/nce-add.html</t>
        </is>
      </c>
      <c r="H337" s="20" t="n">
        <v>8332</v>
      </c>
      <c r="I337" s="20" t="n">
        <v>50</v>
      </c>
      <c r="J337" s="21">
        <f>IF(H337=0,0,I337/H337)</f>
        <v/>
      </c>
    </row>
    <row r="338">
      <c r="A338" s="17" t="inlineStr">
        <is>
          <t>Cdiscount Voyages</t>
        </is>
      </c>
      <c r="B338" s="17" t="inlineStr">
        <is>
          <t>Live</t>
        </is>
      </c>
      <c r="C338" s="17" t="inlineStr">
        <is>
          <t>Cdiscount vol 4</t>
        </is>
      </c>
      <c r="D338" s="17" t="inlineStr">
        <is>
          <t>Vols Paris — Afrique et Maghreb</t>
        </is>
      </c>
      <c r="E338" s="18" t="inlineStr">
        <is>
          <t>Vol Lyon - Abidjan</t>
        </is>
      </c>
      <c r="F338" s="17" t="inlineStr">
        <is>
          <t>Billet d'avion Lyon (France) - Abidjan (Côte d'Ivoire) à partir de 497.11€</t>
        </is>
      </c>
      <c r="G338" s="19" t="inlineStr">
        <is>
          <t>https://www.cdiscount.com/voyages/vol/fl-dep-fr/dep-lys/lys-abj.html</t>
        </is>
      </c>
      <c r="H338" s="20" t="n">
        <v>8332</v>
      </c>
      <c r="I338" s="20" t="n">
        <v>36</v>
      </c>
      <c r="J338" s="21">
        <f>IF(H338=0,0,I338/H338)</f>
        <v/>
      </c>
    </row>
    <row r="339">
      <c r="A339" s="17" t="inlineStr">
        <is>
          <t>Cdiscount Voyages</t>
        </is>
      </c>
      <c r="B339" s="17" t="inlineStr">
        <is>
          <t>Live</t>
        </is>
      </c>
      <c r="C339" s="17" t="inlineStr">
        <is>
          <t>Cdiscount vol 4</t>
        </is>
      </c>
      <c r="D339" s="17" t="inlineStr">
        <is>
          <t>Travel and Tourism</t>
        </is>
      </c>
      <c r="E339" s="18" t="inlineStr">
        <is>
          <t>Vol Paris – Shanghai pas cher | Cdiscount Voyages</t>
        </is>
      </c>
      <c r="F339" s="17" t="inlineStr">
        <is>
          <t>Réservez votre vol Paris – Shanghai au meilleur prix sur Cdiscount Voyages : paiement en 4x sans frais et réservation en ligne simple et rapide.</t>
        </is>
      </c>
      <c r="G339" s="19" t="inlineStr">
        <is>
          <t>https://www.cdiscount.com/voyages/vol/fl-dep-fr/dep-par/par-sha.html</t>
        </is>
      </c>
      <c r="H339" s="20" t="n">
        <v>8327</v>
      </c>
      <c r="I339" s="20" t="n">
        <v>32</v>
      </c>
      <c r="J339" s="21">
        <f>IF(H339=0,0,I339/H339)</f>
        <v/>
      </c>
    </row>
    <row r="340">
      <c r="A340" s="17" t="inlineStr">
        <is>
          <t>Cdiscount Voyages</t>
        </is>
      </c>
      <c r="B340" s="17" t="inlineStr">
        <is>
          <t>Live</t>
        </is>
      </c>
      <c r="C340" s="17" t="inlineStr">
        <is>
          <t>Cdiscount vol 4</t>
        </is>
      </c>
      <c r="D340" s="17" t="inlineStr">
        <is>
          <t>Vols Paris — Asie et Océanie</t>
        </is>
      </c>
      <c r="E340" s="18" t="inlineStr">
        <is>
          <t>Vol Paris – Londres pas cher | Cdiscount Voyages</t>
        </is>
      </c>
      <c r="F340" s="17" t="inlineStr">
        <is>
          <t>Réservez votre vol Paris – Londres au meilleur prix sur Cdiscount Voyages : paiement en 4x sans frais et réservation en ligne simple et rapide.</t>
        </is>
      </c>
      <c r="G340" s="19" t="inlineStr">
        <is>
          <t>https://www.cdiscount.com/voyages/vol/fl-dep-fr/dep-par/par-lon.html</t>
        </is>
      </c>
      <c r="H340" s="20" t="n">
        <v>8324</v>
      </c>
      <c r="I340" s="20" t="n">
        <v>38</v>
      </c>
      <c r="J340" s="21">
        <f>IF(H340=0,0,I340/H340)</f>
        <v/>
      </c>
    </row>
    <row r="341">
      <c r="A341" s="17" t="inlineStr">
        <is>
          <t>Cdiscount Voyages</t>
        </is>
      </c>
      <c r="B341" s="17" t="inlineStr">
        <is>
          <t>Live</t>
        </is>
      </c>
      <c r="C341" s="17" t="inlineStr">
        <is>
          <t>Cdiscount vol 4</t>
        </is>
      </c>
      <c r="D341" s="17" t="inlineStr">
        <is>
          <t>Vols Paris — Asie et Océanie</t>
        </is>
      </c>
      <c r="E341" s="18" t="inlineStr">
        <is>
          <t>Vol Paris – Venise pas cher | Cdiscount Voyages</t>
        </is>
      </c>
      <c r="F341" s="17" t="inlineStr">
        <is>
          <t>Réservez votre vol Paris – Venise au meilleur prix sur Cdiscount Voyages : paiement en 4x sans frais et réservation en ligne simple et rapide.</t>
        </is>
      </c>
      <c r="G341" s="19" t="inlineStr">
        <is>
          <t>https://www.cdiscount.com/voyages/vol/fl-dep-fr/dep-par/par-vce.html</t>
        </is>
      </c>
      <c r="H341" s="20" t="n">
        <v>8324</v>
      </c>
      <c r="I341" s="20" t="n">
        <v>36</v>
      </c>
      <c r="J341" s="21">
        <f>IF(H341=0,0,I341/H341)</f>
        <v/>
      </c>
    </row>
    <row r="342">
      <c r="A342" s="17" t="inlineStr">
        <is>
          <t>Cdiscount Voyages</t>
        </is>
      </c>
      <c r="B342" s="17" t="inlineStr">
        <is>
          <t>Live</t>
        </is>
      </c>
      <c r="C342" s="17" t="inlineStr">
        <is>
          <t>Cdiscount vol 4</t>
        </is>
      </c>
      <c r="D342" s="17" t="inlineStr">
        <is>
          <t>Vols Paris — Asie et Océanie</t>
        </is>
      </c>
      <c r="E342" s="18" t="inlineStr">
        <is>
          <t>Vol Paris – Nice pas cher | Cdiscount Voyages</t>
        </is>
      </c>
      <c r="F342" s="17" t="inlineStr">
        <is>
          <t>Réservez votre vol Paris – Nice au meilleur prix sur Cdiscount Voyages : paiement en 4x sans frais et réservation en ligne simple et rapide.</t>
        </is>
      </c>
      <c r="G342" s="19" t="inlineStr">
        <is>
          <t>https://www.cdiscount.com/voyages/vol/fl-dep-fr/dep-par/par-nce.html</t>
        </is>
      </c>
      <c r="H342" s="20" t="n">
        <v>8323</v>
      </c>
      <c r="I342" s="20" t="n">
        <v>36</v>
      </c>
      <c r="J342" s="21">
        <f>IF(H342=0,0,I342/H342)</f>
        <v/>
      </c>
    </row>
    <row r="343">
      <c r="A343" s="17" t="inlineStr">
        <is>
          <t>Cdiscount Voyages</t>
        </is>
      </c>
      <c r="B343" s="17" t="inlineStr">
        <is>
          <t>Live</t>
        </is>
      </c>
      <c r="C343" s="17" t="inlineStr">
        <is>
          <t>Cdiscount vol 4</t>
        </is>
      </c>
      <c r="D343" s="17" t="inlineStr">
        <is>
          <t>Vols Paris — Afrique et Maghreb</t>
        </is>
      </c>
      <c r="E343" s="18" t="inlineStr">
        <is>
          <t>Vol Paris – Nice pas cher | Cdiscount Voyages</t>
        </is>
      </c>
      <c r="F343" s="17" t="inlineStr">
        <is>
          <t>Réservez votre vol Paris – Nice au meilleur prix sur Cdiscount Voyages : paiement en 4x sans frais et réservation en ligne simple et rapide.</t>
        </is>
      </c>
      <c r="G343" s="19" t="inlineStr">
        <is>
          <t>https://www.cdiscount.com/voyages/vol/fl-dep-fr/dep-par/par-nce.html</t>
        </is>
      </c>
      <c r="H343" s="20" t="n">
        <v>8320</v>
      </c>
      <c r="I343" s="20" t="n">
        <v>41</v>
      </c>
      <c r="J343" s="21">
        <f>IF(H343=0,0,I343/H343)</f>
        <v/>
      </c>
    </row>
    <row r="344">
      <c r="A344" s="17" t="inlineStr">
        <is>
          <t>Cdiscount Voyages</t>
        </is>
      </c>
      <c r="B344" s="17" t="inlineStr">
        <is>
          <t>Live</t>
        </is>
      </c>
      <c r="C344" s="17" t="inlineStr">
        <is>
          <t>Cdiscount vol 4</t>
        </is>
      </c>
      <c r="D344" s="17" t="inlineStr">
        <is>
          <t>Travel and Tourism</t>
        </is>
      </c>
      <c r="E344" s="18" t="inlineStr">
        <is>
          <t>Vol Lyon - Abidjan</t>
        </is>
      </c>
      <c r="F344" s="17" t="inlineStr">
        <is>
          <t>Billet d'avion Lyon (France) - Abidjan (Côte d'Ivoire) à partir de 497.11€</t>
        </is>
      </c>
      <c r="G344" s="19" t="inlineStr">
        <is>
          <t>https://www.cdiscount.com/voyages/vol/fl-dep-fr/dep-lys/lys-abj.html</t>
        </is>
      </c>
      <c r="H344" s="20" t="n">
        <v>8318</v>
      </c>
      <c r="I344" s="20" t="n">
        <v>40</v>
      </c>
      <c r="J344" s="21">
        <f>IF(H344=0,0,I344/H344)</f>
        <v/>
      </c>
    </row>
    <row r="345">
      <c r="A345" s="17" t="inlineStr">
        <is>
          <t>Cdiscount Voyages</t>
        </is>
      </c>
      <c r="B345" s="17" t="inlineStr">
        <is>
          <t>Live</t>
        </is>
      </c>
      <c r="C345" s="17" t="inlineStr">
        <is>
          <t>Cdiscount vol 4</t>
        </is>
      </c>
      <c r="D345" s="17" t="inlineStr">
        <is>
          <t>Vols Paris — Asie et Océanie</t>
        </is>
      </c>
      <c r="E345" s="18" t="inlineStr">
        <is>
          <t>Vol Paris – Cancún pas cher | Cdiscount Voyages</t>
        </is>
      </c>
      <c r="F345" s="17" t="inlineStr">
        <is>
          <t>Réservez votre vol Paris – Cancún au meilleur prix sur Cdiscount Voyages : paiement en 4x sans frais et réservation en ligne simple et rapide.</t>
        </is>
      </c>
      <c r="G345" s="19" t="inlineStr">
        <is>
          <t>https://www.cdiscount.com/voyages/vol/fl-dep-fr/dep-par/par-cun.html</t>
        </is>
      </c>
      <c r="H345" s="20" t="n">
        <v>8308</v>
      </c>
      <c r="I345" s="20" t="n">
        <v>38</v>
      </c>
      <c r="J345" s="21">
        <f>IF(H345=0,0,I345/H345)</f>
        <v/>
      </c>
    </row>
    <row r="346">
      <c r="A346" s="17" t="inlineStr">
        <is>
          <t>Cdiscount Voyages</t>
        </is>
      </c>
      <c r="B346" s="17" t="inlineStr">
        <is>
          <t>Live</t>
        </is>
      </c>
      <c r="C346" s="17" t="inlineStr">
        <is>
          <t>Cdiscount vol 4</t>
        </is>
      </c>
      <c r="D346" s="17" t="inlineStr">
        <is>
          <t>Vols Paris — Asie et Océanie</t>
        </is>
      </c>
      <c r="E346" s="18" t="inlineStr">
        <is>
          <t>Vol Paris – Alger pas cher | Cdiscount Voyages</t>
        </is>
      </c>
      <c r="F346" s="17" t="inlineStr">
        <is>
          <t>Réservez votre vol Paris – Alger au meilleur prix sur Cdiscount Voyages : paiement en 4x sans frais et réservation en ligne simple et rapide.</t>
        </is>
      </c>
      <c r="G346" s="19" t="inlineStr">
        <is>
          <t>https://www.cdiscount.com/voyages/vol/fl-dep-fr/dep-par/par-alg.html</t>
        </is>
      </c>
      <c r="H346" s="20" t="n">
        <v>8305</v>
      </c>
      <c r="I346" s="20" t="n">
        <v>43</v>
      </c>
      <c r="J346" s="21">
        <f>IF(H346=0,0,I346/H346)</f>
        <v/>
      </c>
    </row>
    <row r="347">
      <c r="A347" s="17" t="inlineStr">
        <is>
          <t>Cdiscount Voyages</t>
        </is>
      </c>
      <c r="B347" s="17" t="inlineStr">
        <is>
          <t>Live</t>
        </is>
      </c>
      <c r="C347" s="17" t="inlineStr">
        <is>
          <t>Cdiscount vol 4</t>
        </is>
      </c>
      <c r="D347" s="17" t="inlineStr">
        <is>
          <t>Travel and Tourism</t>
        </is>
      </c>
      <c r="E347" s="18" t="inlineStr">
        <is>
          <t>Vol Paris – Athènes pas cher | Cdiscount Voyages</t>
        </is>
      </c>
      <c r="F347" s="17" t="inlineStr">
        <is>
          <t>Réservez votre vol Paris – Athènes au meilleur prix sur Cdiscount Voyages : paiement en 4x sans frais et réservation en ligne simple et rapide.</t>
        </is>
      </c>
      <c r="G347" s="19" t="inlineStr">
        <is>
          <t>https://www.cdiscount.com/voyages/vol/fl-dep-fr/dep-par/par-ath.html</t>
        </is>
      </c>
      <c r="H347" s="20" t="n">
        <v>8302</v>
      </c>
      <c r="I347" s="20" t="n">
        <v>52</v>
      </c>
      <c r="J347" s="21">
        <f>IF(H347=0,0,I347/H347)</f>
        <v/>
      </c>
    </row>
    <row r="348">
      <c r="A348" s="17" t="inlineStr">
        <is>
          <t>Cdiscount Voyages</t>
        </is>
      </c>
      <c r="B348" s="17" t="inlineStr">
        <is>
          <t>Live</t>
        </is>
      </c>
      <c r="C348" s="17" t="inlineStr">
        <is>
          <t>Cdiscount vol 4</t>
        </is>
      </c>
      <c r="D348" s="17" t="inlineStr">
        <is>
          <t>Travel and Tourism</t>
        </is>
      </c>
      <c r="E348" s="18" t="inlineStr">
        <is>
          <t>Vol Paris – Londres pas cher | Cdiscount Voyages</t>
        </is>
      </c>
      <c r="F348" s="17" t="inlineStr">
        <is>
          <t>Réservez votre vol Paris – Londres au meilleur prix sur Cdiscount Voyages : paiement en 4x sans frais et réservation en ligne simple et rapide.</t>
        </is>
      </c>
      <c r="G348" s="19" t="inlineStr">
        <is>
          <t>https://www.cdiscount.com/voyages/vol/fl-dep-fr/dep-par/par-lon.html</t>
        </is>
      </c>
      <c r="H348" s="20" t="n">
        <v>8302</v>
      </c>
      <c r="I348" s="20" t="n">
        <v>39</v>
      </c>
      <c r="J348" s="21">
        <f>IF(H348=0,0,I348/H348)</f>
        <v/>
      </c>
    </row>
    <row r="349">
      <c r="A349" s="17" t="inlineStr">
        <is>
          <t>Cdiscount Voyages</t>
        </is>
      </c>
      <c r="B349" s="17" t="inlineStr">
        <is>
          <t>Live</t>
        </is>
      </c>
      <c r="C349" s="17" t="inlineStr">
        <is>
          <t>Cdiscount vol 4</t>
        </is>
      </c>
      <c r="D349" s="17" t="inlineStr">
        <is>
          <t>Vols Paris — Asie et Océanie</t>
        </is>
      </c>
      <c r="E349" s="18" t="inlineStr">
        <is>
          <t>Vol Paris – Los Angeles pas cher | Cdiscount Voyages</t>
        </is>
      </c>
      <c r="F349" s="17" t="inlineStr">
        <is>
          <t>Réservez votre vol Paris – Los Angeles au meilleur prix sur Cdiscount Voyages : paiement en 4x sans frais et réservation en ligne simple et rapide.</t>
        </is>
      </c>
      <c r="G349" s="19" t="inlineStr">
        <is>
          <t>https://www.cdiscount.com/voyages/vol/fl-dep-fr/dep-par/par-lax.html</t>
        </is>
      </c>
      <c r="H349" s="20" t="n">
        <v>8297</v>
      </c>
      <c r="I349" s="20" t="n">
        <v>39</v>
      </c>
      <c r="J349" s="21">
        <f>IF(H349=0,0,I349/H349)</f>
        <v/>
      </c>
    </row>
    <row r="350">
      <c r="A350" s="17" t="inlineStr">
        <is>
          <t>Cdiscount Voyages</t>
        </is>
      </c>
      <c r="B350" s="17" t="inlineStr">
        <is>
          <t>Live</t>
        </is>
      </c>
      <c r="C350" s="17" t="inlineStr">
        <is>
          <t>Cdiscount vol 4</t>
        </is>
      </c>
      <c r="D350" s="17" t="inlineStr">
        <is>
          <t>Vols Paris — Afrique et Maghreb</t>
        </is>
      </c>
      <c r="E350" s="18" t="inlineStr">
        <is>
          <t>Vol Paris – Porto pas cher | Cdiscount Voyages</t>
        </is>
      </c>
      <c r="F350" s="17" t="inlineStr">
        <is>
          <t>Réservez votre vol Paris – Porto au meilleur prix sur Cdiscount Voyages : paiement en 4x sans frais et réservation en ligne simple et rapide.</t>
        </is>
      </c>
      <c r="G350" s="19" t="inlineStr">
        <is>
          <t>https://www.cdiscount.com/voyages/vol/fl-dep-fr/dep-par/par-opo.html</t>
        </is>
      </c>
      <c r="H350" s="20" t="n">
        <v>8279</v>
      </c>
      <c r="I350" s="20" t="n">
        <v>48</v>
      </c>
      <c r="J350" s="21">
        <f>IF(H350=0,0,I350/H350)</f>
        <v/>
      </c>
    </row>
    <row r="351">
      <c r="A351" s="17" t="inlineStr">
        <is>
          <t>Cdiscount Voyages</t>
        </is>
      </c>
      <c r="B351" s="17" t="inlineStr">
        <is>
          <t>Live</t>
        </is>
      </c>
      <c r="C351" s="17" t="inlineStr">
        <is>
          <t>Cdiscount vol 4</t>
        </is>
      </c>
      <c r="D351" s="17" t="inlineStr">
        <is>
          <t>Vols Paris — Afrique et Maghreb</t>
        </is>
      </c>
      <c r="E351" s="18" t="inlineStr">
        <is>
          <t>Vol Paris – Pointe-à-Pitre pas cher | Cdiscount Voyages</t>
        </is>
      </c>
      <c r="F351" s="17" t="inlineStr">
        <is>
          <t>Réservez votre vol Paris – Pointe-à-Pitre au meilleur prix sur Cdiscount Voyages : paiement en 4x sans frais et réservation en ligne simple et rapide.</t>
        </is>
      </c>
      <c r="G351" s="19" t="inlineStr">
        <is>
          <t>https://www.cdiscount.com/voyages/vol/fl-dep-fr/dep-par/par-ptp.html</t>
        </is>
      </c>
      <c r="H351" s="20" t="n">
        <v>8275</v>
      </c>
      <c r="I351" s="20" t="n">
        <v>52</v>
      </c>
      <c r="J351" s="21">
        <f>IF(H351=0,0,I351/H351)</f>
        <v/>
      </c>
    </row>
    <row r="352">
      <c r="A352" s="17" t="inlineStr">
        <is>
          <t>Cdiscount Voyages</t>
        </is>
      </c>
      <c r="B352" s="17" t="inlineStr">
        <is>
          <t>Live</t>
        </is>
      </c>
      <c r="C352" s="17" t="inlineStr">
        <is>
          <t>Cdiscount vol 4</t>
        </is>
      </c>
      <c r="D352" s="17" t="inlineStr">
        <is>
          <t>Vols Paris — Afrique et Maghreb</t>
        </is>
      </c>
      <c r="E352" s="18" t="inlineStr">
        <is>
          <t>Vol Paris – Tenerife pas cher | Cdiscount Voyages</t>
        </is>
      </c>
      <c r="F352" s="17" t="inlineStr">
        <is>
          <t>Réservez votre vol Paris – Tenerife au meilleur prix sur Cdiscount Voyages : paiement en 4x sans frais et réservation en ligne simple et rapide.</t>
        </is>
      </c>
      <c r="G352" s="19" t="inlineStr">
        <is>
          <t>https://www.cdiscount.com/voyages/vol/fl-dep-fr/dep-par/par-tci.html</t>
        </is>
      </c>
      <c r="H352" s="20" t="n">
        <v>8272</v>
      </c>
      <c r="I352" s="20" t="n">
        <v>54</v>
      </c>
      <c r="J352" s="21">
        <f>IF(H352=0,0,I352/H352)</f>
        <v/>
      </c>
    </row>
    <row r="353">
      <c r="A353" s="17" t="inlineStr">
        <is>
          <t>Cdiscount Voyages</t>
        </is>
      </c>
      <c r="B353" s="17" t="inlineStr">
        <is>
          <t>Live</t>
        </is>
      </c>
      <c r="C353" s="17" t="inlineStr">
        <is>
          <t>Cdiscount vol 4</t>
        </is>
      </c>
      <c r="D353" s="17" t="inlineStr">
        <is>
          <t>Vols Paris — Asie et Océanie</t>
        </is>
      </c>
      <c r="E353" s="18" t="inlineStr">
        <is>
          <t>Vol Paris – Dakar pas cher | Cdiscount Voyages</t>
        </is>
      </c>
      <c r="F353" s="17" t="inlineStr">
        <is>
          <t>Réservez votre vol Paris – Dakar au meilleur prix sur Cdiscount Voyages : paiement en 4x sans frais et réservation en ligne simple et rapide.</t>
        </is>
      </c>
      <c r="G353" s="19" t="inlineStr">
        <is>
          <t>https://www.cdiscount.com/voyages/vol/fl-dep-fr/dep-par/par-dkr.html</t>
        </is>
      </c>
      <c r="H353" s="20" t="n">
        <v>8271</v>
      </c>
      <c r="I353" s="20" t="n">
        <v>48</v>
      </c>
      <c r="J353" s="21">
        <f>IF(H353=0,0,I353/H353)</f>
        <v/>
      </c>
    </row>
    <row r="354">
      <c r="A354" s="17" t="inlineStr">
        <is>
          <t>Cdiscount Voyages</t>
        </is>
      </c>
      <c r="B354" s="17" t="inlineStr">
        <is>
          <t>Live</t>
        </is>
      </c>
      <c r="C354" s="17" t="inlineStr">
        <is>
          <t>Cdiscount vol 4</t>
        </is>
      </c>
      <c r="D354" s="17" t="inlineStr">
        <is>
          <t>Travel and Tourism</t>
        </is>
      </c>
      <c r="E354" s="18" t="inlineStr">
        <is>
          <t>Vol Paris – Bangkok pas cher | Cdiscount Voyages</t>
        </is>
      </c>
      <c r="F354" s="17" t="inlineStr">
        <is>
          <t>Réservez votre vol Paris – Bangkok au meilleur prix sur Cdiscount Voyages : paiement en 4x sans frais et réservation en ligne simple et rapide.</t>
        </is>
      </c>
      <c r="G354" s="19" t="inlineStr">
        <is>
          <t>https://www.cdiscount.com/voyages/vol/fl-dep-fr/dep-par/par-bkk.html</t>
        </is>
      </c>
      <c r="H354" s="20" t="n">
        <v>8266</v>
      </c>
      <c r="I354" s="20" t="n">
        <v>39</v>
      </c>
      <c r="J354" s="21">
        <f>IF(H354=0,0,I354/H354)</f>
        <v/>
      </c>
    </row>
    <row r="355">
      <c r="A355" s="17" t="inlineStr">
        <is>
          <t>Cdiscount Voyages</t>
        </is>
      </c>
      <c r="B355" s="17" t="inlineStr">
        <is>
          <t>Live</t>
        </is>
      </c>
      <c r="C355" s="17" t="inlineStr">
        <is>
          <t>Cdiscount vol 4</t>
        </is>
      </c>
      <c r="D355" s="17" t="inlineStr">
        <is>
          <t>Vols Paris — Afrique et Maghreb</t>
        </is>
      </c>
      <c r="E355" s="18" t="inlineStr">
        <is>
          <t>Vol Paris – Los Angeles pas cher | Cdiscount Voyages</t>
        </is>
      </c>
      <c r="F355" s="17" t="inlineStr">
        <is>
          <t>Réservez votre vol Paris – Los Angeles au meilleur prix sur Cdiscount Voyages : paiement en 4x sans frais et réservation en ligne simple et rapide.</t>
        </is>
      </c>
      <c r="G355" s="19" t="inlineStr">
        <is>
          <t>https://www.cdiscount.com/voyages/vol/fl-dep-fr/dep-par/par-lax.html</t>
        </is>
      </c>
      <c r="H355" s="20" t="n">
        <v>8264</v>
      </c>
      <c r="I355" s="20" t="n">
        <v>39</v>
      </c>
      <c r="J355" s="21">
        <f>IF(H355=0,0,I355/H355)</f>
        <v/>
      </c>
    </row>
    <row r="356">
      <c r="A356" s="17" t="inlineStr">
        <is>
          <t>Cdiscount Voyages</t>
        </is>
      </c>
      <c r="B356" s="17" t="inlineStr">
        <is>
          <t>Live</t>
        </is>
      </c>
      <c r="C356" s="17" t="inlineStr">
        <is>
          <t>Cdiscount vol 4</t>
        </is>
      </c>
      <c r="D356" s="17" t="inlineStr">
        <is>
          <t>Travel and Tourism</t>
        </is>
      </c>
      <c r="E356" s="18" t="inlineStr">
        <is>
          <t>Vol Nice - Abidjan</t>
        </is>
      </c>
      <c r="F356" s="17" t="inlineStr">
        <is>
          <t>Billet d'avion Nice (France) - Abidjan (Côte d'Ivoire) à partir de 511.79€</t>
        </is>
      </c>
      <c r="G356" s="19" t="inlineStr">
        <is>
          <t>https://www.cdiscount.com/voyages/vol/fl-dep-fr/dep-nce/nce-abj.html</t>
        </is>
      </c>
      <c r="H356" s="20" t="n">
        <v>8253</v>
      </c>
      <c r="I356" s="20" t="n">
        <v>28</v>
      </c>
      <c r="J356" s="21">
        <f>IF(H356=0,0,I356/H356)</f>
        <v/>
      </c>
    </row>
    <row r="357">
      <c r="A357" s="17" t="inlineStr">
        <is>
          <t>Cdiscount Voyages</t>
        </is>
      </c>
      <c r="B357" s="17" t="inlineStr">
        <is>
          <t>Live</t>
        </is>
      </c>
      <c r="C357" s="17" t="inlineStr">
        <is>
          <t>Cdiscount vol 4</t>
        </is>
      </c>
      <c r="D357" s="17" t="inlineStr">
        <is>
          <t>Vols Paris — Afrique et Maghreb</t>
        </is>
      </c>
      <c r="E357" s="18" t="inlineStr">
        <is>
          <t>Vol Marseille - Annaba</t>
        </is>
      </c>
      <c r="F357" s="17" t="inlineStr">
        <is>
          <t>Billet d'avion Marseille (France) - Annaba (Algérie) à partir de 169.59€</t>
        </is>
      </c>
      <c r="G357" s="19" t="inlineStr">
        <is>
          <t>https://www.cdiscount.com/voyages/vol/fl-dep-fr/dep-mrs/mrs-aae.html</t>
        </is>
      </c>
      <c r="H357" s="20" t="n">
        <v>8229</v>
      </c>
      <c r="I357" s="20" t="n">
        <v>43</v>
      </c>
      <c r="J357" s="21">
        <f>IF(H357=0,0,I357/H357)</f>
        <v/>
      </c>
    </row>
    <row r="358">
      <c r="A358" s="17" t="inlineStr">
        <is>
          <t>Cdiscount Voyages</t>
        </is>
      </c>
      <c r="B358" s="17" t="inlineStr">
        <is>
          <t>Live</t>
        </is>
      </c>
      <c r="C358" s="17" t="inlineStr">
        <is>
          <t>Cdiscount vol 4</t>
        </is>
      </c>
      <c r="D358" s="17" t="inlineStr">
        <is>
          <t>Travel and Tourism</t>
        </is>
      </c>
      <c r="E358" s="18" t="inlineStr">
        <is>
          <t>Vol Paris – Istanbul pas cher | Cdiscount Voyages</t>
        </is>
      </c>
      <c r="F358" s="17" t="inlineStr">
        <is>
          <t>Réservez votre vol Paris – Istanbul au meilleur prix sur Cdiscount Voyages : paiement en 4x sans frais et réservation en ligne simple et rapide.</t>
        </is>
      </c>
      <c r="G358" s="19" t="inlineStr">
        <is>
          <t>https://www.cdiscount.com/voyages/vol/fl-dep-fr/dep-par/par-ist.html</t>
        </is>
      </c>
      <c r="H358" s="20" t="n">
        <v>8227</v>
      </c>
      <c r="I358" s="20" t="n">
        <v>51</v>
      </c>
      <c r="J358" s="21">
        <f>IF(H358=0,0,I358/H358)</f>
        <v/>
      </c>
    </row>
    <row r="359">
      <c r="A359" s="17" t="inlineStr">
        <is>
          <t>Cdiscount Voyages</t>
        </is>
      </c>
      <c r="B359" s="17" t="inlineStr">
        <is>
          <t>Live</t>
        </is>
      </c>
      <c r="C359" s="17" t="inlineStr">
        <is>
          <t>Cdiscount vol 4</t>
        </is>
      </c>
      <c r="D359" s="17" t="inlineStr">
        <is>
          <t>Vols Paris — Asie et Océanie</t>
        </is>
      </c>
      <c r="E359" s="18" t="inlineStr">
        <is>
          <t>Vol Paris – Porto pas cher | Cdiscount Voyages</t>
        </is>
      </c>
      <c r="F359" s="17" t="inlineStr">
        <is>
          <t>Réservez votre vol Paris – Porto au meilleur prix sur Cdiscount Voyages : paiement en 4x sans frais et réservation en ligne simple et rapide.</t>
        </is>
      </c>
      <c r="G359" s="19" t="inlineStr">
        <is>
          <t>https://www.cdiscount.com/voyages/vol/fl-dep-fr/dep-par/par-opo.html</t>
        </is>
      </c>
      <c r="H359" s="20" t="n">
        <v>8225</v>
      </c>
      <c r="I359" s="20" t="n">
        <v>39</v>
      </c>
      <c r="J359" s="21">
        <f>IF(H359=0,0,I359/H359)</f>
        <v/>
      </c>
    </row>
    <row r="360">
      <c r="A360" s="17" t="inlineStr">
        <is>
          <t>Cdiscount Voyages</t>
        </is>
      </c>
      <c r="B360" s="17" t="inlineStr">
        <is>
          <t>Live</t>
        </is>
      </c>
      <c r="C360" s="17" t="inlineStr">
        <is>
          <t>Cdiscount vol 4</t>
        </is>
      </c>
      <c r="D360" s="17" t="inlineStr">
        <is>
          <t>Vols Paris — Afrique et Maghreb</t>
        </is>
      </c>
      <c r="E360" s="18" t="inlineStr">
        <is>
          <t>Vol Paris – Fort-de-France pas cher | Cdiscount Voyages</t>
        </is>
      </c>
      <c r="F360" s="17" t="inlineStr">
        <is>
          <t>Réservez votre vol Paris – Fort-de-France au meilleur prix sur Cdiscount Voyages : paiement en 4x sans frais et réservation en ligne simple et rapide.</t>
        </is>
      </c>
      <c r="G360" s="19" t="inlineStr">
        <is>
          <t>https://www.cdiscount.com/voyages/vol/fl-dep-fr/dep-par/par-fdf.html</t>
        </is>
      </c>
      <c r="H360" s="20" t="n">
        <v>8223</v>
      </c>
      <c r="I360" s="20" t="n">
        <v>55</v>
      </c>
      <c r="J360" s="21">
        <f>IF(H360=0,0,I360/H360)</f>
        <v/>
      </c>
    </row>
    <row r="361">
      <c r="A361" s="17" t="inlineStr">
        <is>
          <t>Cdiscount Voyages</t>
        </is>
      </c>
      <c r="B361" s="17" t="inlineStr">
        <is>
          <t>Live</t>
        </is>
      </c>
      <c r="C361" s="17" t="inlineStr">
        <is>
          <t>Cdiscount vol 4</t>
        </is>
      </c>
      <c r="D361" s="17" t="inlineStr">
        <is>
          <t>Vols Paris — Asie et Océanie</t>
        </is>
      </c>
      <c r="E361" s="18" t="inlineStr">
        <is>
          <t>Vol Paris – Tenerife pas cher | Cdiscount Voyages</t>
        </is>
      </c>
      <c r="F361" s="17" t="inlineStr">
        <is>
          <t>Réservez votre vol Paris – Tenerife au meilleur prix sur Cdiscount Voyages : paiement en 4x sans frais et réservation en ligne simple et rapide.</t>
        </is>
      </c>
      <c r="G361" s="19" t="inlineStr">
        <is>
          <t>https://www.cdiscount.com/voyages/vol/fl-dep-fr/dep-par/par-tci.html</t>
        </is>
      </c>
      <c r="H361" s="20" t="n">
        <v>8221</v>
      </c>
      <c r="I361" s="20" t="n">
        <v>45</v>
      </c>
      <c r="J361" s="21">
        <f>IF(H361=0,0,I361/H361)</f>
        <v/>
      </c>
    </row>
    <row r="362">
      <c r="A362" s="17" t="inlineStr">
        <is>
          <t>Cdiscount Voyages</t>
        </is>
      </c>
      <c r="B362" s="17" t="inlineStr">
        <is>
          <t>Live</t>
        </is>
      </c>
      <c r="C362" s="17" t="inlineStr">
        <is>
          <t>Cdiscount vol 4</t>
        </is>
      </c>
      <c r="D362" s="17" t="inlineStr">
        <is>
          <t>Travel and Tourism</t>
        </is>
      </c>
      <c r="E362" s="18" t="inlineStr">
        <is>
          <t>Vol Marseille - Accra</t>
        </is>
      </c>
      <c r="F362" s="17" t="inlineStr">
        <is>
          <t>Billet d'avion Marseille (France) - Accra (Ghana) à partir de 821.46€</t>
        </is>
      </c>
      <c r="G362" s="19" t="inlineStr">
        <is>
          <t>https://www.cdiscount.com/voyages/vol/fl-dep-fr/dep-mrs/mrs-acc.html</t>
        </is>
      </c>
      <c r="H362" s="20" t="n">
        <v>8214</v>
      </c>
      <c r="I362" s="20" t="n">
        <v>40</v>
      </c>
      <c r="J362" s="21">
        <f>IF(H362=0,0,I362/H362)</f>
        <v/>
      </c>
    </row>
    <row r="363">
      <c r="A363" s="17" t="inlineStr">
        <is>
          <t>Cdiscount Voyages</t>
        </is>
      </c>
      <c r="B363" s="17" t="inlineStr">
        <is>
          <t>Live</t>
        </is>
      </c>
      <c r="C363" s="17" t="inlineStr">
        <is>
          <t>Cdiscount vol 4</t>
        </is>
      </c>
      <c r="D363" s="17" t="inlineStr">
        <is>
          <t>Travel and Tourism</t>
        </is>
      </c>
      <c r="E363" s="18" t="inlineStr">
        <is>
          <t>Vol Paris – Miami pas cher | Cdiscount Voyages</t>
        </is>
      </c>
      <c r="F363" s="17" t="inlineStr">
        <is>
          <t>Réservez votre vol Paris – Miami au meilleur prix sur Cdiscount Voyages : paiement en 4x sans frais et réservation en ligne simple et rapide.</t>
        </is>
      </c>
      <c r="G363" s="19" t="inlineStr">
        <is>
          <t>https://www.cdiscount.com/voyages/vol/fl-dep-fr/dep-par/par-mia.html</t>
        </is>
      </c>
      <c r="H363" s="20" t="n">
        <v>8213</v>
      </c>
      <c r="I363" s="20" t="n">
        <v>30</v>
      </c>
      <c r="J363" s="21">
        <f>IF(H363=0,0,I363/H363)</f>
        <v/>
      </c>
    </row>
    <row r="364">
      <c r="A364" s="17" t="inlineStr">
        <is>
          <t>Cdiscount Voyages</t>
        </is>
      </c>
      <c r="B364" s="17" t="inlineStr">
        <is>
          <t>Live</t>
        </is>
      </c>
      <c r="C364" s="17" t="inlineStr">
        <is>
          <t>Cdiscount vol 4</t>
        </is>
      </c>
      <c r="D364" s="17" t="inlineStr">
        <is>
          <t>Travel and Tourism</t>
        </is>
      </c>
      <c r="E364" s="18" t="inlineStr">
        <is>
          <t>Vol Paris – São Paulo pas cher | Cdiscount Voyages</t>
        </is>
      </c>
      <c r="F364" s="17" t="inlineStr">
        <is>
          <t>Réservez votre vol Paris – São Paulo au meilleur prix sur Cdiscount Voyages : paiement en 4x sans frais et réservation en ligne simple et rapide.</t>
        </is>
      </c>
      <c r="G364" s="19" t="inlineStr">
        <is>
          <t>https://www.cdiscount.com/voyages/vol/fl-dep-fr/dep-par/par-sao.html</t>
        </is>
      </c>
      <c r="H364" s="20" t="n">
        <v>8212</v>
      </c>
      <c r="I364" s="20" t="n">
        <v>41</v>
      </c>
      <c r="J364" s="21">
        <f>IF(H364=0,0,I364/H364)</f>
        <v/>
      </c>
    </row>
    <row r="365">
      <c r="A365" s="17" t="inlineStr">
        <is>
          <t>Cdiscount Voyages</t>
        </is>
      </c>
      <c r="B365" s="17" t="inlineStr">
        <is>
          <t>Live</t>
        </is>
      </c>
      <c r="C365" s="17" t="inlineStr">
        <is>
          <t>Cdiscount vol 4</t>
        </is>
      </c>
      <c r="D365" s="17" t="inlineStr">
        <is>
          <t>Vols Paris — Asie et Océanie</t>
        </is>
      </c>
      <c r="E365" s="18" t="inlineStr">
        <is>
          <t>Vol Paris – Istanbul pas cher | Cdiscount Voyages</t>
        </is>
      </c>
      <c r="F365" s="17" t="inlineStr">
        <is>
          <t>Réservez votre vol Paris – Istanbul au meilleur prix sur Cdiscount Voyages : paiement en 4x sans frais et réservation en ligne simple et rapide.</t>
        </is>
      </c>
      <c r="G365" s="19" t="inlineStr">
        <is>
          <t>https://www.cdiscount.com/voyages/vol/fl-dep-fr/dep-par/par-ist.html</t>
        </is>
      </c>
      <c r="H365" s="20" t="n">
        <v>8212</v>
      </c>
      <c r="I365" s="20" t="n">
        <v>38</v>
      </c>
      <c r="J365" s="21">
        <f>IF(H365=0,0,I365/H365)</f>
        <v/>
      </c>
    </row>
    <row r="366">
      <c r="A366" s="17" t="inlineStr">
        <is>
          <t>Cdiscount Voyages</t>
        </is>
      </c>
      <c r="B366" s="17" t="inlineStr">
        <is>
          <t>Live</t>
        </is>
      </c>
      <c r="C366" s="17" t="inlineStr">
        <is>
          <t>Cdiscount vol 4</t>
        </is>
      </c>
      <c r="D366" s="17" t="inlineStr">
        <is>
          <t>Vols Paris — Asie et Océanie</t>
        </is>
      </c>
      <c r="E366" s="18" t="inlineStr">
        <is>
          <t>Vol Paris – Rome pas cher | Cdiscount Voyages</t>
        </is>
      </c>
      <c r="F366" s="17" t="inlineStr">
        <is>
          <t>Réservez votre vol Paris – Rome au meilleur prix sur Cdiscount Voyages : paiement en 4x sans frais et réservation en ligne simple et rapide.</t>
        </is>
      </c>
      <c r="G366" s="19" t="inlineStr">
        <is>
          <t>https://www.cdiscount.com/voyages/vol/fl-dep-fr/dep-par/par-rom.html</t>
        </is>
      </c>
      <c r="H366" s="20" t="n">
        <v>8207</v>
      </c>
      <c r="I366" s="20" t="n">
        <v>45</v>
      </c>
      <c r="J366" s="21">
        <f>IF(H366=0,0,I366/H366)</f>
        <v/>
      </c>
    </row>
    <row r="367">
      <c r="A367" s="17" t="inlineStr">
        <is>
          <t>Cdiscount Voyages</t>
        </is>
      </c>
      <c r="B367" s="17" t="inlineStr">
        <is>
          <t>Live</t>
        </is>
      </c>
      <c r="C367" s="17" t="inlineStr">
        <is>
          <t>Cdiscount vol 4</t>
        </is>
      </c>
      <c r="D367" s="17" t="inlineStr">
        <is>
          <t>Vols Paris — Asie et Océanie</t>
        </is>
      </c>
      <c r="E367" s="18" t="inlineStr">
        <is>
          <t>Vol Paris – Barcelone pas cher | Cdiscount Voyages</t>
        </is>
      </c>
      <c r="F367" s="17" t="inlineStr">
        <is>
          <t>Réservez votre vol Paris – Barcelone au meilleur prix sur Cdiscount Voyages : paiement en 4x sans frais et réservation en ligne simple et rapide.</t>
        </is>
      </c>
      <c r="G367" s="19" t="inlineStr">
        <is>
          <t>https://www.cdiscount.com/voyages/vol/fl-dep-fr/dep-par/par-bcn.html</t>
        </is>
      </c>
      <c r="H367" s="20" t="n">
        <v>8187</v>
      </c>
      <c r="I367" s="20" t="n">
        <v>44</v>
      </c>
      <c r="J367" s="21">
        <f>IF(H367=0,0,I367/H367)</f>
        <v/>
      </c>
    </row>
    <row r="368">
      <c r="A368" s="17" t="inlineStr">
        <is>
          <t>Cdiscount Voyages</t>
        </is>
      </c>
      <c r="B368" s="17" t="inlineStr">
        <is>
          <t>Live</t>
        </is>
      </c>
      <c r="C368" s="17" t="inlineStr">
        <is>
          <t>Cdiscount vol 4</t>
        </is>
      </c>
      <c r="D368" s="17" t="inlineStr">
        <is>
          <t>Vols Paris — Afrique et Maghreb</t>
        </is>
      </c>
      <c r="E368" s="18" t="inlineStr">
        <is>
          <t>Vol Paris – Rome pas cher | Cdiscount Voyages</t>
        </is>
      </c>
      <c r="F368" s="17" t="inlineStr">
        <is>
          <t>Réservez votre vol Paris – Rome au meilleur prix sur Cdiscount Voyages : paiement en 4x sans frais et réservation en ligne simple et rapide.</t>
        </is>
      </c>
      <c r="G368" s="19" t="inlineStr">
        <is>
          <t>https://www.cdiscount.com/voyages/vol/fl-dep-fr/dep-par/par-rom.html</t>
        </is>
      </c>
      <c r="H368" s="20" t="n">
        <v>8186</v>
      </c>
      <c r="I368" s="20" t="n">
        <v>46</v>
      </c>
      <c r="J368" s="21">
        <f>IF(H368=0,0,I368/H368)</f>
        <v/>
      </c>
    </row>
    <row r="369">
      <c r="A369" s="17" t="inlineStr">
        <is>
          <t>Cdiscount Voyages</t>
        </is>
      </c>
      <c r="B369" s="17" t="inlineStr">
        <is>
          <t>Live</t>
        </is>
      </c>
      <c r="C369" s="17" t="inlineStr">
        <is>
          <t>Cdiscount vol 4</t>
        </is>
      </c>
      <c r="D369" s="17" t="inlineStr">
        <is>
          <t>Vols Paris — Asie et Océanie</t>
        </is>
      </c>
      <c r="E369" s="18" t="inlineStr">
        <is>
          <t>Vol Paris – São Paulo pas cher | Cdiscount Voyages</t>
        </is>
      </c>
      <c r="F369" s="17" t="inlineStr">
        <is>
          <t>Réservez votre vol Paris – São Paulo au meilleur prix sur Cdiscount Voyages : paiement en 4x sans frais et réservation en ligne simple et rapide.</t>
        </is>
      </c>
      <c r="G369" s="19" t="inlineStr">
        <is>
          <t>https://www.cdiscount.com/voyages/vol/fl-dep-fr/dep-par/par-sao.html</t>
        </is>
      </c>
      <c r="H369" s="20" t="n">
        <v>8186</v>
      </c>
      <c r="I369" s="20" t="n">
        <v>39</v>
      </c>
      <c r="J369" s="21">
        <f>IF(H369=0,0,I369/H369)</f>
        <v/>
      </c>
    </row>
    <row r="370">
      <c r="A370" s="17" t="inlineStr">
        <is>
          <t>Cdiscount Voyages</t>
        </is>
      </c>
      <c r="B370" s="17" t="inlineStr">
        <is>
          <t>Live</t>
        </is>
      </c>
      <c r="C370" s="17" t="inlineStr">
        <is>
          <t>Cdiscount vol 4</t>
        </is>
      </c>
      <c r="D370" s="17" t="inlineStr">
        <is>
          <t>Travel and Tourism</t>
        </is>
      </c>
      <c r="E370" s="18" t="inlineStr">
        <is>
          <t>Vol Paris – Los Angeles pas cher | Cdiscount Voyages</t>
        </is>
      </c>
      <c r="F370" s="17" t="inlineStr">
        <is>
          <t>Réservez votre vol Paris – Los Angeles au meilleur prix sur Cdiscount Voyages : paiement en 4x sans frais et réservation en ligne simple et rapide.</t>
        </is>
      </c>
      <c r="G370" s="19" t="inlineStr">
        <is>
          <t>https://www.cdiscount.com/voyages/vol/fl-dep-fr/dep-par/par-lax.html</t>
        </is>
      </c>
      <c r="H370" s="20" t="n">
        <v>8184</v>
      </c>
      <c r="I370" s="20" t="n">
        <v>30</v>
      </c>
      <c r="J370" s="21">
        <f>IF(H370=0,0,I370/H370)</f>
        <v/>
      </c>
    </row>
    <row r="371">
      <c r="A371" s="17" t="inlineStr">
        <is>
          <t>Cdiscount Voyages</t>
        </is>
      </c>
      <c r="B371" s="17" t="inlineStr">
        <is>
          <t>Live</t>
        </is>
      </c>
      <c r="C371" s="17" t="inlineStr">
        <is>
          <t>Cdiscount vol 4</t>
        </is>
      </c>
      <c r="D371" s="17" t="inlineStr">
        <is>
          <t>Vols Paris — Afrique et Maghreb</t>
        </is>
      </c>
      <c r="E371" s="18" t="inlineStr">
        <is>
          <t>Vol Paris – Istanbul pas cher | Cdiscount Voyages</t>
        </is>
      </c>
      <c r="F371" s="17" t="inlineStr">
        <is>
          <t>Réservez votre vol Paris – Istanbul au meilleur prix sur Cdiscount Voyages : paiement en 4x sans frais et réservation en ligne simple et rapide.</t>
        </is>
      </c>
      <c r="G371" s="19" t="inlineStr">
        <is>
          <t>https://www.cdiscount.com/voyages/vol/fl-dep-fr/dep-par/par-ist.html</t>
        </is>
      </c>
      <c r="H371" s="20" t="n">
        <v>8183</v>
      </c>
      <c r="I371" s="20" t="n">
        <v>43</v>
      </c>
      <c r="J371" s="21">
        <f>IF(H371=0,0,I371/H371)</f>
        <v/>
      </c>
    </row>
    <row r="372">
      <c r="A372" s="17" t="inlineStr">
        <is>
          <t>Cdiscount Voyages</t>
        </is>
      </c>
      <c r="B372" s="17" t="inlineStr">
        <is>
          <t>Live</t>
        </is>
      </c>
      <c r="C372" s="17" t="inlineStr">
        <is>
          <t>Cdiscount vol 4</t>
        </is>
      </c>
      <c r="D372" s="17" t="inlineStr">
        <is>
          <t>Vols Paris — Afrique et Maghreb</t>
        </is>
      </c>
      <c r="E372" s="18" t="inlineStr">
        <is>
          <t>Vol Paris – Barcelone pas cher | Cdiscount Voyages</t>
        </is>
      </c>
      <c r="F372" s="17" t="inlineStr">
        <is>
          <t>Réservez votre vol Paris – Barcelone au meilleur prix sur Cdiscount Voyages : paiement en 4x sans frais et réservation en ligne simple et rapide.</t>
        </is>
      </c>
      <c r="G372" s="19" t="inlineStr">
        <is>
          <t>https://www.cdiscount.com/voyages/vol/fl-dep-fr/dep-par/par-bcn.html</t>
        </is>
      </c>
      <c r="H372" s="20" t="n">
        <v>8181</v>
      </c>
      <c r="I372" s="20" t="n">
        <v>48</v>
      </c>
      <c r="J372" s="21">
        <f>IF(H372=0,0,I372/H372)</f>
        <v/>
      </c>
    </row>
    <row r="373">
      <c r="A373" s="17" t="inlineStr">
        <is>
          <t>Cdiscount Voyages</t>
        </is>
      </c>
      <c r="B373" s="17" t="inlineStr">
        <is>
          <t>Live</t>
        </is>
      </c>
      <c r="C373" s="17" t="inlineStr">
        <is>
          <t>Cdiscount vol 4</t>
        </is>
      </c>
      <c r="D373" s="17" t="inlineStr">
        <is>
          <t>Vols Paris — Asie et Océanie</t>
        </is>
      </c>
      <c r="E373" s="18" t="inlineStr">
        <is>
          <t>Vol Paris – Lisbonne pas cher | Cdiscount Voyages</t>
        </is>
      </c>
      <c r="F373" s="17" t="inlineStr">
        <is>
          <t>Réservez votre vol Paris – Lisbonne au meilleur prix sur Cdiscount Voyages : paiement en 4x sans frais et réservation en ligne simple et rapide.</t>
        </is>
      </c>
      <c r="G373" s="19" t="inlineStr">
        <is>
          <t>https://www.cdiscount.com/voyages/vol/fl-dep-fr/dep-par/par-lis.html</t>
        </is>
      </c>
      <c r="H373" s="20" t="n">
        <v>8180</v>
      </c>
      <c r="I373" s="20" t="n">
        <v>37</v>
      </c>
      <c r="J373" s="21">
        <f>IF(H373=0,0,I373/H373)</f>
        <v/>
      </c>
    </row>
    <row r="374">
      <c r="A374" s="17" t="inlineStr">
        <is>
          <t>Cdiscount Voyages</t>
        </is>
      </c>
      <c r="B374" s="17" t="inlineStr">
        <is>
          <t>Live</t>
        </is>
      </c>
      <c r="C374" s="17" t="inlineStr">
        <is>
          <t>Cdiscount vol 4</t>
        </is>
      </c>
      <c r="D374" s="17" t="inlineStr">
        <is>
          <t>Vols Paris — Afrique et Maghreb</t>
        </is>
      </c>
      <c r="E374" s="18" t="inlineStr">
        <is>
          <t>Vol Paris – Montréal pas cher | Cdiscount Voyages</t>
        </is>
      </c>
      <c r="F374" s="17" t="inlineStr">
        <is>
          <t>Réservez votre vol Paris – Montréal au meilleur prix sur Cdiscount Voyages : paiement en 4x sans frais et réservation en ligne simple et rapide.</t>
        </is>
      </c>
      <c r="G374" s="19" t="inlineStr">
        <is>
          <t>https://www.cdiscount.com/voyages/vol/fl-dep-fr/dep-par/par-ymq.html</t>
        </is>
      </c>
      <c r="H374" s="20" t="n">
        <v>8178</v>
      </c>
      <c r="I374" s="20" t="n">
        <v>56</v>
      </c>
      <c r="J374" s="21">
        <f>IF(H374=0,0,I374/H374)</f>
        <v/>
      </c>
    </row>
    <row r="375">
      <c r="A375" s="17" t="inlineStr">
        <is>
          <t>Cdiscount Voyages</t>
        </is>
      </c>
      <c r="B375" s="17" t="inlineStr">
        <is>
          <t>Live</t>
        </is>
      </c>
      <c r="C375" s="17" t="inlineStr">
        <is>
          <t>Cdiscount vol 4</t>
        </is>
      </c>
      <c r="D375" s="17" t="inlineStr">
        <is>
          <t>Vols Paris — Afrique et Maghreb</t>
        </is>
      </c>
      <c r="E375" s="18" t="inlineStr">
        <is>
          <t>Vol Paris – Londres pas cher | Cdiscount Voyages</t>
        </is>
      </c>
      <c r="F375" s="17" t="inlineStr">
        <is>
          <t>Réservez votre vol Paris – Londres au meilleur prix sur Cdiscount Voyages : paiement en 4x sans frais et réservation en ligne simple et rapide.</t>
        </is>
      </c>
      <c r="G375" s="19" t="inlineStr">
        <is>
          <t>https://www.cdiscount.com/voyages/vol/fl-dep-fr/dep-par/par-lon.html</t>
        </is>
      </c>
      <c r="H375" s="20" t="n">
        <v>8167</v>
      </c>
      <c r="I375" s="20" t="n">
        <v>32</v>
      </c>
      <c r="J375" s="21">
        <f>IF(H375=0,0,I375/H375)</f>
        <v/>
      </c>
    </row>
    <row r="376">
      <c r="A376" s="17" t="inlineStr">
        <is>
          <t>Cdiscount Voyages</t>
        </is>
      </c>
      <c r="B376" s="17" t="inlineStr">
        <is>
          <t>Live</t>
        </is>
      </c>
      <c r="C376" s="17" t="inlineStr">
        <is>
          <t>Cdiscount vol 4</t>
        </is>
      </c>
      <c r="D376" s="17" t="inlineStr">
        <is>
          <t>Vols Paris — Afrique et Maghreb</t>
        </is>
      </c>
      <c r="E376" s="18" t="inlineStr">
        <is>
          <t>Vol Paris – Punta Cana pas cher | Cdiscount Voyages</t>
        </is>
      </c>
      <c r="F376" s="17" t="inlineStr">
        <is>
          <t>Réservez votre vol Paris – Punta Cana au meilleur prix sur Cdiscount Voyages : paiement en 4x sans frais et réservation en ligne simple et rapide.</t>
        </is>
      </c>
      <c r="G376" s="19" t="inlineStr">
        <is>
          <t>https://www.cdiscount.com/voyages/vol/fl-dep-fr/dep-par/par-puj.html</t>
        </is>
      </c>
      <c r="H376" s="20" t="n">
        <v>8165</v>
      </c>
      <c r="I376" s="20" t="n">
        <v>44</v>
      </c>
      <c r="J376" s="21">
        <f>IF(H376=0,0,I376/H376)</f>
        <v/>
      </c>
    </row>
    <row r="377">
      <c r="A377" s="17" t="inlineStr">
        <is>
          <t>Cdiscount Voyages</t>
        </is>
      </c>
      <c r="B377" s="17" t="inlineStr">
        <is>
          <t>Live</t>
        </is>
      </c>
      <c r="C377" s="17" t="inlineStr">
        <is>
          <t>Cdiscount vol 4</t>
        </is>
      </c>
      <c r="D377" s="17" t="inlineStr">
        <is>
          <t>Vols Paris — Asie et Océanie</t>
        </is>
      </c>
      <c r="E377" s="18" t="inlineStr">
        <is>
          <t>Vol Paris – Marrakech pas cher | Cdiscount Voyages</t>
        </is>
      </c>
      <c r="F377" s="17" t="inlineStr">
        <is>
          <t>Réservez votre vol Paris – Marrakech au meilleur prix sur Cdiscount Voyages : paiement en 4x sans frais et réservation en ligne simple et rapide.</t>
        </is>
      </c>
      <c r="G377" s="19" t="inlineStr">
        <is>
          <t>https://www.cdiscount.com/voyages/vol/fl-dep-fr/dep-par/par-rak.html</t>
        </is>
      </c>
      <c r="H377" s="20" t="n">
        <v>8151</v>
      </c>
      <c r="I377" s="20" t="n">
        <v>54</v>
      </c>
      <c r="J377" s="21">
        <f>IF(H377=0,0,I377/H377)</f>
        <v/>
      </c>
    </row>
    <row r="378">
      <c r="A378" s="17" t="inlineStr">
        <is>
          <t>Cdiscount Voyages</t>
        </is>
      </c>
      <c r="B378" s="17" t="inlineStr">
        <is>
          <t>Live</t>
        </is>
      </c>
      <c r="C378" s="17" t="inlineStr">
        <is>
          <t>Cdiscount vol 4</t>
        </is>
      </c>
      <c r="D378" s="17" t="inlineStr">
        <is>
          <t>Vols Paris — Asie et Océanie</t>
        </is>
      </c>
      <c r="E378" s="18" t="inlineStr">
        <is>
          <t>Vol Paris – New York pas cher | Cdiscount Voyages</t>
        </is>
      </c>
      <c r="F378" s="17" t="inlineStr">
        <is>
          <t>Réservez votre vol Paris – New York au meilleur prix sur Cdiscount Voyages : paiement en 4x sans frais et réservation en ligne simple et rapide.</t>
        </is>
      </c>
      <c r="G378" s="19" t="inlineStr">
        <is>
          <t>https://www.cdiscount.com/voyages/vol/fl-dep-fr/dep-par/par-nyc.html</t>
        </is>
      </c>
      <c r="H378" s="20" t="n">
        <v>8150</v>
      </c>
      <c r="I378" s="20" t="n">
        <v>52</v>
      </c>
      <c r="J378" s="21">
        <f>IF(H378=0,0,I378/H378)</f>
        <v/>
      </c>
    </row>
    <row r="379">
      <c r="A379" s="17" t="inlineStr">
        <is>
          <t>Cdiscount Voyages</t>
        </is>
      </c>
      <c r="B379" s="17" t="inlineStr">
        <is>
          <t>Live</t>
        </is>
      </c>
      <c r="C379" s="17" t="inlineStr">
        <is>
          <t>Cdiscount vol 4</t>
        </is>
      </c>
      <c r="D379" s="17" t="inlineStr">
        <is>
          <t>Vols Paris — Afrique et Maghreb</t>
        </is>
      </c>
      <c r="E379" s="18" t="inlineStr">
        <is>
          <t>Vol Paris – Tokyo pas cher | Cdiscount Voyages</t>
        </is>
      </c>
      <c r="F379" s="17" t="inlineStr">
        <is>
          <t>Réservez votre vol Paris – Tokyo au meilleur prix sur Cdiscount Voyages : paiement en 4x sans frais et réservation en ligne simple et rapide.</t>
        </is>
      </c>
      <c r="G379" s="19" t="inlineStr">
        <is>
          <t>https://www.cdiscount.com/voyages/vol/fl-dep-fr/dep-par/par-tyo.html</t>
        </is>
      </c>
      <c r="H379" s="20" t="n">
        <v>8141</v>
      </c>
      <c r="I379" s="20" t="n">
        <v>58</v>
      </c>
      <c r="J379" s="21">
        <f>IF(H379=0,0,I379/H379)</f>
        <v/>
      </c>
    </row>
    <row r="380">
      <c r="A380" s="17" t="inlineStr">
        <is>
          <t>Cdiscount Voyages</t>
        </is>
      </c>
      <c r="B380" s="17" t="inlineStr">
        <is>
          <t>Live</t>
        </is>
      </c>
      <c r="C380" s="17" t="inlineStr">
        <is>
          <t>Cdiscount vol 4</t>
        </is>
      </c>
      <c r="D380" s="17" t="inlineStr">
        <is>
          <t>Vols Paris — Asie et Océanie</t>
        </is>
      </c>
      <c r="E380" s="18" t="inlineStr">
        <is>
          <t>Vol Paris – Athènes pas cher | Cdiscount Voyages</t>
        </is>
      </c>
      <c r="F380" s="17" t="inlineStr">
        <is>
          <t>Réservez votre vol Paris – Athènes au meilleur prix sur Cdiscount Voyages : paiement en 4x sans frais et réservation en ligne simple et rapide.</t>
        </is>
      </c>
      <c r="G380" s="19" t="inlineStr">
        <is>
          <t>https://www.cdiscount.com/voyages/vol/fl-dep-fr/dep-par/par-ath.html</t>
        </is>
      </c>
      <c r="H380" s="20" t="n">
        <v>8141</v>
      </c>
      <c r="I380" s="20" t="n">
        <v>39</v>
      </c>
      <c r="J380" s="21">
        <f>IF(H380=0,0,I380/H380)</f>
        <v/>
      </c>
    </row>
    <row r="381">
      <c r="A381" s="17" t="inlineStr">
        <is>
          <t>Cdiscount Voyages</t>
        </is>
      </c>
      <c r="B381" s="17" t="inlineStr">
        <is>
          <t>Live</t>
        </is>
      </c>
      <c r="C381" s="17" t="inlineStr">
        <is>
          <t>Cdiscount vol 4</t>
        </is>
      </c>
      <c r="D381" s="17" t="inlineStr">
        <is>
          <t>Vols Paris — Afrique et Maghreb</t>
        </is>
      </c>
      <c r="E381" s="18" t="inlineStr">
        <is>
          <t>Vol Paris – Shanghai pas cher | Cdiscount Voyages</t>
        </is>
      </c>
      <c r="F381" s="17" t="inlineStr">
        <is>
          <t>Réservez votre vol Paris – Shanghai au meilleur prix sur Cdiscount Voyages : paiement en 4x sans frais et réservation en ligne simple et rapide.</t>
        </is>
      </c>
      <c r="G381" s="19" t="inlineStr">
        <is>
          <t>https://www.cdiscount.com/voyages/vol/fl-dep-fr/dep-par/par-sha.html</t>
        </is>
      </c>
      <c r="H381" s="20" t="n">
        <v>8140</v>
      </c>
      <c r="I381" s="20" t="n">
        <v>47</v>
      </c>
      <c r="J381" s="21">
        <f>IF(H381=0,0,I381/H381)</f>
        <v/>
      </c>
    </row>
    <row r="382">
      <c r="A382" s="17" t="inlineStr">
        <is>
          <t>Cdiscount Voyages</t>
        </is>
      </c>
      <c r="B382" s="17" t="inlineStr">
        <is>
          <t>Live</t>
        </is>
      </c>
      <c r="C382" s="17" t="inlineStr">
        <is>
          <t>Cdiscount vol 4</t>
        </is>
      </c>
      <c r="D382" s="17" t="inlineStr">
        <is>
          <t>Vols Paris — Afrique et Maghreb</t>
        </is>
      </c>
      <c r="E382" s="18" t="inlineStr">
        <is>
          <t>Vol Paris – Lisbonne pas cher | Cdiscount Voyages</t>
        </is>
      </c>
      <c r="F382" s="17" t="inlineStr">
        <is>
          <t>Réservez votre vol Paris – Lisbonne au meilleur prix sur Cdiscount Voyages : paiement en 4x sans frais et réservation en ligne simple et rapide.</t>
        </is>
      </c>
      <c r="G382" s="19" t="inlineStr">
        <is>
          <t>https://www.cdiscount.com/voyages/vol/fl-dep-fr/dep-par/par-lis.html</t>
        </is>
      </c>
      <c r="H382" s="20" t="n">
        <v>8138</v>
      </c>
      <c r="I382" s="20" t="n">
        <v>41</v>
      </c>
      <c r="J382" s="21">
        <f>IF(H382=0,0,I382/H382)</f>
        <v/>
      </c>
    </row>
    <row r="383">
      <c r="A383" s="17" t="inlineStr">
        <is>
          <t>Cdiscount Voyages</t>
        </is>
      </c>
      <c r="B383" s="17" t="inlineStr">
        <is>
          <t>Live</t>
        </is>
      </c>
      <c r="C383" s="17" t="inlineStr">
        <is>
          <t>Cdiscount vol 4</t>
        </is>
      </c>
      <c r="D383" s="17" t="inlineStr">
        <is>
          <t>Vols Paris — Asie et Océanie</t>
        </is>
      </c>
      <c r="E383" s="18" t="inlineStr">
        <is>
          <t>Vol Paris – Montréal pas cher | Cdiscount Voyages</t>
        </is>
      </c>
      <c r="F383" s="17" t="inlineStr">
        <is>
          <t>Réservez votre vol Paris – Montréal au meilleur prix sur Cdiscount Voyages : paiement en 4x sans frais et réservation en ligne simple et rapide.</t>
        </is>
      </c>
      <c r="G383" s="19" t="inlineStr">
        <is>
          <t>https://www.cdiscount.com/voyages/vol/fl-dep-fr/dep-par/par-ymq.html</t>
        </is>
      </c>
      <c r="H383" s="20" t="n">
        <v>8138</v>
      </c>
      <c r="I383" s="20" t="n">
        <v>40</v>
      </c>
      <c r="J383" s="21">
        <f>IF(H383=0,0,I383/H383)</f>
        <v/>
      </c>
    </row>
    <row r="384">
      <c r="A384" s="17" t="inlineStr">
        <is>
          <t>Cdiscount Voyages</t>
        </is>
      </c>
      <c r="B384" s="17" t="inlineStr">
        <is>
          <t>Live</t>
        </is>
      </c>
      <c r="C384" s="17" t="inlineStr">
        <is>
          <t>Cdiscount vol 4</t>
        </is>
      </c>
      <c r="D384" s="17" t="inlineStr">
        <is>
          <t>Vols Paris — Asie et Océanie</t>
        </is>
      </c>
      <c r="E384" s="18" t="inlineStr">
        <is>
          <t>Vol Paris – Punta Cana pas cher | Cdiscount Voyages</t>
        </is>
      </c>
      <c r="F384" s="17" t="inlineStr">
        <is>
          <t>Réservez votre vol Paris – Punta Cana au meilleur prix sur Cdiscount Voyages : paiement en 4x sans frais et réservation en ligne simple et rapide.</t>
        </is>
      </c>
      <c r="G384" s="19" t="inlineStr">
        <is>
          <t>https://www.cdiscount.com/voyages/vol/fl-dep-fr/dep-par/par-puj.html</t>
        </is>
      </c>
      <c r="H384" s="20" t="n">
        <v>8137</v>
      </c>
      <c r="I384" s="20" t="n">
        <v>41</v>
      </c>
      <c r="J384" s="21">
        <f>IF(H384=0,0,I384/H384)</f>
        <v/>
      </c>
    </row>
    <row r="385">
      <c r="A385" s="17" t="inlineStr">
        <is>
          <t>Cdiscount Voyages</t>
        </is>
      </c>
      <c r="B385" s="17" t="inlineStr">
        <is>
          <t>Live</t>
        </is>
      </c>
      <c r="C385" s="17" t="inlineStr">
        <is>
          <t>Cdiscount vol 4</t>
        </is>
      </c>
      <c r="D385" s="17" t="inlineStr">
        <is>
          <t>Vols Paris — Afrique et Maghreb</t>
        </is>
      </c>
      <c r="E385" s="18" t="inlineStr">
        <is>
          <t>Vol Paris – Bali pas cher | Cdiscount Voyages</t>
        </is>
      </c>
      <c r="F385" s="17" t="inlineStr">
        <is>
          <t>Réservez votre vol Paris – Bali au meilleur prix sur Cdiscount Voyages : paiement en 4x sans frais et réservation en ligne simple et rapide.</t>
        </is>
      </c>
      <c r="G385" s="19" t="inlineStr">
        <is>
          <t>https://www.cdiscount.com/voyages/vol/fl-dep-fr/dep-par/par-dps.html</t>
        </is>
      </c>
      <c r="H385" s="20" t="n">
        <v>8127</v>
      </c>
      <c r="I385" s="20" t="n">
        <v>41</v>
      </c>
      <c r="J385" s="21">
        <f>IF(H385=0,0,I385/H385)</f>
        <v/>
      </c>
    </row>
    <row r="386">
      <c r="A386" s="17" t="inlineStr">
        <is>
          <t>Cdiscount Voyages</t>
        </is>
      </c>
      <c r="B386" s="17" t="inlineStr">
        <is>
          <t>Live</t>
        </is>
      </c>
      <c r="C386" s="17" t="inlineStr">
        <is>
          <t>Cdiscount vol 4</t>
        </is>
      </c>
      <c r="D386" s="17" t="inlineStr">
        <is>
          <t>Vols Paris — Afrique et Maghreb</t>
        </is>
      </c>
      <c r="E386" s="18" t="inlineStr">
        <is>
          <t>Vol Paris – La Réunion pas cher | Cdiscount Voyages</t>
        </is>
      </c>
      <c r="F386" s="17" t="inlineStr">
        <is>
          <t>Réservez votre vol Paris – La Réunion au meilleur prix sur Cdiscount Voyages : paiement en 4x sans frais et réservation en ligne simple et rapide.</t>
        </is>
      </c>
      <c r="G386" s="19" t="inlineStr">
        <is>
          <t>https://www.cdiscount.com/voyages/vol/fl-dep-fr/dep-par/par-run.html</t>
        </is>
      </c>
      <c r="H386" s="20" t="n">
        <v>8112</v>
      </c>
      <c r="I386" s="20" t="n">
        <v>37</v>
      </c>
      <c r="J386" s="21">
        <f>IF(H386=0,0,I386/H386)</f>
        <v/>
      </c>
    </row>
    <row r="387">
      <c r="A387" s="17" t="inlineStr">
        <is>
          <t>Cdiscount Voyages</t>
        </is>
      </c>
      <c r="B387" s="17" t="inlineStr">
        <is>
          <t>Live</t>
        </is>
      </c>
      <c r="C387" s="17" t="inlineStr">
        <is>
          <t>Cdiscount vol 4</t>
        </is>
      </c>
      <c r="D387" s="17" t="inlineStr">
        <is>
          <t>Vols Paris — Asie et Océanie</t>
        </is>
      </c>
      <c r="E387" s="18" t="inlineStr">
        <is>
          <t>Vol Paris – Miami pas cher | Cdiscount Voyages</t>
        </is>
      </c>
      <c r="F387" s="17" t="inlineStr">
        <is>
          <t>Réservez votre vol Paris – Miami au meilleur prix sur Cdiscount Voyages : paiement en 4x sans frais et réservation en ligne simple et rapide.</t>
        </is>
      </c>
      <c r="G387" s="19" t="inlineStr">
        <is>
          <t>https://www.cdiscount.com/voyages/vol/fl-dep-fr/dep-par/par-mia.html</t>
        </is>
      </c>
      <c r="H387" s="20" t="n">
        <v>8101</v>
      </c>
      <c r="I387" s="20" t="n">
        <v>40</v>
      </c>
      <c r="J387" s="21">
        <f>IF(H387=0,0,I387/H387)</f>
        <v/>
      </c>
    </row>
    <row r="388">
      <c r="A388" s="17" t="inlineStr">
        <is>
          <t>Cdiscount Voyages</t>
        </is>
      </c>
      <c r="B388" s="17" t="inlineStr">
        <is>
          <t>Live</t>
        </is>
      </c>
      <c r="C388" s="17" t="inlineStr">
        <is>
          <t>Cdiscount vol 4</t>
        </is>
      </c>
      <c r="D388" s="17" t="inlineStr">
        <is>
          <t>Vols Paris — Afrique et Maghreb</t>
        </is>
      </c>
      <c r="E388" s="18" t="inlineStr">
        <is>
          <t>Vol Paris – New York pas cher | Cdiscount Voyages</t>
        </is>
      </c>
      <c r="F388" s="17" t="inlineStr">
        <is>
          <t>Réservez votre vol Paris – New York au meilleur prix sur Cdiscount Voyages : paiement en 4x sans frais et réservation en ligne simple et rapide.</t>
        </is>
      </c>
      <c r="G388" s="19" t="inlineStr">
        <is>
          <t>https://www.cdiscount.com/voyages/vol/fl-dep-fr/dep-par/par-nyc.html</t>
        </is>
      </c>
      <c r="H388" s="20" t="n">
        <v>8100</v>
      </c>
      <c r="I388" s="20" t="n">
        <v>34</v>
      </c>
      <c r="J388" s="21">
        <f>IF(H388=0,0,I388/H388)</f>
        <v/>
      </c>
    </row>
    <row r="389">
      <c r="A389" s="17" t="inlineStr">
        <is>
          <t>Cdiscount Voyages</t>
        </is>
      </c>
      <c r="B389" s="17" t="inlineStr">
        <is>
          <t>Live</t>
        </is>
      </c>
      <c r="C389" s="17" t="inlineStr">
        <is>
          <t>Cdiscount vol 4</t>
        </is>
      </c>
      <c r="D389" s="17" t="inlineStr">
        <is>
          <t>Vols Paris — Afrique et Maghreb</t>
        </is>
      </c>
      <c r="E389" s="18" t="inlineStr">
        <is>
          <t>Vol Nice - Abidjan</t>
        </is>
      </c>
      <c r="F389" s="17" t="inlineStr">
        <is>
          <t>Billet d'avion Nice (France) - Abidjan (Côte d'Ivoire) à partir de 511.79€</t>
        </is>
      </c>
      <c r="G389" s="19" t="inlineStr">
        <is>
          <t>https://www.cdiscount.com/voyages/vol/fl-dep-fr/dep-nce/nce-abj.html</t>
        </is>
      </c>
      <c r="H389" s="20" t="n">
        <v>8096</v>
      </c>
      <c r="I389" s="20" t="n">
        <v>45</v>
      </c>
      <c r="J389" s="21">
        <f>IF(H389=0,0,I389/H389)</f>
        <v/>
      </c>
    </row>
    <row r="390">
      <c r="A390" s="17" t="inlineStr">
        <is>
          <t>Cdiscount Voyages</t>
        </is>
      </c>
      <c r="B390" s="17" t="inlineStr">
        <is>
          <t>Live</t>
        </is>
      </c>
      <c r="C390" s="17" t="inlineStr">
        <is>
          <t>Cdiscount vol 4</t>
        </is>
      </c>
      <c r="D390" s="17" t="inlineStr">
        <is>
          <t>Vols Paris — Afrique et Maghreb</t>
        </is>
      </c>
      <c r="E390" s="18" t="inlineStr">
        <is>
          <t>Vol Lyon - Annaba</t>
        </is>
      </c>
      <c r="F390" s="17" t="inlineStr">
        <is>
          <t>Billet d'avion Lyon (France) - Annaba (Algérie) à partir de 180.31€</t>
        </is>
      </c>
      <c r="G390" s="19" t="inlineStr">
        <is>
          <t>https://www.cdiscount.com/voyages/vol/fl-dep-fr/dep-lys/lys-aae.html</t>
        </is>
      </c>
      <c r="H390" s="20" t="n">
        <v>8090</v>
      </c>
      <c r="I390" s="20" t="n">
        <v>51</v>
      </c>
      <c r="J390" s="21">
        <f>IF(H390=0,0,I390/H390)</f>
        <v/>
      </c>
    </row>
    <row r="391">
      <c r="A391" s="17" t="inlineStr">
        <is>
          <t>Cdiscount Voyages</t>
        </is>
      </c>
      <c r="B391" s="17" t="inlineStr">
        <is>
          <t>Live</t>
        </is>
      </c>
      <c r="C391" s="17" t="inlineStr">
        <is>
          <t>Cdiscount vol 4</t>
        </is>
      </c>
      <c r="D391" s="17" t="inlineStr">
        <is>
          <t>Vols Paris — Afrique et Maghreb</t>
        </is>
      </c>
      <c r="E391" s="18" t="inlineStr">
        <is>
          <t>Vol Paris – Cancún pas cher | Cdiscount Voyages</t>
        </is>
      </c>
      <c r="F391" s="17" t="inlineStr">
        <is>
          <t>Réservez votre vol Paris – Cancún au meilleur prix sur Cdiscount Voyages : paiement en 4x sans frais et réservation en ligne simple et rapide.</t>
        </is>
      </c>
      <c r="G391" s="19" t="inlineStr">
        <is>
          <t>https://www.cdiscount.com/voyages/vol/fl-dep-fr/dep-par/par-cun.html</t>
        </is>
      </c>
      <c r="H391" s="20" t="n">
        <v>8061</v>
      </c>
      <c r="I391" s="20" t="n">
        <v>34</v>
      </c>
      <c r="J391" s="21">
        <f>IF(H391=0,0,I391/H391)</f>
        <v/>
      </c>
    </row>
    <row r="392">
      <c r="A392" s="17" t="inlineStr">
        <is>
          <t>Cdiscount Voyages</t>
        </is>
      </c>
      <c r="B392" s="17" t="inlineStr">
        <is>
          <t>Live</t>
        </is>
      </c>
      <c r="C392" s="17" t="inlineStr">
        <is>
          <t>Cdiscount vol 4</t>
        </is>
      </c>
      <c r="D392" s="17" t="inlineStr">
        <is>
          <t>Vols Paris — Afrique et Maghreb</t>
        </is>
      </c>
      <c r="E392" s="18" t="inlineStr">
        <is>
          <t>Vol Marseille - Accra</t>
        </is>
      </c>
      <c r="F392" s="17" t="inlineStr">
        <is>
          <t>Billet d'avion Marseille (France) - Accra (Ghana) à partir de 821.46€</t>
        </is>
      </c>
      <c r="G392" s="19" t="inlineStr">
        <is>
          <t>https://www.cdiscount.com/voyages/vol/fl-dep-fr/dep-mrs/mrs-acc.html</t>
        </is>
      </c>
      <c r="H392" s="20" t="n">
        <v>8060</v>
      </c>
      <c r="I392" s="20" t="n">
        <v>39</v>
      </c>
      <c r="J392" s="21">
        <f>IF(H392=0,0,I392/H392)</f>
        <v/>
      </c>
    </row>
    <row r="393">
      <c r="A393" s="17" t="inlineStr">
        <is>
          <t>Cdiscount Voyages</t>
        </is>
      </c>
      <c r="B393" s="17" t="inlineStr">
        <is>
          <t>Live</t>
        </is>
      </c>
      <c r="C393" s="17" t="inlineStr">
        <is>
          <t>Cdiscount vol 4</t>
        </is>
      </c>
      <c r="D393" s="17" t="inlineStr">
        <is>
          <t>Vols Paris — Afrique et Maghreb</t>
        </is>
      </c>
      <c r="E393" s="18" t="inlineStr">
        <is>
          <t>Vol Paris – Venise pas cher | Cdiscount Voyages</t>
        </is>
      </c>
      <c r="F393" s="17" t="inlineStr">
        <is>
          <t>Réservez votre vol Paris – Venise au meilleur prix sur Cdiscount Voyages : paiement en 4x sans frais et réservation en ligne simple et rapide.</t>
        </is>
      </c>
      <c r="G393" s="19" t="inlineStr">
        <is>
          <t>https://www.cdiscount.com/voyages/vol/fl-dep-fr/dep-par/par-vce.html</t>
        </is>
      </c>
      <c r="H393" s="20" t="n">
        <v>8046</v>
      </c>
      <c r="I393" s="20" t="n">
        <v>42</v>
      </c>
      <c r="J393" s="21">
        <f>IF(H393=0,0,I393/H393)</f>
        <v/>
      </c>
    </row>
    <row r="394">
      <c r="A394" s="17" t="inlineStr">
        <is>
          <t>Cdiscount Voyages</t>
        </is>
      </c>
      <c r="B394" s="17" t="inlineStr">
        <is>
          <t>Live</t>
        </is>
      </c>
      <c r="C394" s="17" t="inlineStr">
        <is>
          <t>Cdiscount vol 4</t>
        </is>
      </c>
      <c r="D394" s="17" t="inlineStr">
        <is>
          <t>Vols Paris — Afrique et Maghreb</t>
        </is>
      </c>
      <c r="E394" s="18" t="inlineStr">
        <is>
          <t>Vol Paris – Athènes pas cher | Cdiscount Voyages</t>
        </is>
      </c>
      <c r="F394" s="17" t="inlineStr">
        <is>
          <t>Réservez votre vol Paris – Athènes au meilleur prix sur Cdiscount Voyages : paiement en 4x sans frais et réservation en ligne simple et rapide.</t>
        </is>
      </c>
      <c r="G394" s="19" t="inlineStr">
        <is>
          <t>https://www.cdiscount.com/voyages/vol/fl-dep-fr/dep-par/par-ath.html</t>
        </is>
      </c>
      <c r="H394" s="20" t="n">
        <v>8008</v>
      </c>
      <c r="I394" s="20" t="n">
        <v>41</v>
      </c>
      <c r="J394" s="21">
        <f>IF(H394=0,0,I394/H394)</f>
        <v/>
      </c>
    </row>
    <row r="395">
      <c r="A395" s="17" t="inlineStr">
        <is>
          <t>Cdiscount Voyages</t>
        </is>
      </c>
      <c r="B395" s="17" t="inlineStr">
        <is>
          <t>Live</t>
        </is>
      </c>
      <c r="C395" s="17" t="inlineStr">
        <is>
          <t>Cdiscount vol 4</t>
        </is>
      </c>
      <c r="D395" s="17" t="inlineStr">
        <is>
          <t>Vols Paris — Afrique et Maghreb</t>
        </is>
      </c>
      <c r="E395" s="18" t="inlineStr">
        <is>
          <t>Vol Marseille - Abidjan</t>
        </is>
      </c>
      <c r="F395" s="17" t="inlineStr">
        <is>
          <t>Billet d'avion Marseille (France) - Abidjan (Côte d'Ivoire) à partir de 495.56€</t>
        </is>
      </c>
      <c r="G395" s="19" t="inlineStr">
        <is>
          <t>https://www.cdiscount.com/voyages/vol/fl-dep-fr/dep-mrs/mrs-abj.html</t>
        </is>
      </c>
      <c r="H395" s="20" t="n">
        <v>8000</v>
      </c>
      <c r="I395" s="20" t="n">
        <v>38</v>
      </c>
      <c r="J395" s="21">
        <f>IF(H395=0,0,I395/H395)</f>
        <v/>
      </c>
    </row>
    <row r="396">
      <c r="A396" s="17" t="inlineStr">
        <is>
          <t>Cdiscount Voyages</t>
        </is>
      </c>
      <c r="B396" s="17" t="inlineStr">
        <is>
          <t>Live</t>
        </is>
      </c>
      <c r="C396" s="17" t="inlineStr">
        <is>
          <t>Cdiscount vol 4</t>
        </is>
      </c>
      <c r="D396" s="17" t="inlineStr">
        <is>
          <t>Vols Paris — Afrique et Maghreb</t>
        </is>
      </c>
      <c r="E396" s="18" t="inlineStr">
        <is>
          <t>Vol Paris – São Paulo pas cher | Cdiscount Voyages</t>
        </is>
      </c>
      <c r="F396" s="17" t="inlineStr">
        <is>
          <t>Réservez votre vol Paris – São Paulo au meilleur prix sur Cdiscount Voyages : paiement en 4x sans frais et réservation en ligne simple et rapide.</t>
        </is>
      </c>
      <c r="G396" s="19" t="inlineStr">
        <is>
          <t>https://www.cdiscount.com/voyages/vol/fl-dep-fr/dep-par/par-sao.html</t>
        </is>
      </c>
      <c r="H396" s="20" t="n">
        <v>7934</v>
      </c>
      <c r="I396" s="20" t="n">
        <v>37</v>
      </c>
      <c r="J396" s="21">
        <f>IF(H396=0,0,I396/H396)</f>
        <v/>
      </c>
    </row>
    <row r="397">
      <c r="A397" s="17" t="inlineStr">
        <is>
          <t>Cdiscount Voyages</t>
        </is>
      </c>
      <c r="B397" s="17" t="inlineStr">
        <is>
          <t>Live</t>
        </is>
      </c>
      <c r="C397" s="17" t="inlineStr">
        <is>
          <t>Cdiscount vol 4</t>
        </is>
      </c>
      <c r="D397" s="17" t="inlineStr">
        <is>
          <t>Vols Paris — DOM‑TOM et Outre‑mer</t>
        </is>
      </c>
      <c r="E397" s="18" t="inlineStr">
        <is>
          <t>Vol Paris – La Réunion pas cher | Cdiscount Voyages</t>
        </is>
      </c>
      <c r="F397" s="17" t="inlineStr">
        <is>
          <t>Réservez votre vol Paris – La Réunion au meilleur prix sur Cdiscount Voyages : paiement en 4x sans frais et réservation en ligne simple et rapide.</t>
        </is>
      </c>
      <c r="G397" s="19" t="inlineStr">
        <is>
          <t>https://www.cdiscount.com/voyages/vol/fl-dep-fr/dep-par/par-run.html</t>
        </is>
      </c>
      <c r="H397" s="20" t="n">
        <v>2070</v>
      </c>
      <c r="I397" s="20" t="n">
        <v>4</v>
      </c>
      <c r="J397" s="21">
        <f>IF(H397=0,0,I397/H397)</f>
        <v/>
      </c>
    </row>
    <row r="398">
      <c r="A398" s="17" t="inlineStr">
        <is>
          <t>Cdiscount Voyages</t>
        </is>
      </c>
      <c r="B398" s="17" t="inlineStr">
        <is>
          <t>Live</t>
        </is>
      </c>
      <c r="C398" s="17" t="inlineStr">
        <is>
          <t>Cdiscount vol 4</t>
        </is>
      </c>
      <c r="D398" s="17" t="inlineStr">
        <is>
          <t>Vols Paris — DOM‑TOM et Outre‑mer</t>
        </is>
      </c>
      <c r="E398" s="18" t="inlineStr">
        <is>
          <t>Vol Paris – Pointe-à-Pitre pas cher | Cdiscount Voyages</t>
        </is>
      </c>
      <c r="F398" s="17" t="inlineStr">
        <is>
          <t>Réservez votre vol Paris – Pointe-à-Pitre au meilleur prix sur Cdiscount Voyages : paiement en 4x sans frais et réservation en ligne simple et rapide.</t>
        </is>
      </c>
      <c r="G398" s="19" t="inlineStr">
        <is>
          <t>https://www.cdiscount.com/voyages/vol/fl-dep-fr/dep-par/par-ptp.html</t>
        </is>
      </c>
      <c r="H398" s="20" t="n">
        <v>1982</v>
      </c>
      <c r="I398" s="20" t="n">
        <v>9</v>
      </c>
      <c r="J398" s="21">
        <f>IF(H398=0,0,I398/H398)</f>
        <v/>
      </c>
    </row>
    <row r="399">
      <c r="A399" s="17" t="inlineStr">
        <is>
          <t>Cdiscount Voyages</t>
        </is>
      </c>
      <c r="B399" s="17" t="inlineStr">
        <is>
          <t>Live</t>
        </is>
      </c>
      <c r="C399" s="17" t="inlineStr">
        <is>
          <t>Cdiscount vol 4</t>
        </is>
      </c>
      <c r="D399" s="17" t="inlineStr">
        <is>
          <t>Vols Paris — DOM‑TOM et Outre‑mer</t>
        </is>
      </c>
      <c r="E399" s="18" t="inlineStr">
        <is>
          <t>Vol Paris – Fort-de-France pas cher | Cdiscount Voyages</t>
        </is>
      </c>
      <c r="F399" s="17" t="inlineStr">
        <is>
          <t>Réservez votre vol Paris – Fort-de-France au meilleur prix sur Cdiscount Voyages : paiement en 4x sans frais et réservation en ligne simple et rapide.</t>
        </is>
      </c>
      <c r="G399" s="19" t="inlineStr">
        <is>
          <t>https://www.cdiscount.com/voyages/vol/fl-dep-fr/dep-par/par-fdf.html</t>
        </is>
      </c>
      <c r="H399" s="20" t="n">
        <v>1438</v>
      </c>
      <c r="I399" s="20" t="n">
        <v>3</v>
      </c>
      <c r="J399" s="21">
        <f>IF(H399=0,0,I399/H399)</f>
        <v/>
      </c>
    </row>
    <row r="400">
      <c r="A400" s="17" t="inlineStr">
        <is>
          <t>Cdiscount Voyages</t>
        </is>
      </c>
      <c r="B400" s="17" t="inlineStr">
        <is>
          <t>Live</t>
        </is>
      </c>
      <c r="C400" s="17" t="inlineStr">
        <is>
          <t>Cdiscount vol 4</t>
        </is>
      </c>
      <c r="D400" s="17" t="inlineStr">
        <is>
          <t>Vols départ Nice</t>
        </is>
      </c>
      <c r="E400" s="18" t="inlineStr">
        <is>
          <t>Vol Nice - Lanzarote</t>
        </is>
      </c>
      <c r="F400" s="17" t="inlineStr">
        <is>
          <t>Billet d'avion Nice (France) - Lanzarote (Espagne) à partir de 199.98€</t>
        </is>
      </c>
      <c r="G400" s="19" t="inlineStr">
        <is>
          <t>https://www.cdiscount.com/voyages/vol/fl-dep-fr/dep-nce/nce-ace.html</t>
        </is>
      </c>
      <c r="H400" s="20" t="n">
        <v>1228</v>
      </c>
      <c r="I400" s="20" t="n">
        <v>7</v>
      </c>
      <c r="J400" s="21">
        <f>IF(H400=0,0,I400/H400)</f>
        <v/>
      </c>
    </row>
    <row r="401">
      <c r="A401" s="17" t="inlineStr">
        <is>
          <t>Cdiscount Voyages</t>
        </is>
      </c>
      <c r="B401" s="17" t="inlineStr">
        <is>
          <t>Live</t>
        </is>
      </c>
      <c r="C401" s="17" t="inlineStr">
        <is>
          <t>Cdiscount vol 4</t>
        </is>
      </c>
      <c r="D401" s="17" t="inlineStr">
        <is>
          <t>Vols Paris — Europe</t>
        </is>
      </c>
      <c r="E401" s="18" t="inlineStr">
        <is>
          <t>Vol Paris – Nice pas cher | Cdiscount Voyages</t>
        </is>
      </c>
      <c r="F401" s="17" t="inlineStr">
        <is>
          <t>Réservez votre vol Paris – Nice au meilleur prix sur Cdiscount Voyages : paiement en 4x sans frais et réservation en ligne simple et rapide.</t>
        </is>
      </c>
      <c r="G401" s="19" t="inlineStr">
        <is>
          <t>https://www.cdiscount.com/voyages/vol/fl-dep-fr/dep-par/par-nce.html</t>
        </is>
      </c>
      <c r="H401" s="20" t="n">
        <v>1192</v>
      </c>
      <c r="I401" s="20" t="n">
        <v>5</v>
      </c>
      <c r="J401" s="21">
        <f>IF(H401=0,0,I401/H401)</f>
        <v/>
      </c>
    </row>
    <row r="402">
      <c r="A402" s="17" t="inlineStr">
        <is>
          <t>Cdiscount Voyages</t>
        </is>
      </c>
      <c r="B402" s="17" t="inlineStr">
        <is>
          <t>Live</t>
        </is>
      </c>
      <c r="C402" s="17" t="inlineStr">
        <is>
          <t>Cdiscount vol 4</t>
        </is>
      </c>
      <c r="D402" s="17" t="inlineStr">
        <is>
          <t>Vols départ Marseille</t>
        </is>
      </c>
      <c r="E402" s="18" t="inlineStr">
        <is>
          <t>Vol Marseille - Accra</t>
        </is>
      </c>
      <c r="F402" s="17" t="inlineStr">
        <is>
          <t>Billet d'avion Marseille (France) - Accra (Ghana) à partir de 821.46€</t>
        </is>
      </c>
      <c r="G402" s="19" t="inlineStr">
        <is>
          <t>https://www.cdiscount.com/voyages/vol/fl-dep-fr/dep-mrs/mrs-acc.html</t>
        </is>
      </c>
      <c r="H402" s="20" t="n">
        <v>1167</v>
      </c>
      <c r="I402" s="20" t="n">
        <v>8</v>
      </c>
      <c r="J402" s="21">
        <f>IF(H402=0,0,I402/H402)</f>
        <v/>
      </c>
    </row>
    <row r="403">
      <c r="A403" s="17" t="inlineStr">
        <is>
          <t>Cdiscount Voyages</t>
        </is>
      </c>
      <c r="B403" s="17" t="inlineStr">
        <is>
          <t>Live</t>
        </is>
      </c>
      <c r="C403" s="17" t="inlineStr">
        <is>
          <t>Cdiscount vol 4</t>
        </is>
      </c>
      <c r="D403" s="17" t="inlineStr">
        <is>
          <t>Vols départ Marseille</t>
        </is>
      </c>
      <c r="E403" s="18" t="inlineStr">
        <is>
          <t>Vol Marseille - Annaba</t>
        </is>
      </c>
      <c r="F403" s="17" t="inlineStr">
        <is>
          <t>Billet d'avion Marseille (France) - Annaba (Algérie) à partir de 169.59€</t>
        </is>
      </c>
      <c r="G403" s="19" t="inlineStr">
        <is>
          <t>https://www.cdiscount.com/voyages/vol/fl-dep-fr/dep-mrs/mrs-aae.html</t>
        </is>
      </c>
      <c r="H403" s="20" t="n">
        <v>1164</v>
      </c>
      <c r="I403" s="20" t="n">
        <v>7</v>
      </c>
      <c r="J403" s="21">
        <f>IF(H403=0,0,I403/H403)</f>
        <v/>
      </c>
    </row>
    <row r="404">
      <c r="A404" s="17" t="inlineStr">
        <is>
          <t>Cdiscount Voyages</t>
        </is>
      </c>
      <c r="B404" s="17" t="inlineStr">
        <is>
          <t>Live</t>
        </is>
      </c>
      <c r="C404" s="17" t="inlineStr">
        <is>
          <t>Cdiscount vol 4</t>
        </is>
      </c>
      <c r="D404" s="17" t="inlineStr">
        <is>
          <t>Vols Paris — Europe</t>
        </is>
      </c>
      <c r="E404" s="18" t="inlineStr">
        <is>
          <t>Vol Paris – Londres pas cher | Cdiscount Voyages</t>
        </is>
      </c>
      <c r="F404" s="17" t="inlineStr">
        <is>
          <t>Réservez votre vol Paris – Londres au meilleur prix sur Cdiscount Voyages : paiement en 4x sans frais et réservation en ligne simple et rapide.</t>
        </is>
      </c>
      <c r="G404" s="19" t="inlineStr">
        <is>
          <t>https://www.cdiscount.com/voyages/vol/fl-dep-fr/dep-par/par-lon.html</t>
        </is>
      </c>
      <c r="H404" s="20" t="n">
        <v>1160</v>
      </c>
      <c r="I404" s="20" t="n">
        <v>5</v>
      </c>
      <c r="J404" s="21">
        <f>IF(H404=0,0,I404/H404)</f>
        <v/>
      </c>
    </row>
    <row r="405">
      <c r="A405" s="17" t="inlineStr">
        <is>
          <t>Cdiscount Voyages</t>
        </is>
      </c>
      <c r="B405" s="17" t="inlineStr">
        <is>
          <t>Live</t>
        </is>
      </c>
      <c r="C405" s="17" t="inlineStr">
        <is>
          <t>Cdiscount vol 4</t>
        </is>
      </c>
      <c r="D405" s="17" t="inlineStr">
        <is>
          <t>Vols Paris — Europe</t>
        </is>
      </c>
      <c r="E405" s="18" t="inlineStr">
        <is>
          <t>Vol Paris – Marseille pas cher | Cdiscount Voyages</t>
        </is>
      </c>
      <c r="F405" s="17" t="inlineStr">
        <is>
          <t>Réservez votre vol Paris – Marseille au meilleur prix sur Cdiscount Voyages : paiement en 4x sans frais et réservation en ligne simple et rapide.</t>
        </is>
      </c>
      <c r="G405" s="19" t="inlineStr">
        <is>
          <t>https://www.cdiscount.com/voyages/vol/fl-dep-fr/dep-par/par-mrs.html</t>
        </is>
      </c>
      <c r="H405" s="20" t="n">
        <v>1156</v>
      </c>
      <c r="I405" s="20" t="n">
        <v>8</v>
      </c>
      <c r="J405" s="21">
        <f>IF(H405=0,0,I405/H405)</f>
        <v/>
      </c>
    </row>
    <row r="406">
      <c r="A406" s="17" t="inlineStr">
        <is>
          <t>Cdiscount Voyages</t>
        </is>
      </c>
      <c r="B406" s="17" t="inlineStr">
        <is>
          <t>Live</t>
        </is>
      </c>
      <c r="C406" s="17" t="inlineStr">
        <is>
          <t>Cdiscount vol 4</t>
        </is>
      </c>
      <c r="D406" s="17" t="inlineStr">
        <is>
          <t>Vols départ Nice</t>
        </is>
      </c>
      <c r="E406" s="18" t="inlineStr">
        <is>
          <t>Vol Nice - Abidjan</t>
        </is>
      </c>
      <c r="F406" s="17" t="inlineStr">
        <is>
          <t>Billet d'avion Nice (France) - Abidjan (Côte d'Ivoire) à partir de 511.79€</t>
        </is>
      </c>
      <c r="G406" s="19" t="inlineStr">
        <is>
          <t>https://www.cdiscount.com/voyages/vol/fl-dep-fr/dep-nce/nce-abj.html</t>
        </is>
      </c>
      <c r="H406" s="20" t="n">
        <v>1154</v>
      </c>
      <c r="I406" s="20" t="n">
        <v>9</v>
      </c>
      <c r="J406" s="21">
        <f>IF(H406=0,0,I406/H406)</f>
        <v/>
      </c>
    </row>
    <row r="407">
      <c r="A407" s="17" t="inlineStr">
        <is>
          <t>Cdiscount Voyages</t>
        </is>
      </c>
      <c r="B407" s="17" t="inlineStr">
        <is>
          <t>Live</t>
        </is>
      </c>
      <c r="C407" s="17" t="inlineStr">
        <is>
          <t>Cdiscount vol 4</t>
        </is>
      </c>
      <c r="D407" s="17" t="inlineStr">
        <is>
          <t>Vols Paris — Amériques</t>
        </is>
      </c>
      <c r="E407" s="18" t="inlineStr">
        <is>
          <t>Vol Paris – Montréal pas cher | Cdiscount Voyages</t>
        </is>
      </c>
      <c r="F407" s="17" t="inlineStr">
        <is>
          <t>Réservez votre vol Paris – Montréal au meilleur prix sur Cdiscount Voyages : paiement en 4x sans frais et réservation en ligne simple et rapide.</t>
        </is>
      </c>
      <c r="G407" s="19" t="inlineStr">
        <is>
          <t>https://www.cdiscount.com/voyages/vol/fl-dep-fr/dep-par/par-ymq.html</t>
        </is>
      </c>
      <c r="H407" s="20" t="n">
        <v>1151</v>
      </c>
      <c r="I407" s="20" t="n">
        <v>5</v>
      </c>
      <c r="J407" s="21">
        <f>IF(H407=0,0,I407/H407)</f>
        <v/>
      </c>
    </row>
    <row r="408">
      <c r="A408" s="17" t="inlineStr">
        <is>
          <t>Cdiscount Voyages</t>
        </is>
      </c>
      <c r="B408" s="17" t="inlineStr">
        <is>
          <t>Live</t>
        </is>
      </c>
      <c r="C408" s="17" t="inlineStr">
        <is>
          <t>Cdiscount vol 4</t>
        </is>
      </c>
      <c r="D408" s="17" t="inlineStr">
        <is>
          <t>Vols Paris — Amériques</t>
        </is>
      </c>
      <c r="E408" s="18" t="inlineStr">
        <is>
          <t>Vol Paris – Punta Cana pas cher | Cdiscount Voyages</t>
        </is>
      </c>
      <c r="F408" s="17" t="inlineStr">
        <is>
          <t>Réservez votre vol Paris – Punta Cana au meilleur prix sur Cdiscount Voyages : paiement en 4x sans frais et réservation en ligne simple et rapide.</t>
        </is>
      </c>
      <c r="G408" s="19" t="inlineStr">
        <is>
          <t>https://www.cdiscount.com/voyages/vol/fl-dep-fr/dep-par/par-puj.html</t>
        </is>
      </c>
      <c r="H408" s="20" t="n">
        <v>1151</v>
      </c>
      <c r="I408" s="20" t="n">
        <v>5</v>
      </c>
      <c r="J408" s="21">
        <f>IF(H408=0,0,I408/H408)</f>
        <v/>
      </c>
    </row>
    <row r="409">
      <c r="A409" s="17" t="inlineStr">
        <is>
          <t>Cdiscount Voyages</t>
        </is>
      </c>
      <c r="B409" s="17" t="inlineStr">
        <is>
          <t>Live</t>
        </is>
      </c>
      <c r="C409" s="17" t="inlineStr">
        <is>
          <t>Cdiscount vol 4</t>
        </is>
      </c>
      <c r="D409" s="17" t="inlineStr">
        <is>
          <t>Vols Paris — Amériques</t>
        </is>
      </c>
      <c r="E409" s="18" t="inlineStr">
        <is>
          <t>Vol Paris – São Paulo pas cher | Cdiscount Voyages</t>
        </is>
      </c>
      <c r="F409" s="17" t="inlineStr">
        <is>
          <t>Réservez votre vol Paris – São Paulo au meilleur prix sur Cdiscount Voyages : paiement en 4x sans frais et réservation en ligne simple et rapide.</t>
        </is>
      </c>
      <c r="G409" s="19" t="inlineStr">
        <is>
          <t>https://www.cdiscount.com/voyages/vol/fl-dep-fr/dep-par/par-sao.html</t>
        </is>
      </c>
      <c r="H409" s="20" t="n">
        <v>1144</v>
      </c>
      <c r="I409" s="20" t="n">
        <v>5</v>
      </c>
      <c r="J409" s="21">
        <f>IF(H409=0,0,I409/H409)</f>
        <v/>
      </c>
    </row>
    <row r="410">
      <c r="A410" s="17" t="inlineStr">
        <is>
          <t>Cdiscount Voyages</t>
        </is>
      </c>
      <c r="B410" s="17" t="inlineStr">
        <is>
          <t>Live</t>
        </is>
      </c>
      <c r="C410" s="17" t="inlineStr">
        <is>
          <t>Cdiscount vol 4</t>
        </is>
      </c>
      <c r="D410" s="17" t="inlineStr">
        <is>
          <t>Vols Paris — Amériques</t>
        </is>
      </c>
      <c r="E410" s="18" t="inlineStr">
        <is>
          <t>Vol Paris – New York pas cher | Cdiscount Voyages</t>
        </is>
      </c>
      <c r="F410" s="17" t="inlineStr">
        <is>
          <t>Réservez votre vol Paris – New York au meilleur prix sur Cdiscount Voyages : paiement en 4x sans frais et réservation en ligne simple et rapide.</t>
        </is>
      </c>
      <c r="G410" s="19" t="inlineStr">
        <is>
          <t>https://www.cdiscount.com/voyages/vol/fl-dep-fr/dep-par/par-nyc.html</t>
        </is>
      </c>
      <c r="H410" s="20" t="n">
        <v>1140</v>
      </c>
      <c r="I410" s="20" t="n">
        <v>8</v>
      </c>
      <c r="J410" s="21">
        <f>IF(H410=0,0,I410/H410)</f>
        <v/>
      </c>
    </row>
    <row r="411">
      <c r="A411" s="17" t="inlineStr">
        <is>
          <t>Cdiscount Voyages</t>
        </is>
      </c>
      <c r="B411" s="17" t="inlineStr">
        <is>
          <t>Live</t>
        </is>
      </c>
      <c r="C411" s="17" t="inlineStr">
        <is>
          <t>Cdiscount vol 4</t>
        </is>
      </c>
      <c r="D411" s="17" t="inlineStr">
        <is>
          <t>Vols départ Lyon</t>
        </is>
      </c>
      <c r="E411" s="18" t="inlineStr">
        <is>
          <t>Vol Lyon - Abidjan</t>
        </is>
      </c>
      <c r="F411" s="17" t="inlineStr">
        <is>
          <t>Billet d'avion Lyon (France) - Abidjan (Côte d'Ivoire) à partir de 497.11€</t>
        </is>
      </c>
      <c r="G411" s="19" t="inlineStr">
        <is>
          <t>https://www.cdiscount.com/voyages/vol/fl-dep-fr/dep-lys/lys-abj.html</t>
        </is>
      </c>
      <c r="H411" s="20" t="n">
        <v>1135</v>
      </c>
      <c r="I411" s="20" t="n">
        <v>9</v>
      </c>
      <c r="J411" s="21">
        <f>IF(H411=0,0,I411/H411)</f>
        <v/>
      </c>
    </row>
    <row r="412">
      <c r="A412" s="17" t="inlineStr">
        <is>
          <t>Cdiscount Voyages</t>
        </is>
      </c>
      <c r="B412" s="17" t="inlineStr">
        <is>
          <t>Live</t>
        </is>
      </c>
      <c r="C412" s="17" t="inlineStr">
        <is>
          <t>Cdiscount vol 4</t>
        </is>
      </c>
      <c r="D412" s="17" t="inlineStr">
        <is>
          <t>Vols Paris — Europe</t>
        </is>
      </c>
      <c r="E412" s="18" t="inlineStr">
        <is>
          <t>Vol Paris – Barcelone pas cher | Cdiscount Voyages</t>
        </is>
      </c>
      <c r="F412" s="17" t="inlineStr">
        <is>
          <t>Réservez votre vol Paris – Barcelone au meilleur prix sur Cdiscount Voyages : paiement en 4x sans frais et réservation en ligne simple et rapide.</t>
        </is>
      </c>
      <c r="G412" s="19" t="inlineStr">
        <is>
          <t>https://www.cdiscount.com/voyages/vol/fl-dep-fr/dep-par/par-bcn.html</t>
        </is>
      </c>
      <c r="H412" s="20" t="n">
        <v>1134</v>
      </c>
      <c r="I412" s="20" t="n">
        <v>6</v>
      </c>
      <c r="J412" s="21">
        <f>IF(H412=0,0,I412/H412)</f>
        <v/>
      </c>
    </row>
    <row r="413">
      <c r="A413" s="17" t="inlineStr">
        <is>
          <t>Cdiscount Voyages</t>
        </is>
      </c>
      <c r="B413" s="17" t="inlineStr">
        <is>
          <t>Live</t>
        </is>
      </c>
      <c r="C413" s="17" t="inlineStr">
        <is>
          <t>Cdiscount vol 4</t>
        </is>
      </c>
      <c r="D413" s="17" t="inlineStr">
        <is>
          <t>Vols départ Lyon</t>
        </is>
      </c>
      <c r="E413" s="18" t="inlineStr">
        <is>
          <t>Vol Lyon - Strasbourg</t>
        </is>
      </c>
      <c r="F413" s="17" t="inlineStr">
        <is>
          <t>Billet d'avion Lyon (France) - Strasbourg (France) à partir de 143.65€</t>
        </is>
      </c>
      <c r="G413" s="19" t="inlineStr">
        <is>
          <t>https://www.cdiscount.com/voyages/vol/fl-dep-fr/dep-lys/lys-sxb.html</t>
        </is>
      </c>
      <c r="H413" s="20" t="n">
        <v>1133</v>
      </c>
      <c r="I413" s="20" t="n">
        <v>7</v>
      </c>
      <c r="J413" s="21">
        <f>IF(H413=0,0,I413/H413)</f>
        <v/>
      </c>
    </row>
    <row r="414">
      <c r="A414" s="17" t="inlineStr">
        <is>
          <t>Cdiscount Voyages</t>
        </is>
      </c>
      <c r="B414" s="17" t="inlineStr">
        <is>
          <t>Live</t>
        </is>
      </c>
      <c r="C414" s="17" t="inlineStr">
        <is>
          <t>Cdiscount vol 4</t>
        </is>
      </c>
      <c r="D414" s="17" t="inlineStr">
        <is>
          <t>Vols Paris — Europe</t>
        </is>
      </c>
      <c r="E414" s="18" t="inlineStr">
        <is>
          <t>Vol Paris – Tenerife pas cher | Cdiscount Voyages</t>
        </is>
      </c>
      <c r="F414" s="17" t="inlineStr">
        <is>
          <t>Réservez votre vol Paris – Tenerife au meilleur prix sur Cdiscount Voyages : paiement en 4x sans frais et réservation en ligne simple et rapide.</t>
        </is>
      </c>
      <c r="G414" s="19" t="inlineStr">
        <is>
          <t>https://www.cdiscount.com/voyages/vol/fl-dep-fr/dep-par/par-tci.html</t>
        </is>
      </c>
      <c r="H414" s="20" t="n">
        <v>1133</v>
      </c>
      <c r="I414" s="20" t="n">
        <v>2</v>
      </c>
      <c r="J414" s="21">
        <f>IF(H414=0,0,I414/H414)</f>
        <v/>
      </c>
    </row>
    <row r="415">
      <c r="A415" s="17" t="inlineStr">
        <is>
          <t>Cdiscount Voyages</t>
        </is>
      </c>
      <c r="B415" s="17" t="inlineStr">
        <is>
          <t>Live</t>
        </is>
      </c>
      <c r="C415" s="17" t="inlineStr">
        <is>
          <t>Cdiscount vol 4</t>
        </is>
      </c>
      <c r="D415" s="17" t="inlineStr">
        <is>
          <t>Vols Paris — Amériques</t>
        </is>
      </c>
      <c r="E415" s="18" t="inlineStr">
        <is>
          <t>Vol Paris – Miami pas cher | Cdiscount Voyages</t>
        </is>
      </c>
      <c r="F415" s="17" t="inlineStr">
        <is>
          <t>Réservez votre vol Paris – Miami au meilleur prix sur Cdiscount Voyages : paiement en 4x sans frais et réservation en ligne simple et rapide.</t>
        </is>
      </c>
      <c r="G415" s="19" t="inlineStr">
        <is>
          <t>https://www.cdiscount.com/voyages/vol/fl-dep-fr/dep-par/par-mia.html</t>
        </is>
      </c>
      <c r="H415" s="20" t="n">
        <v>1129</v>
      </c>
      <c r="I415" s="20" t="n">
        <v>5</v>
      </c>
      <c r="J415" s="21">
        <f>IF(H415=0,0,I415/H415)</f>
        <v/>
      </c>
    </row>
    <row r="416">
      <c r="A416" s="17" t="inlineStr">
        <is>
          <t>Cdiscount Voyages</t>
        </is>
      </c>
      <c r="B416" s="17" t="inlineStr">
        <is>
          <t>Live</t>
        </is>
      </c>
      <c r="C416" s="17" t="inlineStr">
        <is>
          <t>Cdiscount vol 4</t>
        </is>
      </c>
      <c r="D416" s="17" t="inlineStr">
        <is>
          <t>Vols départ Lyon</t>
        </is>
      </c>
      <c r="E416" s="18" t="inlineStr">
        <is>
          <t>Vol Lyon - Annaba</t>
        </is>
      </c>
      <c r="F416" s="17" t="inlineStr">
        <is>
          <t>Billet d'avion Lyon (France) - Annaba (Algérie) à partir de 180.31€</t>
        </is>
      </c>
      <c r="G416" s="19" t="inlineStr">
        <is>
          <t>https://www.cdiscount.com/voyages/vol/fl-dep-fr/dep-lys/lys-aae.html</t>
        </is>
      </c>
      <c r="H416" s="20" t="n">
        <v>1128</v>
      </c>
      <c r="I416" s="20" t="n">
        <v>7</v>
      </c>
      <c r="J416" s="21">
        <f>IF(H416=0,0,I416/H416)</f>
        <v/>
      </c>
    </row>
    <row r="417">
      <c r="A417" s="17" t="inlineStr">
        <is>
          <t>Cdiscount Voyages</t>
        </is>
      </c>
      <c r="B417" s="17" t="inlineStr">
        <is>
          <t>Live</t>
        </is>
      </c>
      <c r="C417" s="17" t="inlineStr">
        <is>
          <t>Cdiscount vol 4</t>
        </is>
      </c>
      <c r="D417" s="17" t="inlineStr">
        <is>
          <t>Vols départ Nice</t>
        </is>
      </c>
      <c r="E417" s="18" t="inlineStr">
        <is>
          <t>Vol Nice - Addis Abeba</t>
        </is>
      </c>
      <c r="F417" s="17" t="inlineStr">
        <is>
          <t>Billet d'avion Nice (France) - Addis Abeba (Éthiopie) à partir de 783.5€</t>
        </is>
      </c>
      <c r="G417" s="19" t="inlineStr">
        <is>
          <t>https://www.cdiscount.com/voyages/vol/fl-dep-fr/dep-nce/nce-add.html</t>
        </is>
      </c>
      <c r="H417" s="20" t="n">
        <v>1121</v>
      </c>
      <c r="I417" s="20" t="n">
        <v>1</v>
      </c>
      <c r="J417" s="21">
        <f>IF(H417=0,0,I417/H417)</f>
        <v/>
      </c>
    </row>
    <row r="418">
      <c r="A418" s="17" t="inlineStr">
        <is>
          <t>Cdiscount Voyages</t>
        </is>
      </c>
      <c r="B418" s="17" t="inlineStr">
        <is>
          <t>Live</t>
        </is>
      </c>
      <c r="C418" s="17" t="inlineStr">
        <is>
          <t>Cdiscount vol 4</t>
        </is>
      </c>
      <c r="D418" s="17" t="inlineStr">
        <is>
          <t>Vols départ Marseille</t>
        </is>
      </c>
      <c r="E418" s="18" t="inlineStr">
        <is>
          <t>Vol Marseille - Abidjan</t>
        </is>
      </c>
      <c r="F418" s="17" t="inlineStr">
        <is>
          <t>Billet d'avion Marseille (France) - Abidjan (Côte d'Ivoire) à partir de 495.56€</t>
        </is>
      </c>
      <c r="G418" s="19" t="inlineStr">
        <is>
          <t>https://www.cdiscount.com/voyages/vol/fl-dep-fr/dep-mrs/mrs-abj.html</t>
        </is>
      </c>
      <c r="H418" s="20" t="n">
        <v>1115</v>
      </c>
      <c r="I418" s="20" t="n">
        <v>3</v>
      </c>
      <c r="J418" s="21">
        <f>IF(H418=0,0,I418/H418)</f>
        <v/>
      </c>
    </row>
    <row r="419">
      <c r="A419" s="17" t="inlineStr">
        <is>
          <t>Cdiscount Voyages</t>
        </is>
      </c>
      <c r="B419" s="17" t="inlineStr">
        <is>
          <t>Live</t>
        </is>
      </c>
      <c r="C419" s="17" t="inlineStr">
        <is>
          <t>Cdiscount vol 4</t>
        </is>
      </c>
      <c r="D419" s="17" t="inlineStr">
        <is>
          <t>Vols Paris — Amériques</t>
        </is>
      </c>
      <c r="E419" s="18" t="inlineStr">
        <is>
          <t>Vol Paris – Cancún pas cher | Cdiscount Voyages</t>
        </is>
      </c>
      <c r="F419" s="17" t="inlineStr">
        <is>
          <t>Réservez votre vol Paris – Cancún au meilleur prix sur Cdiscount Voyages : paiement en 4x sans frais et réservation en ligne simple et rapide.</t>
        </is>
      </c>
      <c r="G419" s="19" t="inlineStr">
        <is>
          <t>https://www.cdiscount.com/voyages/vol/fl-dep-fr/dep-par/par-cun.html</t>
        </is>
      </c>
      <c r="H419" s="20" t="n">
        <v>1110</v>
      </c>
      <c r="I419" s="20" t="n">
        <v>7</v>
      </c>
      <c r="J419" s="21">
        <f>IF(H419=0,0,I419/H419)</f>
        <v/>
      </c>
    </row>
    <row r="420">
      <c r="A420" s="17" t="inlineStr">
        <is>
          <t>Cdiscount Voyages</t>
        </is>
      </c>
      <c r="B420" s="17" t="inlineStr">
        <is>
          <t>Live</t>
        </is>
      </c>
      <c r="C420" s="17" t="inlineStr">
        <is>
          <t>Cdiscount vol 4</t>
        </is>
      </c>
      <c r="D420" s="17" t="inlineStr">
        <is>
          <t>Vols Paris — Europe</t>
        </is>
      </c>
      <c r="E420" s="18" t="inlineStr">
        <is>
          <t>Vol Paris – Lisbonne pas cher | Cdiscount Voyages</t>
        </is>
      </c>
      <c r="F420" s="17" t="inlineStr">
        <is>
          <t>Réservez votre vol Paris – Lisbonne au meilleur prix sur Cdiscount Voyages : paiement en 4x sans frais et réservation en ligne simple et rapide.</t>
        </is>
      </c>
      <c r="G420" s="19" t="inlineStr">
        <is>
          <t>https://www.cdiscount.com/voyages/vol/fl-dep-fr/dep-par/par-lis.html</t>
        </is>
      </c>
      <c r="H420" s="20" t="n">
        <v>1106</v>
      </c>
      <c r="I420" s="20" t="n">
        <v>6</v>
      </c>
      <c r="J420" s="21">
        <f>IF(H420=0,0,I420/H420)</f>
        <v/>
      </c>
    </row>
    <row r="421">
      <c r="A421" s="17" t="inlineStr">
        <is>
          <t>Cdiscount Voyages</t>
        </is>
      </c>
      <c r="B421" s="17" t="inlineStr">
        <is>
          <t>Live</t>
        </is>
      </c>
      <c r="C421" s="17" t="inlineStr">
        <is>
          <t>Cdiscount vol 4</t>
        </is>
      </c>
      <c r="D421" s="17" t="inlineStr">
        <is>
          <t>Vols Paris — Europe</t>
        </is>
      </c>
      <c r="E421" s="18" t="inlineStr">
        <is>
          <t>Vol Paris – Athènes pas cher | Cdiscount Voyages</t>
        </is>
      </c>
      <c r="F421" s="17" t="inlineStr">
        <is>
          <t>Réservez votre vol Paris – Athènes au meilleur prix sur Cdiscount Voyages : paiement en 4x sans frais et réservation en ligne simple et rapide.</t>
        </is>
      </c>
      <c r="G421" s="19" t="inlineStr">
        <is>
          <t>https://www.cdiscount.com/voyages/vol/fl-dep-fr/dep-par/par-ath.html</t>
        </is>
      </c>
      <c r="H421" s="20" t="n">
        <v>1086</v>
      </c>
      <c r="I421" s="20" t="n">
        <v>5</v>
      </c>
      <c r="J421" s="21">
        <f>IF(H421=0,0,I421/H421)</f>
        <v/>
      </c>
    </row>
    <row r="422">
      <c r="A422" s="17" t="inlineStr">
        <is>
          <t>Cdiscount Voyages</t>
        </is>
      </c>
      <c r="B422" s="17" t="inlineStr">
        <is>
          <t>Live</t>
        </is>
      </c>
      <c r="C422" s="17" t="inlineStr">
        <is>
          <t>Cdiscount vol 4</t>
        </is>
      </c>
      <c r="D422" s="17" t="inlineStr">
        <is>
          <t>Vols Paris — Europe</t>
        </is>
      </c>
      <c r="E422" s="18" t="inlineStr">
        <is>
          <t>Vol Paris – Porto pas cher | Cdiscount Voyages</t>
        </is>
      </c>
      <c r="F422" s="17" t="inlineStr">
        <is>
          <t>Réservez votre vol Paris – Porto au meilleur prix sur Cdiscount Voyages : paiement en 4x sans frais et réservation en ligne simple et rapide.</t>
        </is>
      </c>
      <c r="G422" s="19" t="inlineStr">
        <is>
          <t>https://www.cdiscount.com/voyages/vol/fl-dep-fr/dep-par/par-opo.html</t>
        </is>
      </c>
      <c r="H422" s="20" t="n">
        <v>1083</v>
      </c>
      <c r="I422" s="20" t="n">
        <v>8</v>
      </c>
      <c r="J422" s="21">
        <f>IF(H422=0,0,I422/H422)</f>
        <v/>
      </c>
    </row>
    <row r="423">
      <c r="A423" s="17" t="inlineStr">
        <is>
          <t>Cdiscount Voyages</t>
        </is>
      </c>
      <c r="B423" s="17" t="inlineStr">
        <is>
          <t>Live</t>
        </is>
      </c>
      <c r="C423" s="17" t="inlineStr">
        <is>
          <t>Cdiscount vol 4</t>
        </is>
      </c>
      <c r="D423" s="17" t="inlineStr">
        <is>
          <t>Vols Paris — Amériques</t>
        </is>
      </c>
      <c r="E423" s="18" t="inlineStr">
        <is>
          <t>Vol Paris – Los Angeles pas cher | Cdiscount Voyages</t>
        </is>
      </c>
      <c r="F423" s="17" t="inlineStr">
        <is>
          <t>Réservez votre vol Paris – Los Angeles au meilleur prix sur Cdiscount Voyages : paiement en 4x sans frais et réservation en ligne simple et rapide.</t>
        </is>
      </c>
      <c r="G423" s="19" t="inlineStr">
        <is>
          <t>https://www.cdiscount.com/voyages/vol/fl-dep-fr/dep-par/par-lax.html</t>
        </is>
      </c>
      <c r="H423" s="20" t="n">
        <v>1083</v>
      </c>
      <c r="I423" s="20" t="n">
        <v>3</v>
      </c>
      <c r="J423" s="21">
        <f>IF(H423=0,0,I423/H423)</f>
        <v/>
      </c>
    </row>
    <row r="424">
      <c r="A424" s="17" t="inlineStr">
        <is>
          <t>Cdiscount Voyages</t>
        </is>
      </c>
      <c r="B424" s="17" t="inlineStr">
        <is>
          <t>Live</t>
        </is>
      </c>
      <c r="C424" s="17" t="inlineStr">
        <is>
          <t>Cdiscount vol 4</t>
        </is>
      </c>
      <c r="D424" s="17" t="inlineStr">
        <is>
          <t>Vols Paris — Europe</t>
        </is>
      </c>
      <c r="E424" s="18" t="inlineStr">
        <is>
          <t>Vol Paris – Istanbul pas cher | Cdiscount Voyages</t>
        </is>
      </c>
      <c r="F424" s="17" t="inlineStr">
        <is>
          <t>Réservez votre vol Paris – Istanbul au meilleur prix sur Cdiscount Voyages : paiement en 4x sans frais et réservation en ligne simple et rapide.</t>
        </is>
      </c>
      <c r="G424" s="19" t="inlineStr">
        <is>
          <t>https://www.cdiscount.com/voyages/vol/fl-dep-fr/dep-par/par-ist.html</t>
        </is>
      </c>
      <c r="H424" s="20" t="n">
        <v>1077</v>
      </c>
      <c r="I424" s="20" t="n">
        <v>3</v>
      </c>
      <c r="J424" s="21">
        <f>IF(H424=0,0,I424/H424)</f>
        <v/>
      </c>
    </row>
    <row r="425">
      <c r="A425" s="17" t="inlineStr">
        <is>
          <t>Cdiscount Voyages</t>
        </is>
      </c>
      <c r="B425" s="17" t="inlineStr">
        <is>
          <t>Live</t>
        </is>
      </c>
      <c r="C425" s="17" t="inlineStr">
        <is>
          <t>Cdiscount vol 4</t>
        </is>
      </c>
      <c r="D425" s="17" t="inlineStr">
        <is>
          <t>Vols Paris — Europe</t>
        </is>
      </c>
      <c r="E425" s="18" t="inlineStr">
        <is>
          <t>Vol Paris – Venise pas cher | Cdiscount Voyages</t>
        </is>
      </c>
      <c r="F425" s="17" t="inlineStr">
        <is>
          <t>Réservez votre vol Paris – Venise au meilleur prix sur Cdiscount Voyages : paiement en 4x sans frais et réservation en ligne simple et rapide.</t>
        </is>
      </c>
      <c r="G425" s="19" t="inlineStr">
        <is>
          <t>https://www.cdiscount.com/voyages/vol/fl-dep-fr/dep-par/par-vce.html</t>
        </is>
      </c>
      <c r="H425" s="20" t="n">
        <v>1077</v>
      </c>
      <c r="I425" s="20" t="n">
        <v>2</v>
      </c>
      <c r="J425" s="21">
        <f>IF(H425=0,0,I425/H425)</f>
        <v/>
      </c>
    </row>
    <row r="426">
      <c r="A426" s="17" t="inlineStr">
        <is>
          <t>Cdiscount Voyages</t>
        </is>
      </c>
      <c r="B426" s="17" t="inlineStr">
        <is>
          <t>Live</t>
        </is>
      </c>
      <c r="C426" s="17" t="inlineStr">
        <is>
          <t>Cdiscount vol 4</t>
        </is>
      </c>
      <c r="D426" s="17" t="inlineStr">
        <is>
          <t>Vols Paris — Europe</t>
        </is>
      </c>
      <c r="E426" s="18" t="inlineStr">
        <is>
          <t>Vol Paris – Rome pas cher | Cdiscount Voyages</t>
        </is>
      </c>
      <c r="F426" s="17" t="inlineStr">
        <is>
          <t>Réservez votre vol Paris – Rome au meilleur prix sur Cdiscount Voyages : paiement en 4x sans frais et réservation en ligne simple et rapide.</t>
        </is>
      </c>
      <c r="G426" s="19" t="inlineStr">
        <is>
          <t>https://www.cdiscount.com/voyages/vol/fl-dep-fr/dep-par/par-rom.html</t>
        </is>
      </c>
      <c r="H426" s="20" t="n">
        <v>1066</v>
      </c>
      <c r="I426" s="20" t="n">
        <v>5</v>
      </c>
      <c r="J426" s="21">
        <f>IF(H426=0,0,I426/H426)</f>
        <v/>
      </c>
    </row>
    <row r="427">
      <c r="A427" s="17" t="inlineStr">
        <is>
          <t>Cdiscount Voyages</t>
        </is>
      </c>
      <c r="B427" s="17" t="inlineStr">
        <is>
          <t>Live</t>
        </is>
      </c>
      <c r="C427" s="17" t="inlineStr">
        <is>
          <t>cdiscount voyage séjours 3</t>
        </is>
      </c>
      <c r="D427" s="17" t="inlineStr">
        <is>
          <t>Cdiscount Voyages</t>
        </is>
      </c>
      <c r="E427" s="18" t="inlineStr">
        <is>
          <t>Séjour pas cher - Paiement en 4x - 🌍 Cdiscount Voyages</t>
        </is>
      </c>
      <c r="F427" s="17" t="inlineStr">
        <is>
          <t>Vous souhaitez partir en vacances ? Découvrez tous nos séjours pour partir en voyage ✓ Au meilleur prix ✓ Paiement 4x en exclu web avec Cdiscount Voyages !</t>
        </is>
      </c>
      <c r="G427" s="19" t="inlineStr">
        <is>
          <t>https://www.awin1.com/awclick.php?gid=343397&amp;mid=14021&amp;awinaffid=2748398&amp;linkid=2681295&amp;clickref=</t>
        </is>
      </c>
      <c r="H427" s="20" t="n">
        <v>437</v>
      </c>
      <c r="I427" s="20" t="n">
        <v>3</v>
      </c>
      <c r="J427" s="21">
        <f>IF(H427=0,0,I427/H427)</f>
        <v/>
      </c>
    </row>
    <row r="428">
      <c r="A428" s="17" t="inlineStr">
        <is>
          <t>Cdiscount Voyages</t>
        </is>
      </c>
      <c r="B428" s="17" t="inlineStr">
        <is>
          <t>Live</t>
        </is>
      </c>
      <c r="C428" s="17" t="inlineStr">
        <is>
          <t>cdiscount voyage séjours 3</t>
        </is>
      </c>
      <c r="D428" s="17" t="inlineStr">
        <is>
          <t>Séjours Canaries et Baléares</t>
        </is>
      </c>
      <c r="E428" s="18" t="inlineStr">
        <is>
          <t>R2 Pajara Beach 4* By Ôvoyages</t>
        </is>
      </c>
      <c r="F428" s="17" t="inlineStr">
        <is>
          <t>* La proximité avec les plus belles plages de la région * Les chambres spacieuses et confortables * L’immense piscine en lagon</t>
        </is>
      </c>
      <c r="G428" s="19" t="inlineStr">
        <is>
          <t>https://sejour.cdiscount.com/package?s_pid=17860</t>
        </is>
      </c>
      <c r="H428" s="20" t="n">
        <v>298</v>
      </c>
      <c r="I428" s="20" t="n">
        <v>1</v>
      </c>
      <c r="J428" s="21">
        <f>IF(H428=0,0,I428/H428)</f>
        <v/>
      </c>
    </row>
    <row r="429">
      <c r="A429" s="17" t="inlineStr">
        <is>
          <t>Cdiscount Voyages</t>
        </is>
      </c>
      <c r="B429" s="17" t="inlineStr">
        <is>
          <t>Live</t>
        </is>
      </c>
      <c r="C429" s="17" t="inlineStr">
        <is>
          <t>cdiscount voyage séjours 3</t>
        </is>
      </c>
      <c r="D429" s="17" t="inlineStr">
        <is>
          <t>Forfaits mobiles</t>
        </is>
      </c>
      <c r="E429" s="18" t="inlineStr">
        <is>
          <t>Forfait 150 Go - Sans Engagement - Cdiscount Mobile</t>
        </is>
      </c>
      <c r="F429" s="17" t="inlineStr">
        <is>
          <t>Si vous cherchez un Forfait 150 Go, découvrez l'offre mobile sans engagement de Cdiscount mobile. 4G &amp; 5G | Au meilleur prix</t>
        </is>
      </c>
      <c r="G429" s="19" t="inlineStr">
        <is>
          <t>https://www.awin1.com/awclick.php?gid=449948&amp;mid=19624&amp;awinaffid=2748398&amp;linkid=4526168&amp;clickref=</t>
        </is>
      </c>
      <c r="H429" s="20" t="n">
        <v>296</v>
      </c>
      <c r="I429" s="20" t="n">
        <v>2</v>
      </c>
      <c r="J429" s="21">
        <f>IF(H429=0,0,I429/H429)</f>
        <v/>
      </c>
    </row>
    <row r="430">
      <c r="A430" s="17" t="inlineStr">
        <is>
          <t>Cdiscount Voyages</t>
        </is>
      </c>
      <c r="B430" s="17" t="inlineStr">
        <is>
          <t>Live</t>
        </is>
      </c>
      <c r="C430" s="17" t="inlineStr">
        <is>
          <t>cdiscount voyage séjours 3</t>
        </is>
      </c>
      <c r="D430" s="17" t="inlineStr">
        <is>
          <t>Séjours Grèce</t>
        </is>
      </c>
      <c r="E430" s="18" t="inlineStr">
        <is>
          <t>Club Marmara Golden Coast - Choix Flex ****</t>
        </is>
      </c>
      <c r="F430" s="17" t="inlineStr">
        <is>
          <t>* À seulement 20 min à pied de la charmante station balnéaire de Nea Makri, de ses commerces, bars et tavernes. * Sa situation en bord de plage et au cœur d'un vaste parc. * La</t>
        </is>
      </c>
      <c r="G430" s="19" t="inlineStr">
        <is>
          <t>https://sejour.cdiscount.com/package?s_pid=32962</t>
        </is>
      </c>
      <c r="H430" s="20" t="n">
        <v>294</v>
      </c>
      <c r="I430" s="20" t="n">
        <v>2</v>
      </c>
      <c r="J430" s="21">
        <f>IF(H430=0,0,I430/H430)</f>
        <v/>
      </c>
    </row>
    <row r="431">
      <c r="A431" s="17" t="inlineStr">
        <is>
          <t>Cdiscount Voyages</t>
        </is>
      </c>
      <c r="B431" s="17" t="inlineStr">
        <is>
          <t>Live</t>
        </is>
      </c>
      <c r="C431" s="17" t="inlineStr">
        <is>
          <t>cdiscount voyage séjours 3</t>
        </is>
      </c>
      <c r="D431" s="17" t="inlineStr">
        <is>
          <t>Séjours Grèce</t>
        </is>
      </c>
      <c r="E431" s="18" t="inlineStr">
        <is>
          <t>Hotel Santorini 3*</t>
        </is>
      </c>
      <c r="F431" s="17" t="inlineStr">
        <is>
          <t>* Emplacement central à Fira * Connexion Wi-Fi gratuite * Proximité transports publics</t>
        </is>
      </c>
      <c r="G431" s="19" t="inlineStr">
        <is>
          <t>https://sejour.cdiscount.com/package?s_pid=481304</t>
        </is>
      </c>
      <c r="H431" s="20" t="n">
        <v>292</v>
      </c>
      <c r="I431" s="20" t="n">
        <v>3</v>
      </c>
      <c r="J431" s="21">
        <f>IF(H431=0,0,I431/H431)</f>
        <v/>
      </c>
    </row>
    <row r="432">
      <c r="A432" s="17" t="inlineStr">
        <is>
          <t>Cdiscount Voyages</t>
        </is>
      </c>
      <c r="B432" s="17" t="inlineStr">
        <is>
          <t>Live</t>
        </is>
      </c>
      <c r="C432" s="17" t="inlineStr">
        <is>
          <t>cdiscount voyage séjours 3</t>
        </is>
      </c>
      <c r="D432" s="17" t="inlineStr">
        <is>
          <t>Séjours Dubaï et long-courrier</t>
        </is>
      </c>
      <c r="E432" s="18" t="inlineStr">
        <is>
          <t>Mercure Hotel Apartments Dubai Barsha Heights 4*</t>
        </is>
      </c>
      <c r="F432" s="17" t="inlineStr">
        <is>
          <t>* La station de métro à 150 m * L’espace Spa et bien-être * Les 5 restaurants et bars</t>
        </is>
      </c>
      <c r="G432" s="19" t="inlineStr">
        <is>
          <t>https://sejour.cdiscount.com/package?s_pid=363687</t>
        </is>
      </c>
      <c r="H432" s="20" t="n">
        <v>291</v>
      </c>
      <c r="I432" s="20" t="n">
        <v>2</v>
      </c>
      <c r="J432" s="21">
        <f>IF(H432=0,0,I432/H432)</f>
        <v/>
      </c>
    </row>
    <row r="433">
      <c r="A433" s="17" t="inlineStr">
        <is>
          <t>Cdiscount Voyages</t>
        </is>
      </c>
      <c r="B433" s="17" t="inlineStr">
        <is>
          <t>Live</t>
        </is>
      </c>
      <c r="C433" s="17" t="inlineStr">
        <is>
          <t>cdiscount voyage séjours 3</t>
        </is>
      </c>
      <c r="D433" s="17" t="inlineStr">
        <is>
          <t>Forfaits mobiles</t>
        </is>
      </c>
      <c r="E433" s="18" t="inlineStr">
        <is>
          <t>Forfait 40 Go - Sans Engagement - Cdiscount Mobile</t>
        </is>
      </c>
      <c r="F433" s="17" t="inlineStr">
        <is>
          <t>Si vous cherchez un Forfait 40 Go, découvrez l'offre mobile sans engagement de Cdiscount mobile. 4G &amp; 5G | Au meilleur prix</t>
        </is>
      </c>
      <c r="G433" s="19" t="inlineStr">
        <is>
          <t>https://www.awin1.com/awclick.php?gid=449948&amp;mid=19624&amp;awinaffid=2748398&amp;linkid=4651001&amp;clickref=</t>
        </is>
      </c>
      <c r="H433" s="20" t="n">
        <v>287</v>
      </c>
      <c r="I433" s="20" t="n">
        <v>3</v>
      </c>
      <c r="J433" s="21">
        <f>IF(H433=0,0,I433/H433)</f>
        <v/>
      </c>
    </row>
    <row r="434">
      <c r="A434" s="17" t="inlineStr">
        <is>
          <t>Cdiscount Voyages</t>
        </is>
      </c>
      <c r="B434" s="17" t="inlineStr">
        <is>
          <t>Live</t>
        </is>
      </c>
      <c r="C434" s="17" t="inlineStr">
        <is>
          <t>cdiscount voyage séjours 3</t>
        </is>
      </c>
      <c r="D434" s="17" t="inlineStr">
        <is>
          <t>Séjours Tunisie</t>
        </is>
      </c>
      <c r="E434" s="18" t="inlineStr">
        <is>
          <t>Hôtel Amber El Fell 4*</t>
        </is>
      </c>
      <c r="F434" s="17" t="inlineStr">
        <is>
          <t>* Hôtel les pieds dans l’eau * Des chambres confortables * Un séjour idéal</t>
        </is>
      </c>
      <c r="G434" s="19" t="inlineStr">
        <is>
          <t>https://sejour.cdiscount.com/package?s_pid=428319</t>
        </is>
      </c>
      <c r="H434" s="20" t="n">
        <v>278</v>
      </c>
      <c r="I434" s="20" t="n">
        <v>1</v>
      </c>
      <c r="J434" s="21">
        <f>IF(H434=0,0,I434/H434)</f>
        <v/>
      </c>
    </row>
    <row r="435">
      <c r="A435" s="17" t="inlineStr">
        <is>
          <t>Cdiscount Voyages</t>
        </is>
      </c>
      <c r="B435" s="17" t="inlineStr">
        <is>
          <t>Live</t>
        </is>
      </c>
      <c r="C435" s="17" t="inlineStr">
        <is>
          <t>cdiscount voyage séjours 3</t>
        </is>
      </c>
      <c r="D435" s="17" t="inlineStr">
        <is>
          <t>Séjours Dubaï et long-courrier</t>
        </is>
      </c>
      <c r="E435" s="18" t="inlineStr">
        <is>
          <t>Avani Deira Dubai 5*</t>
        </is>
      </c>
      <c r="F435" s="17" t="inlineStr">
        <is>
          <t>* La situation dans la vieille ville * Les services de qualité * La piscine sur le toit-terrasse</t>
        </is>
      </c>
      <c r="G435" s="19" t="inlineStr">
        <is>
          <t>https://sejour.cdiscount.com/package?s_pid=330794</t>
        </is>
      </c>
      <c r="H435" s="20" t="n">
        <v>274</v>
      </c>
      <c r="I435" s="20" t="n">
        <v>0</v>
      </c>
      <c r="J435" s="21">
        <f>IF(H435=0,0,I435/H435)</f>
        <v/>
      </c>
    </row>
    <row r="436">
      <c r="A436" s="17" t="inlineStr">
        <is>
          <t>Cdiscount Voyages</t>
        </is>
      </c>
      <c r="B436" s="17" t="inlineStr">
        <is>
          <t>Live</t>
        </is>
      </c>
      <c r="C436" s="17" t="inlineStr">
        <is>
          <t>cdiscount voyage séjours 3</t>
        </is>
      </c>
      <c r="D436" s="17" t="inlineStr">
        <is>
          <t>Séjours Grèce</t>
        </is>
      </c>
      <c r="E436" s="18" t="inlineStr">
        <is>
          <t>Combiné Athènes &amp; Îles De Santorin Grèce</t>
        </is>
      </c>
      <c r="F436" s="17" t="inlineStr">
        <is>
          <t>* La capitale hellénique, alliance de trésors antiques et de modernité * Le combiné entre culture et charme * Choisir entre un hébergement Standard 2*/3*</t>
        </is>
      </c>
      <c r="G436" s="19" t="inlineStr">
        <is>
          <t>https://sejour.cdiscount.com/package?s_pid=483714</t>
        </is>
      </c>
      <c r="H436" s="20" t="n">
        <v>269</v>
      </c>
      <c r="I436" s="20" t="n">
        <v>5</v>
      </c>
      <c r="J436" s="21">
        <f>IF(H436=0,0,I436/H436)</f>
        <v/>
      </c>
    </row>
    <row r="437">
      <c r="A437" s="17" t="inlineStr">
        <is>
          <t>Cdiscount Voyages</t>
        </is>
      </c>
      <c r="B437" s="17" t="inlineStr">
        <is>
          <t>Live</t>
        </is>
      </c>
      <c r="C437" s="17" t="inlineStr">
        <is>
          <t>cdiscount voyage séjours 3</t>
        </is>
      </c>
      <c r="D437" s="17" t="inlineStr">
        <is>
          <t>Séjours Tunisie</t>
        </is>
      </c>
      <c r="E437" s="18" t="inlineStr">
        <is>
          <t>Vincci Dar Midoun 4*</t>
        </is>
      </c>
      <c r="F437" s="17" t="inlineStr">
        <is>
          <t>Dans un environnement exceptionnel de palmiers et de verdure et au bord d'une longue et belle plage de sable.</t>
        </is>
      </c>
      <c r="G437" s="19" t="inlineStr">
        <is>
          <t>https://sejour.cdiscount.com/package?s_pid=487363</t>
        </is>
      </c>
      <c r="H437" s="20" t="n">
        <v>266</v>
      </c>
      <c r="I437" s="20" t="n">
        <v>0</v>
      </c>
      <c r="J437" s="21">
        <f>IF(H437=0,0,I437/H437)</f>
        <v/>
      </c>
    </row>
    <row r="438">
      <c r="A438" s="17" t="inlineStr">
        <is>
          <t>Cdiscount Voyages</t>
        </is>
      </c>
      <c r="B438" s="17" t="inlineStr">
        <is>
          <t>Live</t>
        </is>
      </c>
      <c r="C438" s="17" t="inlineStr">
        <is>
          <t>cdiscount voyage séjours 3</t>
        </is>
      </c>
      <c r="D438" s="17" t="inlineStr">
        <is>
          <t>Séjours Tunisie</t>
        </is>
      </c>
      <c r="E438" s="18" t="inlineStr">
        <is>
          <t>Tun-mir/méhari Hammamet Thalasso &amp; Spa 5*</t>
        </is>
      </c>
      <c r="F438" s="17" t="inlineStr">
        <is>
          <t>* Situé en front de mer * Un hôtel de caractère * Luxe et confort</t>
        </is>
      </c>
      <c r="G438" s="19" t="inlineStr">
        <is>
          <t>https://sejour.cdiscount.com/package?s_pid=176430</t>
        </is>
      </c>
      <c r="H438" s="20" t="n">
        <v>259</v>
      </c>
      <c r="I438" s="20" t="n">
        <v>5</v>
      </c>
      <c r="J438" s="21">
        <f>IF(H438=0,0,I438/H438)</f>
        <v/>
      </c>
    </row>
    <row r="439">
      <c r="A439" s="17" t="inlineStr">
        <is>
          <t>Cdiscount Voyages</t>
        </is>
      </c>
      <c r="B439" s="17" t="inlineStr">
        <is>
          <t>Live</t>
        </is>
      </c>
      <c r="C439" s="17" t="inlineStr">
        <is>
          <t>cdiscount voyage séjours 3</t>
        </is>
      </c>
      <c r="D439" s="17" t="inlineStr">
        <is>
          <t>Séjours Canaries et Baléares</t>
        </is>
      </c>
      <c r="E439" s="18" t="inlineStr">
        <is>
          <t>Hôtel Ankaa - Adults Only (+16 Ans) ****</t>
        </is>
      </c>
      <c r="F439" s="17" t="inlineStr">
        <is>
          <t>Située face aux côtes valenciennes, au coeur de la méditerranée, Majorque est la plus grande île des Baléares, mesurant près de 80 km de long et 550 km de côte. Destination pleine</t>
        </is>
      </c>
      <c r="G439" s="19" t="inlineStr">
        <is>
          <t>https://sejour.cdiscount.com/package?s_pid=320093</t>
        </is>
      </c>
      <c r="H439" s="20" t="n">
        <v>259</v>
      </c>
      <c r="I439" s="20" t="n">
        <v>1</v>
      </c>
      <c r="J439" s="21">
        <f>IF(H439=0,0,I439/H439)</f>
        <v/>
      </c>
    </row>
    <row r="440">
      <c r="A440" s="17" t="inlineStr">
        <is>
          <t>Cdiscount Voyages</t>
        </is>
      </c>
      <c r="B440" s="17" t="inlineStr">
        <is>
          <t>Live</t>
        </is>
      </c>
      <c r="C440" s="17" t="inlineStr">
        <is>
          <t>cdiscount voyage séjours 3</t>
        </is>
      </c>
      <c r="D440" s="17" t="inlineStr">
        <is>
          <t>Séjours Canaries et Baléares</t>
        </is>
      </c>
      <c r="E440" s="18" t="inlineStr">
        <is>
          <t>R2 Rio Calma 4*</t>
        </is>
      </c>
      <c r="F440" s="17" t="inlineStr">
        <is>
          <t>Fuerteventura est l'une des sept îles de l'archipel des Canaries. Au large des côtes africaines, elle est un parfait mélange de paysages volcaniques, de plages de sable fin, de</t>
        </is>
      </c>
      <c r="G440" s="19" t="inlineStr">
        <is>
          <t>https://sejour.cdiscount.com/package?s_pid=324388</t>
        </is>
      </c>
      <c r="H440" s="20" t="n">
        <v>257</v>
      </c>
      <c r="I440" s="20" t="n">
        <v>2</v>
      </c>
      <c r="J440" s="21">
        <f>IF(H440=0,0,I440/H440)</f>
        <v/>
      </c>
    </row>
    <row r="441">
      <c r="A441" s="17" t="inlineStr">
        <is>
          <t>Cdiscount Voyages</t>
        </is>
      </c>
      <c r="B441" s="17" t="inlineStr">
        <is>
          <t>Live</t>
        </is>
      </c>
      <c r="C441" s="17" t="inlineStr">
        <is>
          <t>cdiscount voyage séjours 3</t>
        </is>
      </c>
      <c r="D441" s="17" t="inlineStr">
        <is>
          <t>Séjours Dubaï et long-courrier</t>
        </is>
      </c>
      <c r="E441" s="18" t="inlineStr">
        <is>
          <t>Hôtel Copthorne Hôtel Dubai ****</t>
        </is>
      </c>
      <c r="F441" s="17" t="inlineStr">
        <is>
          <t>Dubaï, situé au carrefour entre l'orient et l'occident, est le deuxième plus grand émirat des Émirats Arabes Unis (EAU). Symbole de modernité au coeur de la péninsule arabique</t>
        </is>
      </c>
      <c r="G441" s="19" t="inlineStr">
        <is>
          <t>https://sejour.cdiscount.com/package?s_pid=252863</t>
        </is>
      </c>
      <c r="H441" s="20" t="n">
        <v>252</v>
      </c>
      <c r="I441" s="20" t="n">
        <v>1</v>
      </c>
      <c r="J441" s="21">
        <f>IF(H441=0,0,I441/H441)</f>
        <v/>
      </c>
    </row>
    <row r="442">
      <c r="A442" s="17" t="inlineStr">
        <is>
          <t>Cdiscount Voyages</t>
        </is>
      </c>
      <c r="B442" s="17" t="inlineStr">
        <is>
          <t>Live</t>
        </is>
      </c>
      <c r="C442" s="17" t="inlineStr">
        <is>
          <t>cdiscount voyage séjours 4</t>
        </is>
      </c>
      <c r="D442" s="17" t="inlineStr">
        <is>
          <t>Séjours Tunisie</t>
        </is>
      </c>
      <c r="E442" s="18" t="inlineStr">
        <is>
          <t>Tun-mir/méhari Hammamet Thalasso &amp; Spa 5*</t>
        </is>
      </c>
      <c r="F442" s="17" t="inlineStr">
        <is>
          <t>* Situé en front de mer * Un hôtel de caractère * Luxe et confort</t>
        </is>
      </c>
      <c r="G442" s="19" t="inlineStr">
        <is>
          <t>https://sejour.cdiscount.com/package?s_pid=176430</t>
        </is>
      </c>
      <c r="H442" s="20" t="n">
        <v>6</v>
      </c>
      <c r="I442" s="20" t="n">
        <v>0</v>
      </c>
      <c r="J442" s="21">
        <f>IF(H442=0,0,I442/H442)</f>
        <v/>
      </c>
    </row>
    <row r="443">
      <c r="A443" s="17" t="inlineStr">
        <is>
          <t>Cdiscount Voyages</t>
        </is>
      </c>
      <c r="B443" s="17" t="inlineStr">
        <is>
          <t>Live</t>
        </is>
      </c>
      <c r="C443" s="17" t="inlineStr">
        <is>
          <t>cdiscount voyage séjours 4</t>
        </is>
      </c>
      <c r="D443" s="17" t="inlineStr">
        <is>
          <t>Séjours Tunisie</t>
        </is>
      </c>
      <c r="E443" s="18" t="inlineStr">
        <is>
          <t>Vincci Dar Midoun 4*</t>
        </is>
      </c>
      <c r="F443" s="17" t="inlineStr">
        <is>
          <t>Dans un environnement exceptionnel de palmiers et de verdure et au bord d'une longue et belle plage de sable.</t>
        </is>
      </c>
      <c r="G443" s="19" t="inlineStr">
        <is>
          <t>https://sejour.cdiscount.com/package?s_pid=487363</t>
        </is>
      </c>
      <c r="H443" s="20" t="n">
        <v>4</v>
      </c>
      <c r="I443" s="20" t="n">
        <v>0</v>
      </c>
      <c r="J443" s="21">
        <f>IF(H443=0,0,I443/H443)</f>
        <v/>
      </c>
    </row>
    <row r="444">
      <c r="A444" s="17" t="inlineStr">
        <is>
          <t>Cdiscount Voyages</t>
        </is>
      </c>
      <c r="B444" s="17" t="inlineStr">
        <is>
          <t>Live</t>
        </is>
      </c>
      <c r="C444" s="17" t="inlineStr">
        <is>
          <t>cdiscount voyage séjours 4</t>
        </is>
      </c>
      <c r="D444" s="17" t="inlineStr">
        <is>
          <t>Séjours Tunisie</t>
        </is>
      </c>
      <c r="E444" s="18" t="inlineStr">
        <is>
          <t>Hôtel Amber El Fell 4*</t>
        </is>
      </c>
      <c r="F444" s="17" t="inlineStr">
        <is>
          <t>* Hôtel les pieds dans l’eau * Des chambres confortables * Un séjour idéal</t>
        </is>
      </c>
      <c r="G444" s="19" t="inlineStr">
        <is>
          <t>https://sejour.cdiscount.com/package?s_pid=428319</t>
        </is>
      </c>
      <c r="H444" s="20" t="n">
        <v>4</v>
      </c>
      <c r="I444" s="20" t="n">
        <v>0</v>
      </c>
      <c r="J444" s="21">
        <f>IF(H444=0,0,I444/H444)</f>
        <v/>
      </c>
    </row>
    <row r="445">
      <c r="A445" s="17" t="inlineStr">
        <is>
          <t>Cdiscount Voyages</t>
        </is>
      </c>
      <c r="B445" s="17" t="inlineStr">
        <is>
          <t>Live</t>
        </is>
      </c>
      <c r="C445" s="17" t="inlineStr">
        <is>
          <t>cdiscount voyage séjours 4</t>
        </is>
      </c>
      <c r="D445" s="17" t="inlineStr">
        <is>
          <t>Forfaits mobiles</t>
        </is>
      </c>
      <c r="E445" s="18" t="inlineStr">
        <is>
          <t>Forfait 40 Go - Sans Engagement - Cdiscount Mobile</t>
        </is>
      </c>
      <c r="F445" s="17" t="inlineStr">
        <is>
          <t>Si vous cherchez un Forfait 40 Go, découvrez l'offre mobile sans engagement de Cdiscount mobile. 4G &amp; 5G | Au meilleur prix</t>
        </is>
      </c>
      <c r="G445" s="19" t="inlineStr">
        <is>
          <t>https://www.awin1.com/awclick.php?gid=449948&amp;mid=19624&amp;awinaffid=2748398&amp;linkid=4651001&amp;clickref=</t>
        </is>
      </c>
      <c r="H445" s="20" t="n">
        <v>2</v>
      </c>
      <c r="I445" s="20" t="n">
        <v>0</v>
      </c>
      <c r="J445" s="21">
        <f>IF(H445=0,0,I445/H445)</f>
        <v/>
      </c>
    </row>
    <row r="446">
      <c r="A446" s="17" t="inlineStr">
        <is>
          <t>Cdiscount Voyages</t>
        </is>
      </c>
      <c r="B446" s="17" t="inlineStr">
        <is>
          <t>Live</t>
        </is>
      </c>
      <c r="C446" s="17" t="inlineStr">
        <is>
          <t>cdiscount voyage séjours 4</t>
        </is>
      </c>
      <c r="D446" s="17" t="inlineStr">
        <is>
          <t>Forfaits mobiles</t>
        </is>
      </c>
      <c r="E446" s="18" t="inlineStr">
        <is>
          <t>Forfait 150 Go - Sans Engagement - Cdiscount Mobile</t>
        </is>
      </c>
      <c r="F446" s="17" t="inlineStr">
        <is>
          <t>Si vous cherchez un Forfait 150 Go, découvrez l'offre mobile sans engagement de Cdiscount mobile. 4G &amp; 5G | Au meilleur prix</t>
        </is>
      </c>
      <c r="G446" s="19" t="inlineStr">
        <is>
          <t>https://www.awin1.com/awclick.php?gid=449948&amp;mid=19624&amp;awinaffid=2748398&amp;linkid=4526168&amp;clickref=</t>
        </is>
      </c>
      <c r="H446" s="20" t="n">
        <v>1</v>
      </c>
      <c r="I446" s="20" t="n">
        <v>0</v>
      </c>
      <c r="J446" s="21">
        <f>IF(H446=0,0,I446/H446)</f>
        <v/>
      </c>
    </row>
    <row r="447">
      <c r="A447" s="17" t="inlineStr">
        <is>
          <t>Cdiscount Voyages</t>
        </is>
      </c>
      <c r="B447" s="17" t="inlineStr">
        <is>
          <t>Live</t>
        </is>
      </c>
      <c r="C447" s="17" t="inlineStr">
        <is>
          <t>cdiscount voyage séjours 4</t>
        </is>
      </c>
      <c r="D447" s="17" t="inlineStr">
        <is>
          <t>Séjours Dubaï et long-courrier</t>
        </is>
      </c>
      <c r="E447" s="18" t="inlineStr">
        <is>
          <t>Hôtel Copthorne Hôtel Dubai ****</t>
        </is>
      </c>
      <c r="F447" s="17" t="inlineStr">
        <is>
          <t>Dubaï, situé au carrefour entre l'orient et l'occident, est le deuxième plus grand émirat des Émirats Arabes Unis (EAU). Symbole de modernité au coeur de la péninsule arabique</t>
        </is>
      </c>
      <c r="G447" s="19" t="inlineStr">
        <is>
          <t>https://sejour.cdiscount.com/package?s_pid=252863</t>
        </is>
      </c>
      <c r="H447" s="20" t="n">
        <v>1</v>
      </c>
      <c r="I447" s="20" t="n">
        <v>0</v>
      </c>
      <c r="J447" s="21">
        <f>IF(H447=0,0,I447/H447)</f>
        <v/>
      </c>
    </row>
    <row r="448">
      <c r="A448" s="17" t="inlineStr">
        <is>
          <t>Monoprix</t>
        </is>
      </c>
      <c r="B448" s="17" t="inlineStr">
        <is>
          <t>Live</t>
        </is>
      </c>
      <c r="C448" s="17" t="inlineStr">
        <is>
          <t>Monoprix Mode 2</t>
        </is>
      </c>
      <c r="D448" s="17" t="inlineStr">
        <is>
          <t>Underwear and Lingerie</t>
        </is>
      </c>
      <c r="E448" s="18" t="inlineStr">
        <is>
          <t>Boxers, slips et lingerie prix bas | Monoprix</t>
        </is>
      </c>
      <c r="F448" s="17" t="inlineStr">
        <is>
          <t>Lot de 3 slips en coton DIM à taille élastiquée et maintien doublé : boxers, slips et lingerie Monoprix se renouvellent avec vos courses.</t>
        </is>
      </c>
      <c r="G448" s="19" t="inlineStr">
        <is>
          <t>https://action.metaffiliation.com/trk.php?mclic=P5104675874B11CS1UE412f3c01304638V4</t>
        </is>
      </c>
      <c r="H448" s="20" t="n">
        <v>65997</v>
      </c>
      <c r="I448" s="20" t="n">
        <v>271</v>
      </c>
      <c r="J448" s="21">
        <f>IF(H448=0,0,I448/H448)</f>
        <v/>
      </c>
    </row>
    <row r="449">
      <c r="A449" s="17" t="inlineStr">
        <is>
          <t>Monoprix</t>
        </is>
      </c>
      <c r="B449" s="17" t="inlineStr">
        <is>
          <t>Live</t>
        </is>
      </c>
      <c r="C449" s="17" t="inlineStr">
        <is>
          <t>Monoprix Courses</t>
        </is>
      </c>
      <c r="D449" s="17" t="inlineStr">
        <is>
          <t>Fruits et légumes</t>
        </is>
      </c>
      <c r="E449" s="18" t="inlineStr">
        <is>
          <t>Bonduelle mâche &amp; roquette sachet de 100g</t>
        </is>
      </c>
      <c r="F449" s="17" t="inlineStr">
        <is>
          <t>Mélange de salades prêt à l'emploi - Bonduelle Bonduelle Mâche &amp; Roquette Sachet De 100g</t>
        </is>
      </c>
      <c r="G449" s="19" t="inlineStr">
        <is>
          <t>https://action.metaffiliation.com/trk.php?mclic=P5104675874B1295S1UD4135bd0757643V4</t>
        </is>
      </c>
      <c r="H449" s="20" t="n">
        <v>49182</v>
      </c>
      <c r="I449" s="20" t="n">
        <v>101</v>
      </c>
      <c r="J449" s="21">
        <f>IF(H449=0,0,I449/H449)</f>
        <v/>
      </c>
    </row>
    <row r="450">
      <c r="A450" s="17" t="inlineStr">
        <is>
          <t>Monoprix</t>
        </is>
      </c>
      <c r="B450" s="17" t="inlineStr">
        <is>
          <t>Live</t>
        </is>
      </c>
      <c r="C450" s="17" t="inlineStr">
        <is>
          <t>Monoprix Courses</t>
        </is>
      </c>
      <c r="D450" s="17" t="inlineStr">
        <is>
          <t>Drugstores and Pharmacies</t>
        </is>
      </c>
      <c r="E450" s="18" t="inlineStr">
        <is>
          <t>Monoprix - Parapharmacie et premiers soins</t>
        </is>
      </c>
      <c r="F450" s="17" t="inlineStr">
        <is>
          <t>Le gel lacté après-soleil Avène 200 ml et les soins de parapharmacie Monoprix, à commander en ligne avec le reste de vos courses.</t>
        </is>
      </c>
      <c r="G450" s="19" t="inlineStr">
        <is>
          <t>https://action.metaffiliation.com/trk.php?mclic=P5104675874B1295S1UD4135bd0759227V4</t>
        </is>
      </c>
      <c r="H450" s="20" t="n">
        <v>36915</v>
      </c>
      <c r="I450" s="20" t="n">
        <v>125</v>
      </c>
      <c r="J450" s="21">
        <f>IF(H450=0,0,I450/H450)</f>
        <v/>
      </c>
    </row>
    <row r="451">
      <c r="A451" s="17" t="inlineStr">
        <is>
          <t>Monoprix</t>
        </is>
      </c>
      <c r="B451" s="17" t="inlineStr">
        <is>
          <t>Live</t>
        </is>
      </c>
      <c r="C451" s="17" t="inlineStr">
        <is>
          <t>Monoprix Courses</t>
        </is>
      </c>
      <c r="D451" s="17" t="inlineStr">
        <is>
          <t>Fruit</t>
        </is>
      </c>
      <c r="E451" s="18" t="inlineStr">
        <is>
          <t>Fruits frais pas chers | Monoprix</t>
        </is>
      </c>
      <c r="F451" s="17" t="inlineStr">
        <is>
          <t>Groseille rouge en barquette de 125 g : les fruits frais Monoprix se choisissent en ligne et rejoignent votre panier de courses de la semaine.</t>
        </is>
      </c>
      <c r="G451" s="19" t="inlineStr">
        <is>
          <t>https://action.metaffiliation.com/trk.php?mclic=P5104675874B1295S1UD4135bd0809626V4</t>
        </is>
      </c>
      <c r="H451" s="20" t="n">
        <v>34081</v>
      </c>
      <c r="I451" s="20" t="n">
        <v>90</v>
      </c>
      <c r="J451" s="21">
        <f>IF(H451=0,0,I451/H451)</f>
        <v/>
      </c>
    </row>
    <row r="452">
      <c r="A452" s="17" t="inlineStr">
        <is>
          <t>Monoprix</t>
        </is>
      </c>
      <c r="B452" s="17" t="inlineStr">
        <is>
          <t>Live</t>
        </is>
      </c>
      <c r="C452" s="17" t="inlineStr">
        <is>
          <t>Monoprix Courses</t>
        </is>
      </c>
      <c r="D452" s="17" t="inlineStr">
        <is>
          <t>Drugstores and Pharmacies</t>
        </is>
      </c>
      <c r="E452" s="18" t="inlineStr">
        <is>
          <t>Parapharmacie et premiers soins prix bas | Monoprix</t>
        </is>
      </c>
      <c r="F452" s="17" t="inlineStr">
        <is>
          <t>Compresses stériles Mercurochrome en gaze hydrophile 100 % coton, 20 x 20 cm : un format économique de 60 unités pour la trousse de premiers soins.</t>
        </is>
      </c>
      <c r="G452" s="19" t="inlineStr">
        <is>
          <t>https://action.metaffiliation.com/trk.php?mclic=P5104675874B1295S1UD4135bd0791071V4</t>
        </is>
      </c>
      <c r="H452" s="20" t="n">
        <v>32509</v>
      </c>
      <c r="I452" s="20" t="n">
        <v>101</v>
      </c>
      <c r="J452" s="21">
        <f>IF(H452=0,0,I452/H452)</f>
        <v/>
      </c>
    </row>
    <row r="453">
      <c r="A453" s="17" t="inlineStr">
        <is>
          <t>Monoprix</t>
        </is>
      </c>
      <c r="B453" s="17" t="inlineStr">
        <is>
          <t>Live</t>
        </is>
      </c>
      <c r="C453" s="17" t="inlineStr">
        <is>
          <t>Monoprix Courses</t>
        </is>
      </c>
      <c r="D453" s="17" t="inlineStr">
        <is>
          <t>Produits frais</t>
        </is>
      </c>
      <c r="E453" s="18" t="inlineStr">
        <is>
          <t>côte de veau sans os 2x</t>
        </is>
      </c>
      <c r="F453" s="17" t="inlineStr">
        <is>
          <t>Monoprix a sélectionné pour vous des partenaires aux pratiques vertueuses, engagés pour une filière bio toujours plus responsable et solidaire. Nos garanties sur le veau</t>
        </is>
      </c>
      <c r="G453" s="19" t="inlineStr">
        <is>
          <t>https://action.metaffiliation.com/trk.php?mclic=P5104675874B1295S1UD4135bd0795692V4</t>
        </is>
      </c>
      <c r="H453" s="20" t="n">
        <v>32183</v>
      </c>
      <c r="I453" s="20" t="n">
        <v>92</v>
      </c>
      <c r="J453" s="21">
        <f>IF(H453=0,0,I453/H453)</f>
        <v/>
      </c>
    </row>
    <row r="454">
      <c r="A454" s="17" t="inlineStr">
        <is>
          <t>Monoprix</t>
        </is>
      </c>
      <c r="B454" s="17" t="inlineStr">
        <is>
          <t>Live</t>
        </is>
      </c>
      <c r="C454" s="17" t="inlineStr">
        <is>
          <t>Monoprix Courses</t>
        </is>
      </c>
      <c r="D454" s="17" t="inlineStr">
        <is>
          <t>Fruits et légumes</t>
        </is>
      </c>
      <c r="E454" s="18" t="inlineStr">
        <is>
          <t>Yarden choucroute nature 900g</t>
        </is>
      </c>
      <c r="F454" s="17" t="inlineStr">
        <is>
          <t>Choucroute nature - Yarden Yarden Choucroute Nature 900g</t>
        </is>
      </c>
      <c r="G454" s="19" t="inlineStr">
        <is>
          <t>https://action.metaffiliation.com/trk.php?mclic=P5104675874B1295S1UD4135bd0802549V4</t>
        </is>
      </c>
      <c r="H454" s="20" t="n">
        <v>27519</v>
      </c>
      <c r="I454" s="20" t="n">
        <v>80</v>
      </c>
      <c r="J454" s="21">
        <f>IF(H454=0,0,I454/H454)</f>
        <v/>
      </c>
    </row>
    <row r="455">
      <c r="A455" s="17" t="inlineStr">
        <is>
          <t>Monoprix</t>
        </is>
      </c>
      <c r="B455" s="17" t="inlineStr">
        <is>
          <t>Live</t>
        </is>
      </c>
      <c r="C455" s="17" t="inlineStr">
        <is>
          <t>Monoprix Courses</t>
        </is>
      </c>
      <c r="D455" s="17" t="inlineStr">
        <is>
          <t>General Food</t>
        </is>
      </c>
      <c r="E455" s="18" t="inlineStr">
        <is>
          <t>Épicerie et produits frais au meilleur prix | Monoprix</t>
        </is>
      </c>
      <c r="F455" s="17" t="inlineStr">
        <is>
          <t>Harissa maison Yarden en pot de 230 g : une purée de piment à doser à la petite cuillère dans le couscous, la soupe ou une vinaigrette.</t>
        </is>
      </c>
      <c r="G455" s="19" t="inlineStr">
        <is>
          <t>https://action.metaffiliation.com/trk.php?mclic=P5104675874B1295S1UD4135bd0620537V4</t>
        </is>
      </c>
      <c r="H455" s="20" t="n">
        <v>26654</v>
      </c>
      <c r="I455" s="20" t="n">
        <v>90</v>
      </c>
      <c r="J455" s="21">
        <f>IF(H455=0,0,I455/H455)</f>
        <v/>
      </c>
    </row>
    <row r="456">
      <c r="A456" s="17" t="inlineStr">
        <is>
          <t>Monoprix</t>
        </is>
      </c>
      <c r="B456" s="17" t="inlineStr">
        <is>
          <t>Live</t>
        </is>
      </c>
      <c r="C456" s="17" t="inlineStr">
        <is>
          <t>Monoprix Courses</t>
        </is>
      </c>
      <c r="D456" s="17" t="inlineStr">
        <is>
          <t>Produits frais</t>
        </is>
      </c>
      <c r="E456" s="18" t="inlineStr">
        <is>
          <t>Le gaulois saucisses de volaille x6 300g</t>
        </is>
      </c>
      <c r="F456" s="17" t="inlineStr">
        <is>
          <t>Saucisses de volaille - LE GAULOIS Le Gaulois Saucisses De Volaille x6 300g</t>
        </is>
      </c>
      <c r="G456" s="19" t="inlineStr">
        <is>
          <t>https://action.metaffiliation.com/trk.php?mclic=P5104675874B1295S1UD4135bd0776637V4</t>
        </is>
      </c>
      <c r="H456" s="20" t="n">
        <v>25848</v>
      </c>
      <c r="I456" s="20" t="n">
        <v>72</v>
      </c>
      <c r="J456" s="21">
        <f>IF(H456=0,0,I456/H456)</f>
        <v/>
      </c>
    </row>
    <row r="457">
      <c r="A457" s="17" t="inlineStr">
        <is>
          <t>Monoprix</t>
        </is>
      </c>
      <c r="B457" s="17" t="inlineStr">
        <is>
          <t>Live</t>
        </is>
      </c>
      <c r="C457" s="17" t="inlineStr">
        <is>
          <t>Monoprix Courses</t>
        </is>
      </c>
      <c r="D457" s="17" t="inlineStr">
        <is>
          <t>Produits frais</t>
        </is>
      </c>
      <c r="E457" s="18" t="inlineStr">
        <is>
          <t>côte de porc x2 260g</t>
        </is>
      </c>
      <c r="F457" s="17" t="inlineStr">
        <is>
          <t>Monoprix a sélectionné pour vous des partenaires aux pratiques vertueuses, engagés pour une filière bio toujours plus responsable et solidaire. Nos garanties sur le porc</t>
        </is>
      </c>
      <c r="G457" s="19" t="inlineStr">
        <is>
          <t>https://action.metaffiliation.com/trk.php?mclic=P5104675874B1295S1UD4135bd0773918V4</t>
        </is>
      </c>
      <c r="H457" s="20" t="n">
        <v>24095</v>
      </c>
      <c r="I457" s="20" t="n">
        <v>71</v>
      </c>
      <c r="J457" s="21">
        <f>IF(H457=0,0,I457/H457)</f>
        <v/>
      </c>
    </row>
    <row r="458">
      <c r="A458" s="17" t="inlineStr">
        <is>
          <t>Monoprix</t>
        </is>
      </c>
      <c r="B458" s="17" t="inlineStr">
        <is>
          <t>Live</t>
        </is>
      </c>
      <c r="C458" s="17" t="inlineStr">
        <is>
          <t>Monoprix Mode 2</t>
        </is>
      </c>
      <c r="D458" s="17" t="inlineStr">
        <is>
          <t>Sous-vêtements homme</t>
        </is>
      </c>
      <c r="E458" s="18" t="inlineStr">
        <is>
          <t>Lot de 2 paires de chaussettes en coton Bleuforêt</t>
        </is>
      </c>
      <c r="F458" s="17" t="inlineStr">
        <is>
          <t>Lot de 2 paires de chaussettes unies Bleuforêt Larges bords élastiqués en côtes Tige moyenne Pointes et talons renforcés Numéro de modèle : P36239301</t>
        </is>
      </c>
      <c r="G458" s="19" t="inlineStr">
        <is>
          <t>https://action.metaffiliation.com/trk.php?mclic=P5104675874B11CS1UE412f3c01242523V4</t>
        </is>
      </c>
      <c r="H458" s="20" t="n">
        <v>23940</v>
      </c>
      <c r="I458" s="20" t="n">
        <v>117</v>
      </c>
      <c r="J458" s="21">
        <f>IF(H458=0,0,I458/H458)</f>
        <v/>
      </c>
    </row>
    <row r="459">
      <c r="A459" s="17" t="inlineStr">
        <is>
          <t>Monoprix</t>
        </is>
      </c>
      <c r="B459" s="17" t="inlineStr">
        <is>
          <t>Live</t>
        </is>
      </c>
      <c r="C459" s="17" t="inlineStr">
        <is>
          <t>Monoprix Mode 2</t>
        </is>
      </c>
      <c r="D459" s="17" t="inlineStr">
        <is>
          <t>Bébé et enfant</t>
        </is>
      </c>
      <c r="E459" s="18" t="inlineStr">
        <is>
          <t>Dors bien ouverture avant en velours en coton BIO GOTS</t>
        </is>
      </c>
      <c r="F459" s="17" t="inlineStr">
        <is>
          <t>Dors bien en velours à pois Col rond Fermeture par boutons pression devant Manches longues Maille douce et chaude GOTS : Ce produit est en coton issu de l'agriculture biologique</t>
        </is>
      </c>
      <c r="G459" s="19" t="inlineStr">
        <is>
          <t>https://action.metaffiliation.com/trk.php?mclic=P5104675874B11CS1UD412f3c0678764V4</t>
        </is>
      </c>
      <c r="H459" s="20" t="n">
        <v>23480</v>
      </c>
      <c r="I459" s="20" t="n">
        <v>101</v>
      </c>
      <c r="J459" s="21">
        <f>IF(H459=0,0,I459/H459)</f>
        <v/>
      </c>
    </row>
    <row r="460">
      <c r="A460" s="17" t="inlineStr">
        <is>
          <t>Monoprix</t>
        </is>
      </c>
      <c r="B460" s="17" t="inlineStr">
        <is>
          <t>Live</t>
        </is>
      </c>
      <c r="C460" s="17" t="inlineStr">
        <is>
          <t>Monoprix Courses</t>
        </is>
      </c>
      <c r="D460" s="17" t="inlineStr">
        <is>
          <t>Fruits et légumes</t>
        </is>
      </c>
      <c r="E460" s="18" t="inlineStr">
        <is>
          <t>Groseille rouge 125g</t>
        </is>
      </c>
      <c r="F460" s="17" t="inlineStr">
        <is>
          <t>Groseille rouge 125g - Monoprix Groseille Rouge 125g</t>
        </is>
      </c>
      <c r="G460" s="19" t="inlineStr">
        <is>
          <t>https://action.metaffiliation.com/trk.php?mclic=P5104675874B1295S1UD4135bd0809626V4</t>
        </is>
      </c>
      <c r="H460" s="20" t="n">
        <v>22995</v>
      </c>
      <c r="I460" s="20" t="n">
        <v>68</v>
      </c>
      <c r="J460" s="21">
        <f>IF(H460=0,0,I460/H460)</f>
        <v/>
      </c>
    </row>
    <row r="461">
      <c r="A461" s="17" t="inlineStr">
        <is>
          <t>Monoprix</t>
        </is>
      </c>
      <c r="B461" s="17" t="inlineStr">
        <is>
          <t>Live</t>
        </is>
      </c>
      <c r="C461" s="17" t="inlineStr">
        <is>
          <t>Monoprix Mode 2</t>
        </is>
      </c>
      <c r="D461" s="17" t="inlineStr">
        <is>
          <t>Sous-vêtements homme</t>
        </is>
      </c>
      <c r="E461" s="18" t="inlineStr">
        <is>
          <t>Lot de 3 paires de chaussettes en coton</t>
        </is>
      </c>
      <c r="F461" s="17" t="inlineStr">
        <is>
          <t>Lot de 3 paires de chaussettes Tige moyenne Larges bords élastiqués en côtes OEKO TEX : Oeko-Tex Standard 100 est la principale norme en matière de sécurité textile/d'innocuité.</t>
        </is>
      </c>
      <c r="G461" s="19" t="inlineStr">
        <is>
          <t>https://action.metaffiliation.com/trk.php?mclic=P5104675874B11CS1UE412f3c01263251V4</t>
        </is>
      </c>
      <c r="H461" s="20" t="n">
        <v>22141</v>
      </c>
      <c r="I461" s="20" t="n">
        <v>130</v>
      </c>
      <c r="J461" s="21">
        <f>IF(H461=0,0,I461/H461)</f>
        <v/>
      </c>
    </row>
    <row r="462">
      <c r="A462" s="17" t="inlineStr">
        <is>
          <t>Monoprix</t>
        </is>
      </c>
      <c r="B462" s="17" t="inlineStr">
        <is>
          <t>Live</t>
        </is>
      </c>
      <c r="C462" s="17" t="inlineStr">
        <is>
          <t>Monoprix Courses</t>
        </is>
      </c>
      <c r="D462" s="17" t="inlineStr">
        <is>
          <t>Épicerie</t>
        </is>
      </c>
      <c r="E462" s="18" t="inlineStr">
        <is>
          <t>Yarden choucroute nature 900g</t>
        </is>
      </c>
      <c r="F462" s="17" t="inlineStr">
        <is>
          <t>Choucroute nature - Yarden Yarden Choucroute Nature 900g</t>
        </is>
      </c>
      <c r="G462" s="19" t="inlineStr">
        <is>
          <t>https://action.metaffiliation.com/trk.php?mclic=P5104675874B1295S1UD4135bd0802549V4</t>
        </is>
      </c>
      <c r="H462" s="20" t="n">
        <v>21889</v>
      </c>
      <c r="I462" s="20" t="n">
        <v>71</v>
      </c>
      <c r="J462" s="21">
        <f>IF(H462=0,0,I462/H462)</f>
        <v/>
      </c>
    </row>
    <row r="463">
      <c r="A463" s="17" t="inlineStr">
        <is>
          <t>Monoprix</t>
        </is>
      </c>
      <c r="B463" s="17" t="inlineStr">
        <is>
          <t>Live</t>
        </is>
      </c>
      <c r="C463" s="17" t="inlineStr">
        <is>
          <t>Monoprix Courses</t>
        </is>
      </c>
      <c r="D463" s="17" t="inlineStr">
        <is>
          <t>Pet Care</t>
        </is>
      </c>
      <c r="E463" s="18" t="inlineStr">
        <is>
          <t>Croquettes, litières et paniers prix bas | Monoprix</t>
        </is>
      </c>
      <c r="F463" s="17" t="inlineStr">
        <is>
          <t>Croquettes, litières, paniers et pâtées comme Gourmet Gold Double Délice de Purina : l’animalerie Monoprix suit le chat et le chien.</t>
        </is>
      </c>
      <c r="G463" s="19" t="inlineStr">
        <is>
          <t>https://action.metaffiliation.com/trk.php?mclic=P5104675874B1295S1UD4135bd0699282V4</t>
        </is>
      </c>
      <c r="H463" s="20" t="n">
        <v>21472</v>
      </c>
      <c r="I463" s="20" t="n">
        <v>62</v>
      </c>
      <c r="J463" s="21">
        <f>IF(H463=0,0,I463/H463)</f>
        <v/>
      </c>
    </row>
    <row r="464">
      <c r="A464" s="17" t="inlineStr">
        <is>
          <t>Monoprix</t>
        </is>
      </c>
      <c r="B464" s="17" t="inlineStr">
        <is>
          <t>Live</t>
        </is>
      </c>
      <c r="C464" s="17" t="inlineStr">
        <is>
          <t>Monoprix Mode 2</t>
        </is>
      </c>
      <c r="D464" s="17" t="inlineStr">
        <is>
          <t>Lingerie et collants femme</t>
        </is>
      </c>
      <c r="E464" s="18" t="inlineStr">
        <is>
          <t>Collant transparent sculptant ventre plat SUBLIM DIM</t>
        </is>
      </c>
      <c r="F464" s="17" t="inlineStr">
        <is>
          <t>Collant transparent sculptant ventre plat SUBLIM DIM</t>
        </is>
      </c>
      <c r="G464" s="19" t="inlineStr">
        <is>
          <t>https://action.metaffiliation.com/trk.php?mclic=P5104675874B11CS1UE412f3c01258070V4</t>
        </is>
      </c>
      <c r="H464" s="20" t="n">
        <v>21260</v>
      </c>
      <c r="I464" s="20" t="n">
        <v>122</v>
      </c>
      <c r="J464" s="21">
        <f>IF(H464=0,0,I464/H464)</f>
        <v/>
      </c>
    </row>
    <row r="465">
      <c r="A465" s="17" t="inlineStr">
        <is>
          <t>Monoprix</t>
        </is>
      </c>
      <c r="B465" s="17" t="inlineStr">
        <is>
          <t>Live</t>
        </is>
      </c>
      <c r="C465" s="17" t="inlineStr">
        <is>
          <t>Monoprix Courses</t>
        </is>
      </c>
      <c r="D465" s="17" t="inlineStr">
        <is>
          <t>Frozen Meat/Poultry/Seafood</t>
        </is>
      </c>
      <c r="E465" s="18" t="inlineStr">
        <is>
          <t>Poisson et viande surgelés prix bas | Monoprix</t>
        </is>
      </c>
      <c r="F465" s="17" t="inlineStr">
        <is>
          <t>Panés de cabillaud Findus, boîte de 10 pour 510 g : du cabillaud pané à passer au four ou à la poêle pour le dîner des enfants.</t>
        </is>
      </c>
      <c r="G465" s="19" t="inlineStr">
        <is>
          <t>https://action.metaffiliation.com/trk.php?mclic=P5104675874B1295S1UD4135bd0817051V4</t>
        </is>
      </c>
      <c r="H465" s="20" t="n">
        <v>21193</v>
      </c>
      <c r="I465" s="20" t="n">
        <v>71</v>
      </c>
      <c r="J465" s="21">
        <f>IF(H465=0,0,I465/H465)</f>
        <v/>
      </c>
    </row>
    <row r="466">
      <c r="A466" s="17" t="inlineStr">
        <is>
          <t>Monoprix</t>
        </is>
      </c>
      <c r="B466" s="17" t="inlineStr">
        <is>
          <t>Live</t>
        </is>
      </c>
      <c r="C466" s="17" t="inlineStr">
        <is>
          <t>Monoprix Mode 2</t>
        </is>
      </c>
      <c r="D466" s="17" t="inlineStr">
        <is>
          <t>Sous-vêtements homme</t>
        </is>
      </c>
      <c r="E466" s="18" t="inlineStr">
        <is>
          <t>Lot de 3 slips en coton MULTIPACK DIM</t>
        </is>
      </c>
      <c r="F466" s="17" t="inlineStr">
        <is>
          <t>Lot de 3 slips unis Dim Taille élastiquée inscription Dim Sans étiquette Maintien doublé OEKO TEX : Oeko-Tex Standard 100 est la principale norme en matière de sécurité</t>
        </is>
      </c>
      <c r="G466" s="19" t="inlineStr">
        <is>
          <t>https://action.metaffiliation.com/trk.php?mclic=P5104675874B11CS1UE412f3c01304638V4</t>
        </is>
      </c>
      <c r="H466" s="20" t="n">
        <v>21037</v>
      </c>
      <c r="I466" s="20" t="n">
        <v>98</v>
      </c>
      <c r="J466" s="21">
        <f>IF(H466=0,0,I466/H466)</f>
        <v/>
      </c>
    </row>
    <row r="467">
      <c r="A467" s="17" t="inlineStr">
        <is>
          <t>Monoprix</t>
        </is>
      </c>
      <c r="B467" s="17" t="inlineStr">
        <is>
          <t>Live</t>
        </is>
      </c>
      <c r="C467" s="17" t="inlineStr">
        <is>
          <t>Monoprix Mode 2</t>
        </is>
      </c>
      <c r="D467" s="17" t="inlineStr">
        <is>
          <t>Lingerie et collants femme</t>
        </is>
      </c>
      <c r="E467" s="18" t="inlineStr">
        <is>
          <t>Collant galbant et transparent DIAM's DIM</t>
        </is>
      </c>
      <c r="F467" s="17" t="inlineStr">
        <is>
          <t>Collant Diam's de DIM Voile transparent et extensible 22D Conçu pour offrir un galbe parfait Taille invisible et confortable Pointes renforcées Tricoté en France OEKO TEX</t>
        </is>
      </c>
      <c r="G467" s="19" t="inlineStr">
        <is>
          <t>https://action.metaffiliation.com/trk.php?mclic=P5104675874B11CS1UD412f3c0776593V4</t>
        </is>
      </c>
      <c r="H467" s="20" t="n">
        <v>20961</v>
      </c>
      <c r="I467" s="20" t="n">
        <v>90</v>
      </c>
      <c r="J467" s="21">
        <f>IF(H467=0,0,I467/H467)</f>
        <v/>
      </c>
    </row>
    <row r="468">
      <c r="A468" s="17" t="inlineStr">
        <is>
          <t>Monoprix</t>
        </is>
      </c>
      <c r="B468" s="17" t="inlineStr">
        <is>
          <t>Live</t>
        </is>
      </c>
      <c r="C468" s="17" t="inlineStr">
        <is>
          <t>Monoprix Mode 2</t>
        </is>
      </c>
      <c r="D468" s="17" t="inlineStr">
        <is>
          <t>Bébé et enfant</t>
        </is>
      </c>
      <c r="E468" s="18" t="inlineStr">
        <is>
          <t>Drap housse 60x120cm contenant du coton BIO, certifié</t>
        </is>
      </c>
      <c r="F468" s="17" t="inlineStr">
        <is>
          <t>Drap housse uni 60 x 120 en jersey coton bio Matière très douce Dimensions : 60 x 120 cm BIO : Contient du coton issu de l'agriculture biologique. OEKO TEX : label international</t>
        </is>
      </c>
      <c r="G468" s="19" t="inlineStr">
        <is>
          <t>https://action.metaffiliation.com/trk.php?mclic=P5104675874B11CS1UE412f3c01242577V4</t>
        </is>
      </c>
      <c r="H468" s="20" t="n">
        <v>20871</v>
      </c>
      <c r="I468" s="20" t="n">
        <v>107</v>
      </c>
      <c r="J468" s="21">
        <f>IF(H468=0,0,I468/H468)</f>
        <v/>
      </c>
    </row>
    <row r="469">
      <c r="A469" s="17" t="inlineStr">
        <is>
          <t>Monoprix</t>
        </is>
      </c>
      <c r="B469" s="17" t="inlineStr">
        <is>
          <t>Live</t>
        </is>
      </c>
      <c r="C469" s="17" t="inlineStr">
        <is>
          <t>Monoprix Courses</t>
        </is>
      </c>
      <c r="D469" s="17" t="inlineStr">
        <is>
          <t>Fruits et légumes</t>
        </is>
      </c>
      <c r="E469" s="18" t="inlineStr">
        <is>
          <t>Pur jus golden nature pomme 1l</t>
        </is>
      </c>
      <c r="F469" s="17" t="inlineStr">
        <is>
          <t>Pur jus golden nature pomme - Nature de pommes Pur Jus Golden Nature Pomme 1L</t>
        </is>
      </c>
      <c r="G469" s="19" t="inlineStr">
        <is>
          <t>https://action.metaffiliation.com/trk.php?mclic=P5104675874B1295S1UD4135bd0818792V4</t>
        </is>
      </c>
      <c r="H469" s="20" t="n">
        <v>20775</v>
      </c>
      <c r="I469" s="20" t="n">
        <v>88</v>
      </c>
      <c r="J469" s="21">
        <f>IF(H469=0,0,I469/H469)</f>
        <v/>
      </c>
    </row>
    <row r="470">
      <c r="A470" s="17" t="inlineStr">
        <is>
          <t>Monoprix</t>
        </is>
      </c>
      <c r="B470" s="17" t="inlineStr">
        <is>
          <t>Live</t>
        </is>
      </c>
      <c r="C470" s="17" t="inlineStr">
        <is>
          <t>Monoprix Mode 2</t>
        </is>
      </c>
      <c r="D470" s="17" t="inlineStr">
        <is>
          <t>Children's Clothing</t>
        </is>
      </c>
      <c r="E470" s="18" t="inlineStr">
        <is>
          <t>Dors bien ouverture avant en velours en coton BIO GOTS</t>
        </is>
      </c>
      <c r="F470" s="17" t="inlineStr">
        <is>
          <t>Dors bien en velours à pois Col rond Fermeture par boutons pression devant Manches longues Maille douce et chaude GOTS : Ce produit est en coton issu de l'agriculture biologique</t>
        </is>
      </c>
      <c r="G470" s="19" t="inlineStr">
        <is>
          <t>https://action.metaffiliation.com/trk.php?mclic=P5104675874B11CS1UD412f3c0678764V4</t>
        </is>
      </c>
      <c r="H470" s="20" t="n">
        <v>20692</v>
      </c>
      <c r="I470" s="20" t="n">
        <v>90</v>
      </c>
      <c r="J470" s="21">
        <f>IF(H470=0,0,I470/H470)</f>
        <v/>
      </c>
    </row>
    <row r="471">
      <c r="A471" s="17" t="inlineStr">
        <is>
          <t>Monoprix</t>
        </is>
      </c>
      <c r="B471" s="17" t="inlineStr">
        <is>
          <t>Live</t>
        </is>
      </c>
      <c r="C471" s="17" t="inlineStr">
        <is>
          <t>Monoprix Courses</t>
        </is>
      </c>
      <c r="D471" s="17" t="inlineStr">
        <is>
          <t>Pet Supplies</t>
        </is>
      </c>
      <c r="E471" s="18" t="inlineStr">
        <is>
          <t>Pâtées et sachets pour chat au meilleur prix | Monoprix</t>
        </is>
      </c>
      <c r="F471" s="17" t="inlineStr">
        <is>
          <t>Les Filettines en sauce de Gourmet Perle servent au chat de fines lamelles en sauce, préparées avec des ingrédients simples et lisibles.</t>
        </is>
      </c>
      <c r="G471" s="19" t="inlineStr">
        <is>
          <t>https://action.metaffiliation.com/trk.php?mclic=P5104675874B1295S1UD4135bd0809637V4</t>
        </is>
      </c>
      <c r="H471" s="20" t="n">
        <v>20647</v>
      </c>
      <c r="I471" s="20" t="n">
        <v>51</v>
      </c>
      <c r="J471" s="21">
        <f>IF(H471=0,0,I471/H471)</f>
        <v/>
      </c>
    </row>
    <row r="472">
      <c r="A472" s="17" t="inlineStr">
        <is>
          <t>Monoprix</t>
        </is>
      </c>
      <c r="B472" s="17" t="inlineStr">
        <is>
          <t>Live</t>
        </is>
      </c>
      <c r="C472" s="17" t="inlineStr">
        <is>
          <t>Monoprix Mode 2</t>
        </is>
      </c>
      <c r="D472" s="17" t="inlineStr">
        <is>
          <t>Bébé et enfant</t>
        </is>
      </c>
      <c r="E472" s="18" t="inlineStr">
        <is>
          <t>Legging uni contenant du coton BIO GOTS</t>
        </is>
      </c>
      <c r="F472" s="17" t="inlineStr">
        <is>
          <t>Legging uni contenant du coton bio Taille élastiquée Maille douce extensible Longueur de l'entrejambe 55 cm GOTS : Ce produit est en coton issu de l'agriculture biologique</t>
        </is>
      </c>
      <c r="G472" s="19" t="inlineStr">
        <is>
          <t>https://action.metaffiliation.com/trk.php?mclic=P5104675874B11CS1UE412f3c01320461V4</t>
        </is>
      </c>
      <c r="H472" s="20" t="n">
        <v>20447</v>
      </c>
      <c r="I472" s="20" t="n">
        <v>97</v>
      </c>
      <c r="J472" s="21">
        <f>IF(H472=0,0,I472/H472)</f>
        <v/>
      </c>
    </row>
    <row r="473">
      <c r="A473" s="17" t="inlineStr">
        <is>
          <t>Monoprix</t>
        </is>
      </c>
      <c r="B473" s="17" t="inlineStr">
        <is>
          <t>Live</t>
        </is>
      </c>
      <c r="C473" s="17" t="inlineStr">
        <is>
          <t>Monoprix Mode 2</t>
        </is>
      </c>
      <c r="D473" s="17" t="inlineStr">
        <is>
          <t>Lingerie et collants femme</t>
        </is>
      </c>
      <c r="E473" s="18" t="inlineStr">
        <is>
          <t>Collant transparent voile brillant Sublim DIM</t>
        </is>
      </c>
      <c r="F473" s="17" t="inlineStr">
        <is>
          <t>Collant Sublim de DIM Effet peau éclatante Voile transparent fini satiné 15D Bord invisible Tricoté en France OEKO TEX : Oeko-Tex Standard 100 est la principale norme en matière</t>
        </is>
      </c>
      <c r="G473" s="19" t="inlineStr">
        <is>
          <t>https://action.metaffiliation.com/trk.php?mclic=P5104675874B11CS1UE412f3c01270185V4</t>
        </is>
      </c>
      <c r="H473" s="20" t="n">
        <v>20290</v>
      </c>
      <c r="I473" s="20" t="n">
        <v>86</v>
      </c>
      <c r="J473" s="21">
        <f>IF(H473=0,0,I473/H473)</f>
        <v/>
      </c>
    </row>
    <row r="474">
      <c r="A474" s="17" t="inlineStr">
        <is>
          <t>Monoprix</t>
        </is>
      </c>
      <c r="B474" s="17" t="inlineStr">
        <is>
          <t>Live</t>
        </is>
      </c>
      <c r="C474" s="17" t="inlineStr">
        <is>
          <t>Monoprix Mode 2</t>
        </is>
      </c>
      <c r="D474" s="17" t="inlineStr">
        <is>
          <t>Cuisine et maison</t>
        </is>
      </c>
      <c r="E474" s="18" t="inlineStr">
        <is>
          <t>Verre de rechange pour cafetière à piston, 3 tasses</t>
        </is>
      </c>
      <c r="F474" s="17" t="inlineStr">
        <is>
          <t>Verre de rechange pour cafetière à piston, 3 tasses, 35 cl Matière : verre borosilicate Numéro de modèle : A68180149</t>
        </is>
      </c>
      <c r="G474" s="19" t="inlineStr">
        <is>
          <t>https://action.metaffiliation.com/trk.php?mclic=P5104675874B11CS1UE412f3c01322565V4</t>
        </is>
      </c>
      <c r="H474" s="20" t="n">
        <v>20046</v>
      </c>
      <c r="I474" s="20" t="n">
        <v>88</v>
      </c>
      <c r="J474" s="21">
        <f>IF(H474=0,0,I474/H474)</f>
        <v/>
      </c>
    </row>
    <row r="475">
      <c r="A475" s="17" t="inlineStr">
        <is>
          <t>Monoprix</t>
        </is>
      </c>
      <c r="B475" s="17" t="inlineStr">
        <is>
          <t>Live</t>
        </is>
      </c>
      <c r="C475" s="17" t="inlineStr">
        <is>
          <t>Monoprix Mode 2</t>
        </is>
      </c>
      <c r="D475" s="17" t="inlineStr">
        <is>
          <t>Arts and Crafts Supplies</t>
        </is>
      </c>
      <c r="E475" s="18" t="inlineStr">
        <is>
          <t>Loisirs créatifs et dessin au meilleur prix | Monoprix</t>
        </is>
      </c>
      <c r="F475" s="17" t="inlineStr">
        <is>
          <t>Du papier millimétré Canson en pochette de 12 feuilles aux fournitures de loisirs créatifs, Monoprix suit les projets des petits et des grands.</t>
        </is>
      </c>
      <c r="G475" s="19" t="inlineStr">
        <is>
          <t>https://action.metaffiliation.com/trk.php?mclic=P5104675874B11CS1UE412f3c01309053V4</t>
        </is>
      </c>
      <c r="H475" s="20" t="n">
        <v>19810</v>
      </c>
      <c r="I475" s="20" t="n">
        <v>105</v>
      </c>
      <c r="J475" s="21">
        <f>IF(H475=0,0,I475/H475)</f>
        <v/>
      </c>
    </row>
    <row r="476">
      <c r="A476" s="17" t="inlineStr">
        <is>
          <t>Monoprix</t>
        </is>
      </c>
      <c r="B476" s="17" t="inlineStr">
        <is>
          <t>Live</t>
        </is>
      </c>
      <c r="C476" s="17" t="inlineStr">
        <is>
          <t>Monoprix Mode 2</t>
        </is>
      </c>
      <c r="D476" s="17" t="inlineStr">
        <is>
          <t>Office/School Supplies</t>
        </is>
      </c>
      <c r="E476" s="18" t="inlineStr">
        <is>
          <t>Cahiers, crayons et feuilles au meilleur prix | Monoprix</t>
        </is>
      </c>
      <c r="F476" s="17" t="inlineStr">
        <is>
          <t>Pochette de 12 feuilles de papier millimétré Canson, cahiers, crayons et stylos : la rentrée se prépare avec la papeterie Monoprix.</t>
        </is>
      </c>
      <c r="G476" s="19" t="inlineStr">
        <is>
          <t>https://action.metaffiliation.com/trk.php?mclic=P5104675874B11CS1UE412f3c01309053V4</t>
        </is>
      </c>
      <c r="H476" s="20" t="n">
        <v>19731</v>
      </c>
      <c r="I476" s="20" t="n">
        <v>110</v>
      </c>
      <c r="J476" s="21">
        <f>IF(H476=0,0,I476/H476)</f>
        <v/>
      </c>
    </row>
    <row r="477">
      <c r="A477" s="17" t="inlineStr">
        <is>
          <t>Monoprix</t>
        </is>
      </c>
      <c r="B477" s="17" t="inlineStr">
        <is>
          <t>Live</t>
        </is>
      </c>
      <c r="C477" s="17" t="inlineStr">
        <is>
          <t>Monoprix Mode 2</t>
        </is>
      </c>
      <c r="D477" s="17" t="inlineStr">
        <is>
          <t>Cuisine et maison</t>
        </is>
      </c>
      <c r="E477" s="18" t="inlineStr">
        <is>
          <t>Verre de rechange pour cafetière 8 tasses</t>
        </is>
      </c>
      <c r="F477" s="17" t="inlineStr">
        <is>
          <t>- Verre de recharge cafetière 8 tasses (1L) Composition : verre borosilicate</t>
        </is>
      </c>
      <c r="G477" s="19" t="inlineStr">
        <is>
          <t>https://action.metaffiliation.com/trk.php?mclic=P5104675874B11CS1UE412f3c01322566V4</t>
        </is>
      </c>
      <c r="H477" s="20" t="n">
        <v>19685</v>
      </c>
      <c r="I477" s="20" t="n">
        <v>92</v>
      </c>
      <c r="J477" s="21">
        <f>IF(H477=0,0,I477/H477)</f>
        <v/>
      </c>
    </row>
    <row r="478">
      <c r="A478" s="17" t="inlineStr">
        <is>
          <t>Monoprix</t>
        </is>
      </c>
      <c r="B478" s="17" t="inlineStr">
        <is>
          <t>Live</t>
        </is>
      </c>
      <c r="C478" s="17" t="inlineStr">
        <is>
          <t>Monoprix Mode 2</t>
        </is>
      </c>
      <c r="D478" s="17" t="inlineStr">
        <is>
          <t>Cuisine et maison</t>
        </is>
      </c>
      <c r="E478" s="18" t="inlineStr">
        <is>
          <t>Hachoir électrique, 100ml</t>
        </is>
      </c>
      <c r="F478" s="17" t="inlineStr">
        <is>
          <t>Hachoir électrique, gamme  Valentin . Pour couper, ciseler et hacher les aliments. 1 vitesse Capacité du bol : 0,10 L Puissance : 220 W Numéro de modèle : A68320014</t>
        </is>
      </c>
      <c r="G478" s="19" t="inlineStr">
        <is>
          <t>https://action.metaffiliation.com/trk.php?mclic=P5104675874B11CS1UE412f3c01304553V4</t>
        </is>
      </c>
      <c r="H478" s="20" t="n">
        <v>19682</v>
      </c>
      <c r="I478" s="20" t="n">
        <v>82</v>
      </c>
      <c r="J478" s="21">
        <f>IF(H478=0,0,I478/H478)</f>
        <v/>
      </c>
    </row>
    <row r="479">
      <c r="A479" s="17" t="inlineStr">
        <is>
          <t>Monoprix</t>
        </is>
      </c>
      <c r="B479" s="17" t="inlineStr">
        <is>
          <t>Live</t>
        </is>
      </c>
      <c r="C479" s="17" t="inlineStr">
        <is>
          <t>Monoprix Mode 2</t>
        </is>
      </c>
      <c r="D479" s="17" t="inlineStr">
        <is>
          <t>Office/School Supplies</t>
        </is>
      </c>
      <c r="E479" s="18" t="inlineStr">
        <is>
          <t>Papier à dessin et feuilles Canson prix bas | Monoprix</t>
        </is>
      </c>
      <c r="F479" s="17" t="inlineStr">
        <is>
          <t>Pochette de 12 feuilles à dessin 24 x 32 cm, 180 g : la qualité C à grain Canson, une face lisse, une face à grain, et un tracé qui se gomme facilement.</t>
        </is>
      </c>
      <c r="G479" s="19" t="inlineStr">
        <is>
          <t>https://action.metaffiliation.com/trk.php?mclic=P5104675874B11CS1UE412f3c01311541V4</t>
        </is>
      </c>
      <c r="H479" s="20" t="n">
        <v>19583</v>
      </c>
      <c r="I479" s="20" t="n">
        <v>101</v>
      </c>
      <c r="J479" s="21">
        <f>IF(H479=0,0,I479/H479)</f>
        <v/>
      </c>
    </row>
    <row r="480">
      <c r="A480" s="17" t="inlineStr">
        <is>
          <t>Monoprix</t>
        </is>
      </c>
      <c r="B480" s="17" t="inlineStr">
        <is>
          <t>Live</t>
        </is>
      </c>
      <c r="C480" s="17" t="inlineStr">
        <is>
          <t>Monoprix Mode 2</t>
        </is>
      </c>
      <c r="D480" s="17" t="inlineStr">
        <is>
          <t>Arts and Crafts Supplies</t>
        </is>
      </c>
      <c r="E480" s="18" t="inlineStr">
        <is>
          <t>Papier à dessin Canson au meilleur prix | Monoprix</t>
        </is>
      </c>
      <c r="F480" s="17" t="inlineStr">
        <is>
          <t>Pochette de 12 feuilles à dessin 24 x 32 cm, 180 g : la qualité C à grain Canson, une face lisse, une face à grain, et un tracé qui se gomme facilement.</t>
        </is>
      </c>
      <c r="G480" s="19" t="inlineStr">
        <is>
          <t>https://action.metaffiliation.com/trk.php?mclic=P5104675874B11CS1UE412f3c01311541V4</t>
        </is>
      </c>
      <c r="H480" s="20" t="n">
        <v>19576</v>
      </c>
      <c r="I480" s="20" t="n">
        <v>78</v>
      </c>
      <c r="J480" s="21">
        <f>IF(H480=0,0,I480/H480)</f>
        <v/>
      </c>
    </row>
    <row r="481">
      <c r="A481" s="17" t="inlineStr">
        <is>
          <t>Monoprix</t>
        </is>
      </c>
      <c r="B481" s="17" t="inlineStr">
        <is>
          <t>Live</t>
        </is>
      </c>
      <c r="C481" s="17" t="inlineStr">
        <is>
          <t>Monoprix Mode 2</t>
        </is>
      </c>
      <c r="D481" s="17" t="inlineStr">
        <is>
          <t>Papeterie</t>
        </is>
      </c>
      <c r="E481" s="18" t="inlineStr">
        <is>
          <t>Pochettes de 12 feuille 24x32 cm, 180gr</t>
        </is>
      </c>
      <c r="F481" s="17" t="inlineStr">
        <is>
          <t>Pochettes de 12 feuille, 180 g. La qualité 'C' à grain Canson. Se gomme facilement. Une face lisse, une face à grain. Résistant Numéro de modèle : A52300004</t>
        </is>
      </c>
      <c r="G481" s="19" t="inlineStr">
        <is>
          <t>https://action.metaffiliation.com/trk.php?mclic=P5104675874B11CS1UE412f3c01311541V4</t>
        </is>
      </c>
      <c r="H481" s="20" t="n">
        <v>19316</v>
      </c>
      <c r="I481" s="20" t="n">
        <v>90</v>
      </c>
      <c r="J481" s="21">
        <f>IF(H481=0,0,I481/H481)</f>
        <v/>
      </c>
    </row>
    <row r="482">
      <c r="A482" s="17" t="inlineStr">
        <is>
          <t>Monoprix</t>
        </is>
      </c>
      <c r="B482" s="17" t="inlineStr">
        <is>
          <t>Live</t>
        </is>
      </c>
      <c r="C482" s="17" t="inlineStr">
        <is>
          <t>Monoprix Mode 2</t>
        </is>
      </c>
      <c r="D482" s="17" t="inlineStr">
        <is>
          <t>Papeterie</t>
        </is>
      </c>
      <c r="E482" s="18" t="inlineStr">
        <is>
          <t>Canson - Pochette papier à dessin - 12 feuilles - 24 x 32</t>
        </is>
      </c>
      <c r="F482" s="17" t="inlineStr">
        <is>
          <t>Le Papier dessin Canson ""C"" à grain se distingue par son grammage généreux de 224 g/m¥ et son format pratique. Sa texture à grain fin offre une accroche idéale pour vos</t>
        </is>
      </c>
      <c r="G482" s="19" t="inlineStr">
        <is>
          <t>https://action.metaffiliation.com/trk.php?mclic=P5104675874B11CS1UE412f3c01311540V4</t>
        </is>
      </c>
      <c r="H482" s="20" t="n">
        <v>19305</v>
      </c>
      <c r="I482" s="20" t="n">
        <v>95</v>
      </c>
      <c r="J482" s="21">
        <f>IF(H482=0,0,I482/H482)</f>
        <v/>
      </c>
    </row>
    <row r="483">
      <c r="A483" s="17" t="inlineStr">
        <is>
          <t>Monoprix</t>
        </is>
      </c>
      <c r="B483" s="17" t="inlineStr">
        <is>
          <t>Live</t>
        </is>
      </c>
      <c r="C483" s="17" t="inlineStr">
        <is>
          <t>Monoprix Mode 2</t>
        </is>
      </c>
      <c r="D483" s="17" t="inlineStr">
        <is>
          <t>Household Appliances</t>
        </is>
      </c>
      <c r="E483" s="18" t="inlineStr">
        <is>
          <t>Hachoir électrique, 100ml</t>
        </is>
      </c>
      <c r="F483" s="17" t="inlineStr">
        <is>
          <t>Hachoir électrique, gamme  Valentin . Pour couper, ciseler et hacher les aliments. 1 vitesse Capacité du bol : 0,10 L Puissance : 220 W Numéro de modèle : A68320014</t>
        </is>
      </c>
      <c r="G483" s="19" t="inlineStr">
        <is>
          <t>https://action.metaffiliation.com/trk.php?mclic=P5104675874B11CS1UE412f3c01304553V4</t>
        </is>
      </c>
      <c r="H483" s="20" t="n">
        <v>19207</v>
      </c>
      <c r="I483" s="20" t="n">
        <v>86</v>
      </c>
      <c r="J483" s="21">
        <f>IF(H483=0,0,I483/H483)</f>
        <v/>
      </c>
    </row>
    <row r="484">
      <c r="A484" s="17" t="inlineStr">
        <is>
          <t>Monoprix</t>
        </is>
      </c>
      <c r="B484" s="17" t="inlineStr">
        <is>
          <t>Live</t>
        </is>
      </c>
      <c r="C484" s="17" t="inlineStr">
        <is>
          <t>Monoprix Mode 2</t>
        </is>
      </c>
      <c r="D484" s="17" t="inlineStr">
        <is>
          <t>Papeterie</t>
        </is>
      </c>
      <c r="E484" s="18" t="inlineStr">
        <is>
          <t>Canson - Pochette papier à dessin millimétré - 12 feuilles</t>
        </is>
      </c>
      <c r="F484" s="17" t="inlineStr">
        <is>
          <t>Papier sans grain pour un tracé impeccable et des travaux de qualité pour les cours de sciences physiques et naturelles et les dessins techniques. L'innovation Canson : une trame</t>
        </is>
      </c>
      <c r="G484" s="19" t="inlineStr">
        <is>
          <t>https://action.metaffiliation.com/trk.php?mclic=P5104675874B11CS1UE412f3c01309053V4</t>
        </is>
      </c>
      <c r="H484" s="20" t="n">
        <v>19159</v>
      </c>
      <c r="I484" s="20" t="n">
        <v>108</v>
      </c>
      <c r="J484" s="21">
        <f>IF(H484=0,0,I484/H484)</f>
        <v/>
      </c>
    </row>
    <row r="485">
      <c r="A485" s="17" t="inlineStr">
        <is>
          <t>Monoprix</t>
        </is>
      </c>
      <c r="B485" s="17" t="inlineStr">
        <is>
          <t>Live</t>
        </is>
      </c>
      <c r="C485" s="17" t="inlineStr">
        <is>
          <t>Monoprix Courses</t>
        </is>
      </c>
      <c r="D485" s="17" t="inlineStr">
        <is>
          <t>Épicerie</t>
        </is>
      </c>
      <c r="E485" s="18" t="inlineStr">
        <is>
          <t>Yarden harissa maison 230g</t>
        </is>
      </c>
      <c r="F485" s="17" t="inlineStr">
        <is>
          <t>Yarden harissa maison 230 g - Yarden Yarden Harissa maison 230g</t>
        </is>
      </c>
      <c r="G485" s="19" t="inlineStr">
        <is>
          <t>https://action.metaffiliation.com/trk.php?mclic=P5104675874B1295S1UD4135bd0620537V4</t>
        </is>
      </c>
      <c r="H485" s="20" t="n">
        <v>18702</v>
      </c>
      <c r="I485" s="20" t="n">
        <v>57</v>
      </c>
      <c r="J485" s="21">
        <f>IF(H485=0,0,I485/H485)</f>
        <v/>
      </c>
    </row>
    <row r="486">
      <c r="A486" s="17" t="inlineStr">
        <is>
          <t>Monoprix</t>
        </is>
      </c>
      <c r="B486" s="17" t="inlineStr">
        <is>
          <t>Live</t>
        </is>
      </c>
      <c r="C486" s="17" t="inlineStr">
        <is>
          <t>Monoprix Mode 2</t>
        </is>
      </c>
      <c r="D486" s="17" t="inlineStr">
        <is>
          <t>Kitchen and Dining Products</t>
        </is>
      </c>
      <c r="E486" s="18" t="inlineStr">
        <is>
          <t>Verre de rechange pour cafetière à piston, 3 tasses</t>
        </is>
      </c>
      <c r="F486" s="17" t="inlineStr">
        <is>
          <t>Verre de rechange pour cafetière à piston, 3 tasses, 35 cl Matière : verre borosilicate Numéro de modèle : A68180149</t>
        </is>
      </c>
      <c r="G486" s="19" t="inlineStr">
        <is>
          <t>https://action.metaffiliation.com/trk.php?mclic=P5104675874B11CS1UE412f3c01322565V4</t>
        </is>
      </c>
      <c r="H486" s="20" t="n">
        <v>17953</v>
      </c>
      <c r="I486" s="20" t="n">
        <v>79</v>
      </c>
      <c r="J486" s="21">
        <f>IF(H486=0,0,I486/H486)</f>
        <v/>
      </c>
    </row>
    <row r="487">
      <c r="A487" s="17" t="inlineStr">
        <is>
          <t>Monoprix</t>
        </is>
      </c>
      <c r="B487" s="17" t="inlineStr">
        <is>
          <t>Live</t>
        </is>
      </c>
      <c r="C487" s="17" t="inlineStr">
        <is>
          <t>Monoprix Mode 2</t>
        </is>
      </c>
      <c r="D487" s="17" t="inlineStr">
        <is>
          <t>Children's Clothing</t>
        </is>
      </c>
      <c r="E487" s="18" t="inlineStr">
        <is>
          <t>Legging uni contenant du coton BIO GOTS</t>
        </is>
      </c>
      <c r="F487" s="17" t="inlineStr">
        <is>
          <t>Legging uni contenant du coton bio Taille élastiquée Maille douce extensible Longueur de l'entrejambe 55 cm GOTS : Ce produit est en coton issu de l'agriculture biologique</t>
        </is>
      </c>
      <c r="G487" s="19" t="inlineStr">
        <is>
          <t>https://action.metaffiliation.com/trk.php?mclic=P5104675874B11CS1UE412f3c01320461V4</t>
        </is>
      </c>
      <c r="H487" s="20" t="n">
        <v>17946</v>
      </c>
      <c r="I487" s="20" t="n">
        <v>93</v>
      </c>
      <c r="J487" s="21">
        <f>IF(H487=0,0,I487/H487)</f>
        <v/>
      </c>
    </row>
    <row r="488">
      <c r="A488" s="17" t="inlineStr">
        <is>
          <t>Monoprix</t>
        </is>
      </c>
      <c r="B488" s="17" t="inlineStr">
        <is>
          <t>Live</t>
        </is>
      </c>
      <c r="C488" s="17" t="inlineStr">
        <is>
          <t>Monoprix Courses</t>
        </is>
      </c>
      <c r="D488" s="17" t="inlineStr">
        <is>
          <t>Grocery Stores and Supermarkets</t>
        </is>
      </c>
      <c r="E488" s="18" t="inlineStr">
        <is>
          <t>Courses alimentaires en ligne prix bas | Monoprix</t>
        </is>
      </c>
      <c r="F488" s="17" t="inlineStr">
        <is>
          <t>Vos courses alimentaires se composent en ligne chez Monoprix, des saucisses de volaille Le Gaulois en barquette de 300 g à l’épicerie.</t>
        </is>
      </c>
      <c r="G488" s="19" t="inlineStr">
        <is>
          <t>https://action.metaffiliation.com/trk.php?mclic=P5104675874B1295S1UD4135bd0776637V4</t>
        </is>
      </c>
      <c r="H488" s="20" t="n">
        <v>17828</v>
      </c>
      <c r="I488" s="20" t="n">
        <v>88</v>
      </c>
      <c r="J488" s="21">
        <f>IF(H488=0,0,I488/H488)</f>
        <v/>
      </c>
    </row>
    <row r="489">
      <c r="A489" s="17" t="inlineStr">
        <is>
          <t>Monoprix</t>
        </is>
      </c>
      <c r="B489" s="17" t="inlineStr">
        <is>
          <t>Live</t>
        </is>
      </c>
      <c r="C489" s="17" t="inlineStr">
        <is>
          <t>Monoprix Mode 2</t>
        </is>
      </c>
      <c r="D489" s="17" t="inlineStr">
        <is>
          <t>Hosiery</t>
        </is>
      </c>
      <c r="E489" s="18" t="inlineStr">
        <is>
          <t>Collants et chaussettes pas chères | Monoprix</t>
        </is>
      </c>
      <c r="F489" s="17" t="inlineStr">
        <is>
          <t>Collant Sublim DIM, voile transparent au fini satiné 15D tricoté en France : un effet peau éclatante et un bord invisible sous la jupe.</t>
        </is>
      </c>
      <c r="G489" s="19" t="inlineStr">
        <is>
          <t>https://action.metaffiliation.com/trk.php?mclic=P5104675874B11CS1UE412f3c01270185V4</t>
        </is>
      </c>
      <c r="H489" s="20" t="n">
        <v>17389</v>
      </c>
      <c r="I489" s="20" t="n">
        <v>77</v>
      </c>
      <c r="J489" s="21">
        <f>IF(H489=0,0,I489/H489)</f>
        <v/>
      </c>
    </row>
    <row r="490">
      <c r="A490" s="17" t="inlineStr">
        <is>
          <t>Monoprix</t>
        </is>
      </c>
      <c r="B490" s="17" t="inlineStr">
        <is>
          <t>Live</t>
        </is>
      </c>
      <c r="C490" s="17" t="inlineStr">
        <is>
          <t>Monoprix Mode 2</t>
        </is>
      </c>
      <c r="D490" s="17" t="inlineStr">
        <is>
          <t>Hosiery</t>
        </is>
      </c>
      <c r="E490" s="18" t="inlineStr">
        <is>
          <t>Collants et chaussettes pas chères | Monoprix</t>
        </is>
      </c>
      <c r="F490" s="17" t="inlineStr">
        <is>
          <t>Collant Diam’s DIM, voile transparent et extensible 22D tricoté en France : un galbe net, une taille invisible et des pointes renforcées.</t>
        </is>
      </c>
      <c r="G490" s="19" t="inlineStr">
        <is>
          <t>https://action.metaffiliation.com/trk.php?mclic=P5104675874B11CS1UD412f3c0776593V4</t>
        </is>
      </c>
      <c r="H490" s="20" t="n">
        <v>17385</v>
      </c>
      <c r="I490" s="20" t="n">
        <v>80</v>
      </c>
      <c r="J490" s="21">
        <f>IF(H490=0,0,I490/H490)</f>
        <v/>
      </c>
    </row>
    <row r="491">
      <c r="A491" s="17" t="inlineStr">
        <is>
          <t>Monoprix</t>
        </is>
      </c>
      <c r="B491" s="17" t="inlineStr">
        <is>
          <t>Live</t>
        </is>
      </c>
      <c r="C491" s="17" t="inlineStr">
        <is>
          <t>Monoprix Mode 2</t>
        </is>
      </c>
      <c r="D491" s="17" t="inlineStr">
        <is>
          <t>Baby and Toddler Products</t>
        </is>
      </c>
      <c r="E491" s="18" t="inlineStr">
        <is>
          <t>Biberons et chaises hautes prix bas | Monoprix</t>
        </is>
      </c>
      <c r="F491" s="17" t="inlineStr">
        <is>
          <t>Biberons, chaises hautes, babyphones et soins comme la crème nutritive Klorane Bébé au cold cream : de quoi équiper bébé chez Monoprix.</t>
        </is>
      </c>
      <c r="G491" s="19" t="inlineStr">
        <is>
          <t>https://action.metaffiliation.com/trk.php?mclic=P5104675874B1295S1UD4135bd0810325V4</t>
        </is>
      </c>
      <c r="H491" s="20" t="n">
        <v>17267</v>
      </c>
      <c r="I491" s="20" t="n">
        <v>77</v>
      </c>
      <c r="J491" s="21">
        <f>IF(H491=0,0,I491/H491)</f>
        <v/>
      </c>
    </row>
    <row r="492">
      <c r="A492" s="17" t="inlineStr">
        <is>
          <t>Monoprix</t>
        </is>
      </c>
      <c r="B492" s="17" t="inlineStr">
        <is>
          <t>Live</t>
        </is>
      </c>
      <c r="C492" s="17" t="inlineStr">
        <is>
          <t>Monoprix Mode 2</t>
        </is>
      </c>
      <c r="D492" s="17" t="inlineStr">
        <is>
          <t>Arts and Crafts Supplies</t>
        </is>
      </c>
      <c r="E492" s="18" t="inlineStr">
        <is>
          <t>Papier à dessin Canson au meilleur prix | Monoprix</t>
        </is>
      </c>
      <c r="F492" s="17" t="inlineStr">
        <is>
          <t>Pochette Canson de 12 feuilles de papier à dessin 24 x 32 cm : un grammage de 224 g/m² et un grain fin qui accroche bien le crayon.</t>
        </is>
      </c>
      <c r="G492" s="19" t="inlineStr">
        <is>
          <t>https://action.metaffiliation.com/trk.php?mclic=P5104675874B11CS1UE412f3c01311540V4</t>
        </is>
      </c>
      <c r="H492" s="20" t="n">
        <v>17169</v>
      </c>
      <c r="I492" s="20" t="n">
        <v>86</v>
      </c>
      <c r="J492" s="21">
        <f>IF(H492=0,0,I492/H492)</f>
        <v/>
      </c>
    </row>
    <row r="493">
      <c r="A493" s="17" t="inlineStr">
        <is>
          <t>Monoprix</t>
        </is>
      </c>
      <c r="B493" s="17" t="inlineStr">
        <is>
          <t>Live</t>
        </is>
      </c>
      <c r="C493" s="17" t="inlineStr">
        <is>
          <t>Monoprix Mode 2</t>
        </is>
      </c>
      <c r="D493" s="17" t="inlineStr">
        <is>
          <t>Office/School Supplies</t>
        </is>
      </c>
      <c r="E493" s="18" t="inlineStr">
        <is>
          <t>Papier à dessin et feuilles Canson prix bas | Monoprix</t>
        </is>
      </c>
      <c r="F493" s="17" t="inlineStr">
        <is>
          <t>Pochette Canson de 12 feuilles de papier à dessin 24 x 32 cm : un grammage de 224 g/m² et un grain fin qui accroche bien le crayon.</t>
        </is>
      </c>
      <c r="G493" s="19" t="inlineStr">
        <is>
          <t>https://action.metaffiliation.com/trk.php?mclic=P5104675874B11CS1UE412f3c01311540V4</t>
        </is>
      </c>
      <c r="H493" s="20" t="n">
        <v>17070</v>
      </c>
      <c r="I493" s="20" t="n">
        <v>101</v>
      </c>
      <c r="J493" s="21">
        <f>IF(H493=0,0,I493/H493)</f>
        <v/>
      </c>
    </row>
    <row r="494">
      <c r="A494" s="17" t="inlineStr">
        <is>
          <t>Monoprix</t>
        </is>
      </c>
      <c r="B494" s="17" t="inlineStr">
        <is>
          <t>Live</t>
        </is>
      </c>
      <c r="C494" s="17" t="inlineStr">
        <is>
          <t>Monoprix Mode 2</t>
        </is>
      </c>
      <c r="D494" s="17" t="inlineStr">
        <is>
          <t>Kitchen and Dining Products</t>
        </is>
      </c>
      <c r="E494" s="18" t="inlineStr">
        <is>
          <t>Verre de rechange pour cafetière 8 tasses</t>
        </is>
      </c>
      <c r="F494" s="17" t="inlineStr">
        <is>
          <t>- Verre de recharge cafetière 8 tasses (1L) Composition : verre borosilicate</t>
        </is>
      </c>
      <c r="G494" s="19" t="inlineStr">
        <is>
          <t>https://action.metaffiliation.com/trk.php?mclic=P5104675874B11CS1UE412f3c01322566V4</t>
        </is>
      </c>
      <c r="H494" s="20" t="n">
        <v>16987</v>
      </c>
      <c r="I494" s="20" t="n">
        <v>92</v>
      </c>
      <c r="J494" s="21">
        <f>IF(H494=0,0,I494/H494)</f>
        <v/>
      </c>
    </row>
    <row r="495">
      <c r="A495" s="17" t="inlineStr">
        <is>
          <t>Monoprix</t>
        </is>
      </c>
      <c r="B495" s="17" t="inlineStr">
        <is>
          <t>Live</t>
        </is>
      </c>
      <c r="C495" s="17" t="inlineStr">
        <is>
          <t>Monoprix Mode 2</t>
        </is>
      </c>
      <c r="D495" s="17" t="inlineStr">
        <is>
          <t>Pantyhose/Nylons</t>
        </is>
      </c>
      <c r="E495" s="18" t="inlineStr">
        <is>
          <t>Collants transparents DIM au meilleur prix | Monoprix</t>
        </is>
      </c>
      <c r="F495" s="17" t="inlineStr">
        <is>
          <t>Collant Sublim DIM, voile transparent au fini satiné 15D tricoté en France : un effet peau éclatante et un bord invisible sous la jupe.</t>
        </is>
      </c>
      <c r="G495" s="19" t="inlineStr">
        <is>
          <t>https://action.metaffiliation.com/trk.php?mclic=P5104675874B11CS1UE412f3c01270185V4</t>
        </is>
      </c>
      <c r="H495" s="20" t="n">
        <v>16931</v>
      </c>
      <c r="I495" s="20" t="n">
        <v>81</v>
      </c>
      <c r="J495" s="21">
        <f>IF(H495=0,0,I495/H495)</f>
        <v/>
      </c>
    </row>
    <row r="496">
      <c r="A496" s="17" t="inlineStr">
        <is>
          <t>Monoprix</t>
        </is>
      </c>
      <c r="B496" s="17" t="inlineStr">
        <is>
          <t>Live</t>
        </is>
      </c>
      <c r="C496" s="17" t="inlineStr">
        <is>
          <t>Monoprix Mode 2</t>
        </is>
      </c>
      <c r="D496" s="17" t="inlineStr">
        <is>
          <t>Pantyhose/Nylons</t>
        </is>
      </c>
      <c r="E496" s="18" t="inlineStr">
        <is>
          <t>Collants et bas nylon pas chers | Monoprix</t>
        </is>
      </c>
      <c r="F496" s="17" t="inlineStr">
        <is>
          <t>Du collant Sublim DIM transparent et sculptant ventre plat aux bas nylon, les collants femme Monoprix se commandent avec vos courses.</t>
        </is>
      </c>
      <c r="G496" s="19" t="inlineStr">
        <is>
          <t>https://action.metaffiliation.com/trk.php?mclic=P5104675874B11CS1UE412f3c01258070V4</t>
        </is>
      </c>
      <c r="H496" s="20" t="n">
        <v>16851</v>
      </c>
      <c r="I496" s="20" t="n">
        <v>102</v>
      </c>
      <c r="J496" s="21">
        <f>IF(H496=0,0,I496/H496)</f>
        <v/>
      </c>
    </row>
    <row r="497">
      <c r="A497" s="17" t="inlineStr">
        <is>
          <t>Monoprix</t>
        </is>
      </c>
      <c r="B497" s="17" t="inlineStr">
        <is>
          <t>Live</t>
        </is>
      </c>
      <c r="C497" s="17" t="inlineStr">
        <is>
          <t>Monoprix Mode 2</t>
        </is>
      </c>
      <c r="D497" s="17" t="inlineStr">
        <is>
          <t>Baby and Toddler Products</t>
        </is>
      </c>
      <c r="E497" s="18" t="inlineStr">
        <is>
          <t>Drap housse 60x120cm contenant du coton BIO, certifié</t>
        </is>
      </c>
      <c r="F497" s="17" t="inlineStr">
        <is>
          <t>Drap housse uni 60 x 120 en jersey coton bio Matière très douce Dimensions : 60 x 120 cm BIO : Contient du coton issu de l'agriculture biologique. OEKO TEX : label international</t>
        </is>
      </c>
      <c r="G497" s="19" t="inlineStr">
        <is>
          <t>https://action.metaffiliation.com/trk.php?mclic=P5104675874B11CS1UE412f3c01242577V4</t>
        </is>
      </c>
      <c r="H497" s="20" t="n">
        <v>16823</v>
      </c>
      <c r="I497" s="20" t="n">
        <v>62</v>
      </c>
      <c r="J497" s="21">
        <f>IF(H497=0,0,I497/H497)</f>
        <v/>
      </c>
    </row>
    <row r="498">
      <c r="A498" s="17" t="inlineStr">
        <is>
          <t>Monoprix</t>
        </is>
      </c>
      <c r="B498" s="17" t="inlineStr">
        <is>
          <t>Live</t>
        </is>
      </c>
      <c r="C498" s="17" t="inlineStr">
        <is>
          <t>Monoprix Mode 2</t>
        </is>
      </c>
      <c r="D498" s="17" t="inlineStr">
        <is>
          <t>Hosiery</t>
        </is>
      </c>
      <c r="E498" s="18" t="inlineStr">
        <is>
          <t>Collants et chaussettes pas chères | Monoprix</t>
        </is>
      </c>
      <c r="F498" s="17" t="inlineStr">
        <is>
          <t>Collants Sublim DIM transparents et sculptants, chaussettes et socquettes : la bonneterie Monoprix tient dans le même panier que vos courses.</t>
        </is>
      </c>
      <c r="G498" s="19" t="inlineStr">
        <is>
          <t>https://action.metaffiliation.com/trk.php?mclic=P5104675874B11CS1UE412f3c01258070V4</t>
        </is>
      </c>
      <c r="H498" s="20" t="n">
        <v>16608</v>
      </c>
      <c r="I498" s="20" t="n">
        <v>68</v>
      </c>
      <c r="J498" s="21">
        <f>IF(H498=0,0,I498/H498)</f>
        <v/>
      </c>
    </row>
    <row r="499">
      <c r="A499" s="17" t="inlineStr">
        <is>
          <t>Monoprix</t>
        </is>
      </c>
      <c r="B499" s="17" t="inlineStr">
        <is>
          <t>Live</t>
        </is>
      </c>
      <c r="C499" s="17" t="inlineStr">
        <is>
          <t>Monoprix Mode 2</t>
        </is>
      </c>
      <c r="D499" s="17" t="inlineStr">
        <is>
          <t>Pantyhose/Nylons</t>
        </is>
      </c>
      <c r="E499" s="18" t="inlineStr">
        <is>
          <t>Collants transparents DIM au meilleur prix | Monoprix</t>
        </is>
      </c>
      <c r="F499" s="17" t="inlineStr">
        <is>
          <t>Collant Diam’s DIM, voile transparent et extensible 22D tricoté en France : un galbe net, une taille invisible et des pointes renforcées.</t>
        </is>
      </c>
      <c r="G499" s="19" t="inlineStr">
        <is>
          <t>https://action.metaffiliation.com/trk.php?mclic=P5104675874B11CS1UD412f3c0776593V4</t>
        </is>
      </c>
      <c r="H499" s="20" t="n">
        <v>16597</v>
      </c>
      <c r="I499" s="20" t="n">
        <v>87</v>
      </c>
      <c r="J499" s="21">
        <f>IF(H499=0,0,I499/H499)</f>
        <v/>
      </c>
    </row>
    <row r="500">
      <c r="A500" s="17" t="inlineStr">
        <is>
          <t>Monoprix</t>
        </is>
      </c>
      <c r="B500" s="17" t="inlineStr">
        <is>
          <t>Live</t>
        </is>
      </c>
      <c r="C500" s="17" t="inlineStr">
        <is>
          <t>Monoprix Mode 2</t>
        </is>
      </c>
      <c r="D500" s="17" t="inlineStr">
        <is>
          <t>Hosiery</t>
        </is>
      </c>
      <c r="E500" s="18" t="inlineStr">
        <is>
          <t>Collants et chaussettes pas chères | Monoprix</t>
        </is>
      </c>
      <c r="F500" s="17" t="inlineStr">
        <is>
          <t>Lot de 2 paires de chaussettes unies Bleuforêt : tige moyenne, larges bords élastiqués en côtes, pointes et talons renforcés.</t>
        </is>
      </c>
      <c r="G500" s="19" t="inlineStr">
        <is>
          <t>https://action.metaffiliation.com/trk.php?mclic=P5104675874B11CS1UE412f3c01242523V4</t>
        </is>
      </c>
      <c r="H500" s="20" t="n">
        <v>16472</v>
      </c>
      <c r="I500" s="20" t="n">
        <v>92</v>
      </c>
      <c r="J500" s="21">
        <f>IF(H500=0,0,I500/H500)</f>
        <v/>
      </c>
    </row>
    <row r="501">
      <c r="A501" s="17" t="inlineStr">
        <is>
          <t>Monoprix</t>
        </is>
      </c>
      <c r="B501" s="17" t="inlineStr">
        <is>
          <t>Live</t>
        </is>
      </c>
      <c r="C501" s="17" t="inlineStr">
        <is>
          <t>Monoprix Mode 2</t>
        </is>
      </c>
      <c r="D501" s="17" t="inlineStr">
        <is>
          <t>Hosiery</t>
        </is>
      </c>
      <c r="E501" s="18" t="inlineStr">
        <is>
          <t>Collants et chaussettes pas chères | Monoprix</t>
        </is>
      </c>
      <c r="F501" s="17" t="inlineStr">
        <is>
          <t>Lot de 3 paires de chaussettes en coton, tige moyenne et larges bords élastiqués en côtes, certifiées Oeko-Tex Standard 100.</t>
        </is>
      </c>
      <c r="G501" s="19" t="inlineStr">
        <is>
          <t>https://action.metaffiliation.com/trk.php?mclic=P5104675874B11CS1UE412f3c01263251V4</t>
        </is>
      </c>
      <c r="H501" s="20" t="n">
        <v>16464</v>
      </c>
      <c r="I501" s="20" t="n">
        <v>87</v>
      </c>
      <c r="J501" s="21">
        <f>IF(H501=0,0,I501/H501)</f>
        <v/>
      </c>
    </row>
    <row r="502">
      <c r="A502" s="17" t="inlineStr">
        <is>
          <t>Monoprix</t>
        </is>
      </c>
      <c r="B502" s="17" t="inlineStr">
        <is>
          <t>Live</t>
        </is>
      </c>
      <c r="C502" s="17" t="inlineStr">
        <is>
          <t>Monoprix Courses</t>
        </is>
      </c>
      <c r="D502" s="17" t="inlineStr">
        <is>
          <t>General Food</t>
        </is>
      </c>
      <c r="E502" s="18" t="inlineStr">
        <is>
          <t>Épicerie et produits frais au meilleur prix | Monoprix</t>
        </is>
      </c>
      <c r="F502" s="17" t="inlineStr">
        <is>
          <t>Blédidej Blédina, lait et céréales saveur vanille biscuitée : 4 briques prêtes à verser dans la tasse de bébé dès 12 mois.</t>
        </is>
      </c>
      <c r="G502" s="19" t="inlineStr">
        <is>
          <t>https://action.metaffiliation.com/trk.php?mclic=P5104675874B1295S1UD4135bd0812610V4</t>
        </is>
      </c>
      <c r="H502" s="20" t="n">
        <v>15656</v>
      </c>
      <c r="I502" s="20" t="n">
        <v>57</v>
      </c>
      <c r="J502" s="21">
        <f>IF(H502=0,0,I502/H502)</f>
        <v/>
      </c>
    </row>
    <row r="503">
      <c r="A503" s="17" t="inlineStr">
        <is>
          <t>Monoprix</t>
        </is>
      </c>
      <c r="B503" s="17" t="inlineStr">
        <is>
          <t>Live</t>
        </is>
      </c>
      <c r="C503" s="17" t="inlineStr">
        <is>
          <t>Monoprix Courses</t>
        </is>
      </c>
      <c r="D503" s="17" t="inlineStr">
        <is>
          <t>General Food</t>
        </is>
      </c>
      <c r="E503" s="18" t="inlineStr">
        <is>
          <t>Épicerie et produits frais au meilleur prix | Monoprix</t>
        </is>
      </c>
      <c r="F503" s="17" t="inlineStr">
        <is>
          <t>Concombres aigres-doux cacher Yarden, bocal de 860 g : des tranches croquantes à glisser dans un sandwich ou à servir avec une viande froide.</t>
        </is>
      </c>
      <c r="G503" s="19" t="inlineStr">
        <is>
          <t>https://action.metaffiliation.com/trk.php?mclic=P5104675874B1295S1UD4135bd0781032V4</t>
        </is>
      </c>
      <c r="H503" s="20" t="n">
        <v>15182</v>
      </c>
      <c r="I503" s="20" t="n">
        <v>39</v>
      </c>
      <c r="J503" s="21">
        <f>IF(H503=0,0,I503/H503)</f>
        <v/>
      </c>
    </row>
    <row r="504">
      <c r="A504" s="17" t="inlineStr">
        <is>
          <t>Monoprix</t>
        </is>
      </c>
      <c r="B504" s="17" t="inlineStr">
        <is>
          <t>Live</t>
        </is>
      </c>
      <c r="C504" s="17" t="inlineStr">
        <is>
          <t>Monoprix Courses</t>
        </is>
      </c>
      <c r="D504" s="17" t="inlineStr">
        <is>
          <t>Grocery Stores and Supermarkets</t>
        </is>
      </c>
      <c r="E504" s="18" t="inlineStr">
        <is>
          <t>Courses alimentaires et ménagères prix bas | Monoprix</t>
        </is>
      </c>
      <c r="F504" s="17" t="inlineStr">
        <is>
          <t>Bâtonnets à glace Maison Poppolo, 10 pièces de 70 g et 5 parfums différents : de quoi contenter tout le monde au moment du dessert.</t>
        </is>
      </c>
      <c r="G504" s="19" t="inlineStr">
        <is>
          <t>https://action.metaffiliation.com/trk.php?mclic=P5104675874B1295S1UD4135bd0817102V4</t>
        </is>
      </c>
      <c r="H504" s="20" t="n">
        <v>14829</v>
      </c>
      <c r="I504" s="20" t="n">
        <v>61</v>
      </c>
      <c r="J504" s="21">
        <f>IF(H504=0,0,I504/H504)</f>
        <v/>
      </c>
    </row>
    <row r="505">
      <c r="A505" s="17" t="inlineStr">
        <is>
          <t>Monoprix</t>
        </is>
      </c>
      <c r="B505" s="17" t="inlineStr">
        <is>
          <t>Live</t>
        </is>
      </c>
      <c r="C505" s="17" t="inlineStr">
        <is>
          <t>Monoprix Courses</t>
        </is>
      </c>
      <c r="D505" s="17" t="inlineStr">
        <is>
          <t>General Food</t>
        </is>
      </c>
      <c r="E505" s="18" t="inlineStr">
        <is>
          <t>Épicerie et produits frais au meilleur prix | Monoprix</t>
        </is>
      </c>
      <c r="F505" s="17" t="inlineStr">
        <is>
          <t>Mélange de mâche et de roquette Bonduelle, sachet de 100 g déjà lavé et prêt à l’emploi : il ne reste plus qu’à assaisonner la salade.</t>
        </is>
      </c>
      <c r="G505" s="19" t="inlineStr">
        <is>
          <t>https://action.metaffiliation.com/trk.php?mclic=P5104675874B1295S1UD4135bd0757643V4</t>
        </is>
      </c>
      <c r="H505" s="20" t="n">
        <v>14593</v>
      </c>
      <c r="I505" s="20" t="n">
        <v>53</v>
      </c>
      <c r="J505" s="21">
        <f>IF(H505=0,0,I505/H505)</f>
        <v/>
      </c>
    </row>
    <row r="506">
      <c r="A506" s="17" t="inlineStr">
        <is>
          <t>Monoprix</t>
        </is>
      </c>
      <c r="B506" s="17" t="inlineStr">
        <is>
          <t>Live</t>
        </is>
      </c>
      <c r="C506" s="17" t="inlineStr">
        <is>
          <t>Monoprix Courses</t>
        </is>
      </c>
      <c r="D506" s="17" t="inlineStr">
        <is>
          <t>General Food</t>
        </is>
      </c>
      <c r="E506" s="18" t="inlineStr">
        <is>
          <t>Épicerie et produits frais au meilleur prix | Monoprix</t>
        </is>
      </c>
      <c r="F506" s="17" t="inlineStr">
        <is>
          <t>Choucroute nature Yarden, sachet de 900 g : un chou déjà émincé et fermenté, prêt à réchauffer pour une potée ou une assiette de charcuterie.</t>
        </is>
      </c>
      <c r="G506" s="19" t="inlineStr">
        <is>
          <t>https://action.metaffiliation.com/trk.php?mclic=P5104675874B1295S1UD4135bd0802549V4</t>
        </is>
      </c>
      <c r="H506" s="20" t="n">
        <v>14460</v>
      </c>
      <c r="I506" s="20" t="n">
        <v>41</v>
      </c>
      <c r="J506" s="21">
        <f>IF(H506=0,0,I506/H506)</f>
        <v/>
      </c>
    </row>
    <row r="507">
      <c r="A507" s="17" t="inlineStr">
        <is>
          <t>Monoprix</t>
        </is>
      </c>
      <c r="B507" s="17" t="inlineStr">
        <is>
          <t>Live</t>
        </is>
      </c>
      <c r="C507" s="17" t="inlineStr">
        <is>
          <t>Monoprix Courses</t>
        </is>
      </c>
      <c r="D507" s="17" t="inlineStr">
        <is>
          <t>Bébé</t>
        </is>
      </c>
      <c r="E507" s="18" t="inlineStr">
        <is>
          <t>Blédina blédidej croissance lait et céréales saveur choco</t>
        </is>
      </c>
      <c r="F507" s="17" t="inlineStr">
        <is>
          <t>une gamme pour régaler bébé au petit déjeuner. 4 briques prêtes à l'emploi saveur choco biscuitée. a l’âge de 12 mois, certains enfants sont déjà dressés sur leurs jambes quand</t>
        </is>
      </c>
      <c r="G507" s="19" t="inlineStr">
        <is>
          <t>https://action.metaffiliation.com/trk.php?mclic=P5104675874B1295S1UD4135bd0809674V4</t>
        </is>
      </c>
      <c r="H507" s="20" t="n">
        <v>14443</v>
      </c>
      <c r="I507" s="20" t="n">
        <v>62</v>
      </c>
      <c r="J507" s="21">
        <f>IF(H507=0,0,I507/H507)</f>
        <v/>
      </c>
    </row>
    <row r="508">
      <c r="A508" s="17" t="inlineStr">
        <is>
          <t>Monoprix</t>
        </is>
      </c>
      <c r="B508" s="17" t="inlineStr">
        <is>
          <t>Live</t>
        </is>
      </c>
      <c r="C508" s="17" t="inlineStr">
        <is>
          <t>Monoprix Courses</t>
        </is>
      </c>
      <c r="D508" s="17" t="inlineStr">
        <is>
          <t>Animaux</t>
        </is>
      </c>
      <c r="E508" s="18" t="inlineStr">
        <is>
          <t>Purina gourmet gold double délice bouchées en sauce chat</t>
        </is>
      </c>
      <c r="F508" s="17" t="inlineStr">
        <is>
          <t>Vous ne voulez pas que votre chat se lasse de ses repas et vous souhaitez toujours le surprendre en lui proposant différentes textures pour ravir son palais. Gourmet gold a donc</t>
        </is>
      </c>
      <c r="G508" s="19" t="inlineStr">
        <is>
          <t>https://action.metaffiliation.com/trk.php?mclic=P5104675874B1295S1UD4135bd0699282V4</t>
        </is>
      </c>
      <c r="H508" s="20" t="n">
        <v>14124</v>
      </c>
      <c r="I508" s="20" t="n">
        <v>44</v>
      </c>
      <c r="J508" s="21">
        <f>IF(H508=0,0,I508/H508)</f>
        <v/>
      </c>
    </row>
    <row r="509">
      <c r="A509" s="17" t="inlineStr">
        <is>
          <t>Monoprix</t>
        </is>
      </c>
      <c r="B509" s="17" t="inlineStr">
        <is>
          <t>Live</t>
        </is>
      </c>
      <c r="C509" s="17" t="inlineStr">
        <is>
          <t>Monoprix Courses</t>
        </is>
      </c>
      <c r="D509" s="17" t="inlineStr">
        <is>
          <t>Surgelés</t>
        </is>
      </c>
      <c r="E509" s="18" t="inlineStr">
        <is>
          <t>Maison poppolo bâtonnets à glace 5 parfums 10x70g</t>
        </is>
      </c>
      <c r="F509" s="17" t="inlineStr">
        <is>
          <t>POP POLO - Maison Poppolo Bâtonnets à Glace 5 parfums 10x70g</t>
        </is>
      </c>
      <c r="G509" s="19" t="inlineStr">
        <is>
          <t>https://action.metaffiliation.com/trk.php?mclic=P5104675874B1295S1UD4135bd0817102V4</t>
        </is>
      </c>
      <c r="H509" s="20" t="n">
        <v>13838</v>
      </c>
      <c r="I509" s="20" t="n">
        <v>58</v>
      </c>
      <c r="J509" s="21">
        <f>IF(H509=0,0,I509/H509)</f>
        <v/>
      </c>
    </row>
    <row r="510">
      <c r="A510" s="17" t="inlineStr">
        <is>
          <t>Monoprix</t>
        </is>
      </c>
      <c r="B510" s="17" t="inlineStr">
        <is>
          <t>Live</t>
        </is>
      </c>
      <c r="C510" s="17" t="inlineStr">
        <is>
          <t>Monoprix Courses</t>
        </is>
      </c>
      <c r="D510" s="17" t="inlineStr">
        <is>
          <t>General Food</t>
        </is>
      </c>
      <c r="E510" s="18" t="inlineStr">
        <is>
          <t>Épicerie et produits frais au meilleur prix | Monoprix</t>
        </is>
      </c>
      <c r="F510" s="17" t="inlineStr">
        <is>
          <t>Blédidej croissance Blédina, lait et céréales saveur choco biscuitée : 4 briques prêtes à l’emploi pour le petit-déjeuner de bébé dès 12 mois.</t>
        </is>
      </c>
      <c r="G510" s="19" t="inlineStr">
        <is>
          <t>https://action.metaffiliation.com/trk.php?mclic=P5104675874B1295S1UD4135bd0809674V4</t>
        </is>
      </c>
      <c r="H510" s="20" t="n">
        <v>13652</v>
      </c>
      <c r="I510" s="20" t="n">
        <v>49</v>
      </c>
      <c r="J510" s="21">
        <f>IF(H510=0,0,I510/H510)</f>
        <v/>
      </c>
    </row>
    <row r="511">
      <c r="A511" s="17" t="inlineStr">
        <is>
          <t>Monoprix</t>
        </is>
      </c>
      <c r="B511" s="17" t="inlineStr">
        <is>
          <t>Live</t>
        </is>
      </c>
      <c r="C511" s="17" t="inlineStr">
        <is>
          <t>Monoprix Courses</t>
        </is>
      </c>
      <c r="D511" s="17" t="inlineStr">
        <is>
          <t>General Food</t>
        </is>
      </c>
      <c r="E511" s="18" t="inlineStr">
        <is>
          <t>Épicerie et produits frais au meilleur prix | Monoprix</t>
        </is>
      </c>
      <c r="F511" s="17" t="inlineStr">
        <is>
          <t>Groseilles rouges Monoprix en barquette de 125 g : de petites grappes acidulées à picorer, à poser sur une tarte ou à cuire en gelée.</t>
        </is>
      </c>
      <c r="G511" s="19" t="inlineStr">
        <is>
          <t>https://action.metaffiliation.com/trk.php?mclic=P5104675874B1295S1UD4135bd0809626V4</t>
        </is>
      </c>
      <c r="H511" s="20" t="n">
        <v>13282</v>
      </c>
      <c r="I511" s="20" t="n">
        <v>51</v>
      </c>
      <c r="J511" s="21">
        <f>IF(H511=0,0,I511/H511)</f>
        <v/>
      </c>
    </row>
    <row r="512">
      <c r="A512" s="17" t="inlineStr">
        <is>
          <t>Monoprix</t>
        </is>
      </c>
      <c r="B512" s="17" t="inlineStr">
        <is>
          <t>Live</t>
        </is>
      </c>
      <c r="C512" s="17" t="inlineStr">
        <is>
          <t>Monoprix Courses</t>
        </is>
      </c>
      <c r="D512" s="17" t="inlineStr">
        <is>
          <t>Grocery Stores and Supermarkets</t>
        </is>
      </c>
      <c r="E512" s="18" t="inlineStr">
        <is>
          <t>Courses alimentaires et ménagères prix bas | Monoprix</t>
        </is>
      </c>
      <c r="F512" s="17" t="inlineStr">
        <is>
          <t>Groseilles rouges Monoprix en barquette de 125 g : de petites grappes acidulées à picorer, à poser sur une tarte ou à cuire en gelée.</t>
        </is>
      </c>
      <c r="G512" s="19" t="inlineStr">
        <is>
          <t>https://action.metaffiliation.com/trk.php?mclic=P5104675874B1295S1UD4135bd0809626V4</t>
        </is>
      </c>
      <c r="H512" s="20" t="n">
        <v>13250</v>
      </c>
      <c r="I512" s="20" t="n">
        <v>41</v>
      </c>
      <c r="J512" s="21">
        <f>IF(H512=0,0,I512/H512)</f>
        <v/>
      </c>
    </row>
    <row r="513">
      <c r="A513" s="17" t="inlineStr">
        <is>
          <t>Monoprix</t>
        </is>
      </c>
      <c r="B513" s="17" t="inlineStr">
        <is>
          <t>Live</t>
        </is>
      </c>
      <c r="C513" s="17" t="inlineStr">
        <is>
          <t>Monoprix Courses</t>
        </is>
      </c>
      <c r="D513" s="17" t="inlineStr">
        <is>
          <t>Grocery Stores and Supermarkets</t>
        </is>
      </c>
      <c r="E513" s="18" t="inlineStr">
        <is>
          <t>Courses alimentaires et ménagères prix bas | Monoprix</t>
        </is>
      </c>
      <c r="F513" s="17" t="inlineStr">
        <is>
          <t>Choucroute nature Yarden, sachet de 900 g : un chou déjà émincé et fermenté, prêt à réchauffer pour une potée ou une assiette de charcuterie.</t>
        </is>
      </c>
      <c r="G513" s="19" t="inlineStr">
        <is>
          <t>https://action.metaffiliation.com/trk.php?mclic=P5104675874B1295S1UD4135bd0802549V4</t>
        </is>
      </c>
      <c r="H513" s="20" t="n">
        <v>13240</v>
      </c>
      <c r="I513" s="20" t="n">
        <v>57</v>
      </c>
      <c r="J513" s="21">
        <f>IF(H513=0,0,I513/H513)</f>
        <v/>
      </c>
    </row>
    <row r="514">
      <c r="A514" s="17" t="inlineStr">
        <is>
          <t>Monoprix</t>
        </is>
      </c>
      <c r="B514" s="17" t="inlineStr">
        <is>
          <t>Live</t>
        </is>
      </c>
      <c r="C514" s="17" t="inlineStr">
        <is>
          <t>Monoprix Courses</t>
        </is>
      </c>
      <c r="D514" s="17" t="inlineStr">
        <is>
          <t>Grocery Stores and Supermarkets</t>
        </is>
      </c>
      <c r="E514" s="18" t="inlineStr">
        <is>
          <t>Courses alimentaires et ménagères prix bas | Monoprix</t>
        </is>
      </c>
      <c r="F514" s="17" t="inlineStr">
        <is>
          <t>Nettoyant Vitroclen pour plaques vitrocéramique et induction, spray de 25 cl : il retire les traces de cuisson en préservant la surface.</t>
        </is>
      </c>
      <c r="G514" s="19" t="inlineStr">
        <is>
          <t>https://action.metaffiliation.com/trk.php?mclic=P5104675874B1295S1UD4135bd0796534V4</t>
        </is>
      </c>
      <c r="H514" s="20" t="n">
        <v>13131</v>
      </c>
      <c r="I514" s="20" t="n">
        <v>49</v>
      </c>
      <c r="J514" s="21">
        <f>IF(H514=0,0,I514/H514)</f>
        <v/>
      </c>
    </row>
    <row r="515">
      <c r="A515" s="17" t="inlineStr">
        <is>
          <t>Monoprix</t>
        </is>
      </c>
      <c r="B515" s="17" t="inlineStr">
        <is>
          <t>Live</t>
        </is>
      </c>
      <c r="C515" s="17" t="inlineStr">
        <is>
          <t>Monoprix Courses</t>
        </is>
      </c>
      <c r="D515" s="17" t="inlineStr">
        <is>
          <t>Nursing and Feeding Products</t>
        </is>
      </c>
      <c r="E515" s="18" t="inlineStr">
        <is>
          <t>Crèmes et soins pour bébé au meilleur prix | Monoprix</t>
        </is>
      </c>
      <c r="F515" s="17" t="inlineStr">
        <is>
          <t>La crème nutritive Klorane Bébé au cold cream nourrit et apaise les peaux sèches dès la naissance, dans une formule d’origine naturelle.</t>
        </is>
      </c>
      <c r="G515" s="19" t="inlineStr">
        <is>
          <t>https://action.metaffiliation.com/trk.php?mclic=P5104675874B1295S1UD4135bd0810325V4</t>
        </is>
      </c>
      <c r="H515" s="20" t="n">
        <v>13006</v>
      </c>
      <c r="I515" s="20" t="n">
        <v>41</v>
      </c>
      <c r="J515" s="21">
        <f>IF(H515=0,0,I515/H515)</f>
        <v/>
      </c>
    </row>
    <row r="516">
      <c r="A516" s="17" t="inlineStr">
        <is>
          <t>Monoprix</t>
        </is>
      </c>
      <c r="B516" s="17" t="inlineStr">
        <is>
          <t>Live</t>
        </is>
      </c>
      <c r="C516" s="17" t="inlineStr">
        <is>
          <t>Monoprix Courses</t>
        </is>
      </c>
      <c r="D516" s="17" t="inlineStr">
        <is>
          <t>Grocery Stores and Supermarkets</t>
        </is>
      </c>
      <c r="E516" s="18" t="inlineStr">
        <is>
          <t>Courses alimentaires et ménagères prix bas | Monoprix</t>
        </is>
      </c>
      <c r="F516" s="17" t="inlineStr">
        <is>
          <t>Bière blonde Pelforth brassée dans le Nord depuis 1921, pack de 6 bouteilles de 25 cl : des notes de malts dorés et une amertume justement dosée.</t>
        </is>
      </c>
      <c r="G516" s="19" t="inlineStr">
        <is>
          <t>https://action.metaffiliation.com/trk.php?mclic=P5104675874B1295S1UD4135bd0784036V4</t>
        </is>
      </c>
      <c r="H516" s="20" t="n">
        <v>12299</v>
      </c>
      <c r="I516" s="20" t="n">
        <v>35</v>
      </c>
      <c r="J516" s="21">
        <f>IF(H516=0,0,I516/H516)</f>
        <v/>
      </c>
    </row>
    <row r="517">
      <c r="A517" s="17" t="inlineStr">
        <is>
          <t>Monoprix</t>
        </is>
      </c>
      <c r="B517" s="17" t="inlineStr">
        <is>
          <t>Live</t>
        </is>
      </c>
      <c r="C517" s="17" t="inlineStr">
        <is>
          <t>Monoprix Courses</t>
        </is>
      </c>
      <c r="D517" s="17" t="inlineStr">
        <is>
          <t>Entretien</t>
        </is>
      </c>
      <c r="E517" s="18" t="inlineStr">
        <is>
          <t>K2r détachant à sec, sans auréole 200ml</t>
        </is>
      </c>
      <c r="F517" s="17" t="inlineStr">
        <is>
          <t>Issue de la recherche et de l’expertise k2r, sa formule unique poudre active absorbe efficacement les taches grasses de vos textiles (maquillage, huile, sauce…) sans laisser de</t>
        </is>
      </c>
      <c r="G517" s="19" t="inlineStr">
        <is>
          <t>https://action.metaffiliation.com/trk.php?mclic=P5104675874B1295S1UD4135bd0790510V4</t>
        </is>
      </c>
      <c r="H517" s="20" t="n">
        <v>12198</v>
      </c>
      <c r="I517" s="20" t="n">
        <v>41</v>
      </c>
      <c r="J517" s="21">
        <f>IF(H517=0,0,I517/H517)</f>
        <v/>
      </c>
    </row>
    <row r="518">
      <c r="A518" s="17" t="inlineStr">
        <is>
          <t>Monoprix</t>
        </is>
      </c>
      <c r="B518" s="17" t="inlineStr">
        <is>
          <t>Live</t>
        </is>
      </c>
      <c r="C518" s="17" t="inlineStr">
        <is>
          <t>Monoprix Courses</t>
        </is>
      </c>
      <c r="D518" s="17" t="inlineStr">
        <is>
          <t>Épicerie</t>
        </is>
      </c>
      <c r="E518" s="18" t="inlineStr">
        <is>
          <t>Yarden concombre aigre doux cacher 860g</t>
        </is>
      </c>
      <c r="F518" s="17" t="inlineStr">
        <is>
          <t>Yarden concombre aigre doux cacher 860 g - Yarden Yarden Concombre aigre doux cacher 860g</t>
        </is>
      </c>
      <c r="G518" s="19" t="inlineStr">
        <is>
          <t>https://action.metaffiliation.com/trk.php?mclic=P5104675874B1295S1UD4135bd0781032V4</t>
        </is>
      </c>
      <c r="H518" s="20" t="n">
        <v>11963</v>
      </c>
      <c r="I518" s="20" t="n">
        <v>41</v>
      </c>
      <c r="J518" s="21">
        <f>IF(H518=0,0,I518/H518)</f>
        <v/>
      </c>
    </row>
    <row r="519">
      <c r="A519" s="17" t="inlineStr">
        <is>
          <t>Monoprix</t>
        </is>
      </c>
      <c r="B519" s="17" t="inlineStr">
        <is>
          <t>Live</t>
        </is>
      </c>
      <c r="C519" s="17" t="inlineStr">
        <is>
          <t>Monoprix Courses</t>
        </is>
      </c>
      <c r="D519" s="17" t="inlineStr">
        <is>
          <t>Drugstores and Pharmacies</t>
        </is>
      </c>
      <c r="E519" s="18" t="inlineStr">
        <is>
          <t>Parapharmacie et premiers soins prix bas | Monoprix</t>
        </is>
      </c>
      <c r="F519" s="17" t="inlineStr">
        <is>
          <t>Soin lavant doux Saforelle, 250 ml et sans savon : il nettoie la peau intime et le corps des peaux sensibles ou irritées et calme les irritations.</t>
        </is>
      </c>
      <c r="G519" s="19" t="inlineStr">
        <is>
          <t>https://action.metaffiliation.com/trk.php?mclic=P5104675874B1295S1UD4135bd0789500V4</t>
        </is>
      </c>
      <c r="H519" s="20" t="n">
        <v>11403</v>
      </c>
      <c r="I519" s="20" t="n">
        <v>37</v>
      </c>
      <c r="J519" s="21">
        <f>IF(H519=0,0,I519/H519)</f>
        <v/>
      </c>
    </row>
    <row r="520">
      <c r="A520" s="17" t="inlineStr">
        <is>
          <t>Monoprix</t>
        </is>
      </c>
      <c r="B520" s="17" t="inlineStr">
        <is>
          <t>Live</t>
        </is>
      </c>
      <c r="C520" s="17" t="inlineStr">
        <is>
          <t>Monoprix Courses</t>
        </is>
      </c>
      <c r="D520" s="17" t="inlineStr">
        <is>
          <t>Beer</t>
        </is>
      </c>
      <c r="E520" s="18" t="inlineStr">
        <is>
          <t>Bières blondes et artisanales prix bas | Monoprix</t>
        </is>
      </c>
      <c r="F520" s="17" t="inlineStr">
        <is>
          <t>La Pelforth blonde, brassée dans le Nord depuis 1921 et à l’amertume dosée, accompagne les bières blondes et artisanales de vos courses.</t>
        </is>
      </c>
      <c r="G520" s="19" t="inlineStr">
        <is>
          <t>https://action.metaffiliation.com/trk.php?mclic=P5104675874B1295S1UD4135bd0784036V4</t>
        </is>
      </c>
      <c r="H520" s="20" t="n">
        <v>10939</v>
      </c>
      <c r="I520" s="20" t="n">
        <v>44</v>
      </c>
      <c r="J520" s="21">
        <f>IF(H520=0,0,I520/H520)</f>
        <v/>
      </c>
    </row>
    <row r="521">
      <c r="A521" s="17" t="inlineStr">
        <is>
          <t>Monoprix</t>
        </is>
      </c>
      <c r="B521" s="17" t="inlineStr">
        <is>
          <t>Live</t>
        </is>
      </c>
      <c r="C521" s="17" t="inlineStr">
        <is>
          <t>Monoprix Courses</t>
        </is>
      </c>
      <c r="D521" s="17" t="inlineStr">
        <is>
          <t>Grocery Stores and Supermarkets</t>
        </is>
      </c>
      <c r="E521" s="18" t="inlineStr">
        <is>
          <t>Courses alimentaires et ménagères prix bas | Monoprix</t>
        </is>
      </c>
      <c r="F521" s="17" t="inlineStr">
        <is>
          <t>Concombres aigres-doux cacher Yarden, bocal de 860 g : des tranches croquantes à glisser dans un sandwich ou à servir avec une viande froide.</t>
        </is>
      </c>
      <c r="G521" s="19" t="inlineStr">
        <is>
          <t>https://action.metaffiliation.com/trk.php?mclic=P5104675874B1295S1UD4135bd0781032V4</t>
        </is>
      </c>
      <c r="H521" s="20" t="n">
        <v>10795</v>
      </c>
      <c r="I521" s="20" t="n">
        <v>60</v>
      </c>
      <c r="J521" s="21">
        <f>IF(H521=0,0,I521/H521)</f>
        <v/>
      </c>
    </row>
    <row r="522">
      <c r="A522" s="17" t="inlineStr">
        <is>
          <t>Monoprix</t>
        </is>
      </c>
      <c r="B522" s="17" t="inlineStr">
        <is>
          <t>Live</t>
        </is>
      </c>
      <c r="C522" s="17" t="inlineStr">
        <is>
          <t>Monoprix Courses</t>
        </is>
      </c>
      <c r="D522" s="17" t="inlineStr">
        <is>
          <t>Juices</t>
        </is>
      </c>
      <c r="E522" s="18" t="inlineStr">
        <is>
          <t>Jus de fruits et de légumes au meilleur prix | Monoprix</t>
        </is>
      </c>
      <c r="F522" s="17" t="inlineStr">
        <is>
          <t>Pur jus de pomme Golden en bouteille de 1 litre : de la pomme Golden et rien d’autre, à servir bien frais au petit-déjeuner comme au goûter.</t>
        </is>
      </c>
      <c r="G522" s="19" t="inlineStr">
        <is>
          <t>https://action.metaffiliation.com/trk.php?mclic=P5104675874B1295S1UD4135bd0818792V4</t>
        </is>
      </c>
      <c r="H522" s="20" t="n">
        <v>10677</v>
      </c>
      <c r="I522" s="20" t="n">
        <v>45</v>
      </c>
      <c r="J522" s="21">
        <f>IF(H522=0,0,I522/H522)</f>
        <v/>
      </c>
    </row>
    <row r="523">
      <c r="A523" s="17" t="inlineStr">
        <is>
          <t>Monoprix</t>
        </is>
      </c>
      <c r="B523" s="17" t="inlineStr">
        <is>
          <t>Live</t>
        </is>
      </c>
      <c r="C523" s="17" t="inlineStr">
        <is>
          <t>Monoprix Courses</t>
        </is>
      </c>
      <c r="D523" s="17" t="inlineStr">
        <is>
          <t>Bébé</t>
        </is>
      </c>
      <c r="E523" s="18" t="inlineStr">
        <is>
          <t>Bledina blédidej lait et céréales biscuité vanille dès 12</t>
        </is>
      </c>
      <c r="F523" s="17" t="inlineStr">
        <is>
          <t>une gamme pour régaler bébé au petit déjeuner. 4 briques prêtes à l'emploi biscuité saveur vanille. a l’âge de 12 mois, certains enfants sont déjà dressés sur leurs jambes quand</t>
        </is>
      </c>
      <c r="G523" s="19" t="inlineStr">
        <is>
          <t>https://action.metaffiliation.com/trk.php?mclic=P5104675874B1295S1UD4135bd0812610V4</t>
        </is>
      </c>
      <c r="H523" s="20" t="n">
        <v>10587</v>
      </c>
      <c r="I523" s="20" t="n">
        <v>43</v>
      </c>
      <c r="J523" s="21">
        <f>IF(H523=0,0,I523/H523)</f>
        <v/>
      </c>
    </row>
    <row r="524">
      <c r="A524" s="17" t="inlineStr">
        <is>
          <t>Monoprix</t>
        </is>
      </c>
      <c r="B524" s="17" t="inlineStr">
        <is>
          <t>Live</t>
        </is>
      </c>
      <c r="C524" s="17" t="inlineStr">
        <is>
          <t>Monoprix Courses</t>
        </is>
      </c>
      <c r="D524" s="17" t="inlineStr">
        <is>
          <t>Entretien</t>
        </is>
      </c>
      <c r="E524" s="18" t="inlineStr">
        <is>
          <t>Dr beckmann diable détacheur, graisse &amp; sauces 50ml</t>
        </is>
      </c>
      <c r="F524" s="17" t="inlineStr">
        <is>
          <t>Diable détacheur en 50ml élimine les tâches de graisse, sauces, chocolat, vinaigrette et condiments. Ne convient pas aux tapis et cuirs. - DR BECKMANN Dr Beckmann Diable</t>
        </is>
      </c>
      <c r="G524" s="19" t="inlineStr">
        <is>
          <t>https://action.metaffiliation.com/trk.php?mclic=P5104675874B1295S1UD4135bd0749011V4</t>
        </is>
      </c>
      <c r="H524" s="20" t="n">
        <v>9877</v>
      </c>
      <c r="I524" s="20" t="n">
        <v>33</v>
      </c>
      <c r="J524" s="21">
        <f>IF(H524=0,0,I524/H524)</f>
        <v/>
      </c>
    </row>
    <row r="525">
      <c r="A525" s="17" t="inlineStr">
        <is>
          <t>Monoprix</t>
        </is>
      </c>
      <c r="B525" s="17" t="inlineStr">
        <is>
          <t>Live</t>
        </is>
      </c>
      <c r="C525" s="17" t="inlineStr">
        <is>
          <t>Monoprix Courses</t>
        </is>
      </c>
      <c r="D525" s="17" t="inlineStr">
        <is>
          <t>Grocery Stores and Supermarkets</t>
        </is>
      </c>
      <c r="E525" s="18" t="inlineStr">
        <is>
          <t>Courses alimentaires et ménagères prix bas | Monoprix</t>
        </is>
      </c>
      <c r="F525" s="17" t="inlineStr">
        <is>
          <t>Le Diable détacheur Dr Beckmann, 50 ml, élimine les taches de graisse, de sauce, de chocolat et de vinaigrette ; il ne convient ni aux tapis ni aux cuirs.</t>
        </is>
      </c>
      <c r="G525" s="19" t="inlineStr">
        <is>
          <t>https://action.metaffiliation.com/trk.php?mclic=P5104675874B1295S1UD4135bd0749011V4</t>
        </is>
      </c>
      <c r="H525" s="20" t="n">
        <v>9743</v>
      </c>
      <c r="I525" s="20" t="n">
        <v>50</v>
      </c>
      <c r="J525" s="21">
        <f>IF(H525=0,0,I525/H525)</f>
        <v/>
      </c>
    </row>
    <row r="526">
      <c r="A526" s="17" t="inlineStr">
        <is>
          <t>Monoprix</t>
        </is>
      </c>
      <c r="B526" s="17" t="inlineStr">
        <is>
          <t>Live</t>
        </is>
      </c>
      <c r="C526" s="17" t="inlineStr">
        <is>
          <t>Monoprix Courses</t>
        </is>
      </c>
      <c r="D526" s="17" t="inlineStr">
        <is>
          <t>Entretien</t>
        </is>
      </c>
      <c r="E526" s="18" t="inlineStr">
        <is>
          <t>Vitroclen nettoyant vitrocéramique &amp; induction 25cl</t>
        </is>
      </c>
      <c r="F526" s="17" t="inlineStr">
        <is>
          <t>: vitroclen, des formules expertes développées pour une efficacité maximale tout en préservant vos plaques de cuisson. Son format spray, pratique et efficace, permet un nettoyage</t>
        </is>
      </c>
      <c r="G526" s="19" t="inlineStr">
        <is>
          <t>https://action.metaffiliation.com/trk.php?mclic=P5104675874B1295S1UD4135bd0796534V4</t>
        </is>
      </c>
      <c r="H526" s="20" t="n">
        <v>9723</v>
      </c>
      <c r="I526" s="20" t="n">
        <v>46</v>
      </c>
      <c r="J526" s="21">
        <f>IF(H526=0,0,I526/H526)</f>
        <v/>
      </c>
    </row>
    <row r="527">
      <c r="A527" s="17" t="inlineStr">
        <is>
          <t>Monoprix</t>
        </is>
      </c>
      <c r="B527" s="17" t="inlineStr">
        <is>
          <t>Live</t>
        </is>
      </c>
      <c r="C527" s="17" t="inlineStr">
        <is>
          <t>Monoprix Courses</t>
        </is>
      </c>
      <c r="D527" s="17" t="inlineStr">
        <is>
          <t>Grocery Stores and Supermarkets</t>
        </is>
      </c>
      <c r="E527" s="18" t="inlineStr">
        <is>
          <t>Courses alimentaires et ménagères prix bas | Monoprix</t>
        </is>
      </c>
      <c r="F527" s="17" t="inlineStr">
        <is>
          <t>Blédidej croissance Blédina, lait et céréales saveur choco biscuitée : 4 briques prêtes à l’emploi pour le petit-déjeuner de bébé dès 12 mois.</t>
        </is>
      </c>
      <c r="G527" s="19" t="inlineStr">
        <is>
          <t>https://action.metaffiliation.com/trk.php?mclic=P5104675874B1295S1UD4135bd0809674V4</t>
        </is>
      </c>
      <c r="H527" s="20" t="n">
        <v>9702</v>
      </c>
      <c r="I527" s="20" t="n">
        <v>33</v>
      </c>
      <c r="J527" s="21">
        <f>IF(H527=0,0,I527/H527)</f>
        <v/>
      </c>
    </row>
    <row r="528">
      <c r="A528" s="17" t="inlineStr">
        <is>
          <t>Monoprix</t>
        </is>
      </c>
      <c r="B528" s="17" t="inlineStr">
        <is>
          <t>Live</t>
        </is>
      </c>
      <c r="C528" s="17" t="inlineStr">
        <is>
          <t>Monoprix Courses</t>
        </is>
      </c>
      <c r="D528" s="17" t="inlineStr">
        <is>
          <t>Surgelés</t>
        </is>
      </c>
      <c r="E528" s="18" t="inlineStr">
        <is>
          <t>Yooji potiron de poulet haché bio dès 6 mois x12 120g</t>
        </is>
      </c>
      <c r="F528" s="17" t="inlineStr">
        <is>
          <t>Les packs yooji se sont refaits une beauté mais nos bonnes purées pour bébés restent inchangées. Mais parce que nous n’aimons pas le gaspillage, il se peut que vous ayez des</t>
        </is>
      </c>
      <c r="G528" s="19" t="inlineStr">
        <is>
          <t>https://action.metaffiliation.com/trk.php?mclic=P5104675874B1295S1UD4135bd0816184V4</t>
        </is>
      </c>
      <c r="H528" s="20" t="n">
        <v>9591</v>
      </c>
      <c r="I528" s="20" t="n">
        <v>37</v>
      </c>
      <c r="J528" s="21">
        <f>IF(H528=0,0,I528/H528)</f>
        <v/>
      </c>
    </row>
    <row r="529">
      <c r="A529" s="17" t="inlineStr">
        <is>
          <t>Monoprix</t>
        </is>
      </c>
      <c r="B529" s="17" t="inlineStr">
        <is>
          <t>Live</t>
        </is>
      </c>
      <c r="C529" s="17" t="inlineStr">
        <is>
          <t>Monoprix Courses</t>
        </is>
      </c>
      <c r="D529" s="17" t="inlineStr">
        <is>
          <t>Baby and Toddler Products</t>
        </is>
      </c>
      <c r="E529" s="18" t="inlineStr">
        <is>
          <t>Biberons et chaises hautes prix bas | Monoprix</t>
        </is>
      </c>
      <c r="F529" s="17" t="inlineStr">
        <is>
          <t>Biberons, chaises hautes, babyphones et soins comme la crème nutritive Klorane Bébé au cold cream : de quoi équiper bébé chez Monoprix.</t>
        </is>
      </c>
      <c r="G529" s="19" t="inlineStr">
        <is>
          <t>https://action.metaffiliation.com/trk.php?mclic=P5104675874B1295S1UD4135bd0810325V4</t>
        </is>
      </c>
      <c r="H529" s="20" t="n">
        <v>9583</v>
      </c>
      <c r="I529" s="20" t="n">
        <v>33</v>
      </c>
      <c r="J529" s="21">
        <f>IF(H529=0,0,I529/H529)</f>
        <v/>
      </c>
    </row>
    <row r="530">
      <c r="A530" s="17" t="inlineStr">
        <is>
          <t>Monoprix</t>
        </is>
      </c>
      <c r="B530" s="17" t="inlineStr">
        <is>
          <t>Live</t>
        </is>
      </c>
      <c r="C530" s="17" t="inlineStr">
        <is>
          <t>Monoprix Courses</t>
        </is>
      </c>
      <c r="D530" s="17" t="inlineStr">
        <is>
          <t>Surgelés</t>
        </is>
      </c>
      <c r="E530" s="18" t="inlineStr">
        <is>
          <t>Findus panés de cabillaud x10 510g</t>
        </is>
      </c>
      <c r="F530" s="17" t="inlineStr">
        <is>
          <t>Findus - Findus Panés de Cabillaud x10 510g</t>
        </is>
      </c>
      <c r="G530" s="19" t="inlineStr">
        <is>
          <t>https://action.metaffiliation.com/trk.php?mclic=P5104675874B1295S1UD4135bd0817051V4</t>
        </is>
      </c>
      <c r="H530" s="20" t="n">
        <v>9534</v>
      </c>
      <c r="I530" s="20" t="n">
        <v>46</v>
      </c>
      <c r="J530" s="21">
        <f>IF(H530=0,0,I530/H530)</f>
        <v/>
      </c>
    </row>
    <row r="531">
      <c r="A531" s="17" t="inlineStr">
        <is>
          <t>Monoprix</t>
        </is>
      </c>
      <c r="B531" s="17" t="inlineStr">
        <is>
          <t>Live</t>
        </is>
      </c>
      <c r="C531" s="17" t="inlineStr">
        <is>
          <t>Monoprix Courses</t>
        </is>
      </c>
      <c r="D531" s="17" t="inlineStr">
        <is>
          <t>Pet Care</t>
        </is>
      </c>
      <c r="E531" s="18" t="inlineStr">
        <is>
          <t>Pâtées et croquettes pour chat prix bas | Monoprix</t>
        </is>
      </c>
      <c r="F531" s="17" t="inlineStr">
        <is>
          <t>Pâtée Gourmet Perle Purina, les plaisirs de la mer : des recettes cuisinées avec des ingrédients simples pour varier les repas de votre chat.</t>
        </is>
      </c>
      <c r="G531" s="19" t="inlineStr">
        <is>
          <t>https://action.metaffiliation.com/trk.php?mclic=P5104675874B1295S1UD4135bd0782899V4</t>
        </is>
      </c>
      <c r="H531" s="20" t="n">
        <v>9351</v>
      </c>
      <c r="I531" s="20" t="n">
        <v>21</v>
      </c>
      <c r="J531" s="21">
        <f>IF(H531=0,0,I531/H531)</f>
        <v/>
      </c>
    </row>
    <row r="532">
      <c r="A532" s="17" t="inlineStr">
        <is>
          <t>Monoprix</t>
        </is>
      </c>
      <c r="B532" s="17" t="inlineStr">
        <is>
          <t>Live</t>
        </is>
      </c>
      <c r="C532" s="17" t="inlineStr">
        <is>
          <t>Monoprix Courses</t>
        </is>
      </c>
      <c r="D532" s="17" t="inlineStr">
        <is>
          <t>Grocery Stores and Supermarkets</t>
        </is>
      </c>
      <c r="E532" s="18" t="inlineStr">
        <is>
          <t>Courses alimentaires et ménagères prix bas | Monoprix</t>
        </is>
      </c>
      <c r="F532" s="17" t="inlineStr">
        <is>
          <t>Détachant à sec K2r, 200 ml : sa poudre active absorbe les taches grasses de maquillage, d’huile ou de sauce sur vos textiles sans laisser d’auréole.</t>
        </is>
      </c>
      <c r="G532" s="19" t="inlineStr">
        <is>
          <t>https://action.metaffiliation.com/trk.php?mclic=P5104675874B1295S1UD4135bd0790510V4</t>
        </is>
      </c>
      <c r="H532" s="20" t="n">
        <v>9223</v>
      </c>
      <c r="I532" s="20" t="n">
        <v>35</v>
      </c>
      <c r="J532" s="21">
        <f>IF(H532=0,0,I532/H532)</f>
        <v/>
      </c>
    </row>
    <row r="533">
      <c r="A533" s="17" t="inlineStr">
        <is>
          <t>Monoprix</t>
        </is>
      </c>
      <c r="B533" s="17" t="inlineStr">
        <is>
          <t>Live</t>
        </is>
      </c>
      <c r="C533" s="17" t="inlineStr">
        <is>
          <t>Monoprix Courses</t>
        </is>
      </c>
      <c r="D533" s="17" t="inlineStr">
        <is>
          <t>Hygiène et beauté</t>
        </is>
      </c>
      <c r="E533" s="18" t="inlineStr">
        <is>
          <t>Mercurochrome compresses stériles, gaze hydrophile</t>
        </is>
      </c>
      <c r="F533" s="17" t="inlineStr">
        <is>
          <t>Compresses stériles format économique 60 unités 100% coton - MERCUROCHROME Mercurochrome Compresses Stériles, Gaze Hydrophile, 20cmX20cm x60</t>
        </is>
      </c>
      <c r="G533" s="19" t="inlineStr">
        <is>
          <t>https://action.metaffiliation.com/trk.php?mclic=P5104675874B1295S1UD4135bd0791071V4</t>
        </is>
      </c>
      <c r="H533" s="20" t="n">
        <v>9176</v>
      </c>
      <c r="I533" s="20" t="n">
        <v>44</v>
      </c>
      <c r="J533" s="21">
        <f>IF(H533=0,0,I533/H533)</f>
        <v/>
      </c>
    </row>
    <row r="534">
      <c r="A534" s="17" t="inlineStr">
        <is>
          <t>Monoprix</t>
        </is>
      </c>
      <c r="B534" s="17" t="inlineStr">
        <is>
          <t>Live</t>
        </is>
      </c>
      <c r="C534" s="17" t="inlineStr">
        <is>
          <t>Monoprix Courses</t>
        </is>
      </c>
      <c r="D534" s="17" t="inlineStr">
        <is>
          <t>Grocery Stores and Supermarkets</t>
        </is>
      </c>
      <c r="E534" s="18" t="inlineStr">
        <is>
          <t>Courses alimentaires et ménagères prix bas | Monoprix</t>
        </is>
      </c>
      <c r="F534" s="17" t="inlineStr">
        <is>
          <t>Pur jus de pomme Golden en bouteille de 1 litre : de la pomme Golden et rien d’autre, à servir bien frais au petit-déjeuner comme au goûter.</t>
        </is>
      </c>
      <c r="G534" s="19" t="inlineStr">
        <is>
          <t>https://action.metaffiliation.com/trk.php?mclic=P5104675874B1295S1UD4135bd0818792V4</t>
        </is>
      </c>
      <c r="H534" s="20" t="n">
        <v>8954</v>
      </c>
      <c r="I534" s="20" t="n">
        <v>38</v>
      </c>
      <c r="J534" s="21">
        <f>IF(H534=0,0,I534/H534)</f>
        <v/>
      </c>
    </row>
    <row r="535">
      <c r="A535" s="17" t="inlineStr">
        <is>
          <t>Monoprix</t>
        </is>
      </c>
      <c r="B535" s="17" t="inlineStr">
        <is>
          <t>Live</t>
        </is>
      </c>
      <c r="C535" s="17" t="inlineStr">
        <is>
          <t>Monoprix Courses</t>
        </is>
      </c>
      <c r="D535" s="17" t="inlineStr">
        <is>
          <t>Grocery Stores and Supermarkets</t>
        </is>
      </c>
      <c r="E535" s="18" t="inlineStr">
        <is>
          <t>Courses alimentaires et ménagères prix bas | Monoprix</t>
        </is>
      </c>
      <c r="F535" s="17" t="inlineStr">
        <is>
          <t>Eau minérale naturelle Perrier finement pétillante, bouteille de 1 litre : des bulles fines pour la table et pour les apéritifs sans alcool.</t>
        </is>
      </c>
      <c r="G535" s="19" t="inlineStr">
        <is>
          <t>https://action.metaffiliation.com/trk.php?mclic=P5104675874B1295S1UD4135bd0797184V4</t>
        </is>
      </c>
      <c r="H535" s="20" t="n">
        <v>8590</v>
      </c>
      <c r="I535" s="20" t="n">
        <v>35</v>
      </c>
      <c r="J535" s="21">
        <f>IF(H535=0,0,I535/H535)</f>
        <v/>
      </c>
    </row>
    <row r="536">
      <c r="A536" s="17" t="inlineStr">
        <is>
          <t>Monoprix</t>
        </is>
      </c>
      <c r="B536" s="17" t="inlineStr">
        <is>
          <t>Live</t>
        </is>
      </c>
      <c r="C536" s="17" t="inlineStr">
        <is>
          <t>Monoprix Courses</t>
        </is>
      </c>
      <c r="D536" s="17" t="inlineStr">
        <is>
          <t>Grocery Stores and Supermarkets</t>
        </is>
      </c>
      <c r="E536" s="18" t="inlineStr">
        <is>
          <t>Courses alimentaires et ménagères prix bas | Monoprix</t>
        </is>
      </c>
      <c r="F536" s="17" t="inlineStr">
        <is>
          <t>Panés de cabillaud Findus, boîte de 10 pour 510 g : du cabillaud pané à passer au four ou à la poêle pour le dîner des enfants.</t>
        </is>
      </c>
      <c r="G536" s="19" t="inlineStr">
        <is>
          <t>https://action.metaffiliation.com/trk.php?mclic=P5104675874B1295S1UD4135bd0817051V4</t>
        </is>
      </c>
      <c r="H536" s="20" t="n">
        <v>8415</v>
      </c>
      <c r="I536" s="20" t="n">
        <v>31</v>
      </c>
      <c r="J536" s="21">
        <f>IF(H536=0,0,I536/H536)</f>
        <v/>
      </c>
    </row>
    <row r="537">
      <c r="A537" s="17" t="inlineStr">
        <is>
          <t>Monoprix</t>
        </is>
      </c>
      <c r="B537" s="17" t="inlineStr">
        <is>
          <t>Live</t>
        </is>
      </c>
      <c r="C537" s="17" t="inlineStr">
        <is>
          <t>Monoprix Courses</t>
        </is>
      </c>
      <c r="D537" s="17" t="inlineStr">
        <is>
          <t>Grocery Stores and Supermarkets</t>
        </is>
      </c>
      <c r="E537" s="18" t="inlineStr">
        <is>
          <t>Courses alimentaires et ménagères prix bas | Monoprix</t>
        </is>
      </c>
      <c r="F537" s="17" t="inlineStr">
        <is>
          <t>Compresses stériles Mercurochrome en gaze hydrophile 100 % coton, 20 x 20 cm : un format économique de 60 unités pour la trousse de premiers soins.</t>
        </is>
      </c>
      <c r="G537" s="19" t="inlineStr">
        <is>
          <t>https://action.metaffiliation.com/trk.php?mclic=P5104675874B1295S1UD4135bd0791071V4</t>
        </is>
      </c>
      <c r="H537" s="20" t="n">
        <v>8394</v>
      </c>
      <c r="I537" s="20" t="n">
        <v>47</v>
      </c>
      <c r="J537" s="21">
        <f>IF(H537=0,0,I537/H537)</f>
        <v/>
      </c>
    </row>
    <row r="538">
      <c r="A538" s="17" t="inlineStr">
        <is>
          <t>Monoprix</t>
        </is>
      </c>
      <c r="B538" s="17" t="inlineStr">
        <is>
          <t>Live</t>
        </is>
      </c>
      <c r="C538" s="17" t="inlineStr">
        <is>
          <t>Monoprix Courses</t>
        </is>
      </c>
      <c r="D538" s="17" t="inlineStr">
        <is>
          <t>Bébé</t>
        </is>
      </c>
      <c r="E538" s="18" t="inlineStr">
        <is>
          <t>Yooji potiron de poulet haché bio dès 6 mois x12 120g</t>
        </is>
      </c>
      <c r="F538" s="17" t="inlineStr">
        <is>
          <t>Les packs yooji se sont refaits une beauté mais nos bonnes purées pour bébés restent inchangées. Mais parce que nous n’aimons pas le gaspillage, il se peut que vous ayez des</t>
        </is>
      </c>
      <c r="G538" s="19" t="inlineStr">
        <is>
          <t>https://action.metaffiliation.com/trk.php?mclic=P5104675874B1295S1UD4135bd0816184V4</t>
        </is>
      </c>
      <c r="H538" s="20" t="n">
        <v>8145</v>
      </c>
      <c r="I538" s="20" t="n">
        <v>32</v>
      </c>
      <c r="J538" s="21">
        <f>IF(H538=0,0,I538/H538)</f>
        <v/>
      </c>
    </row>
    <row r="539">
      <c r="A539" s="17" t="inlineStr">
        <is>
          <t>Monoprix</t>
        </is>
      </c>
      <c r="B539" s="17" t="inlineStr">
        <is>
          <t>Live</t>
        </is>
      </c>
      <c r="C539" s="17" t="inlineStr">
        <is>
          <t>Monoprix Courses</t>
        </is>
      </c>
      <c r="D539" s="17" t="inlineStr">
        <is>
          <t>Bébé</t>
        </is>
      </c>
      <c r="E539" s="18" t="inlineStr">
        <is>
          <t>[para] klorane bébé crème nutritive au cold cream et</t>
        </is>
      </c>
      <c r="F539" s="17" t="inlineStr">
        <is>
          <t>La crème nutritive klorane bébé au cold cream nourrit intensément, apaise et protège les peaux sèches des nourrissons dès la naissance. Sa formule onctueuse d’origine naturelle*</t>
        </is>
      </c>
      <c r="G539" s="19" t="inlineStr">
        <is>
          <t>https://action.metaffiliation.com/trk.php?mclic=P5104675874B1295S1UD4135bd0810325V4</t>
        </is>
      </c>
      <c r="H539" s="20" t="n">
        <v>8088</v>
      </c>
      <c r="I539" s="20" t="n">
        <v>51</v>
      </c>
      <c r="J539" s="21">
        <f>IF(H539=0,0,I539/H539)</f>
        <v/>
      </c>
    </row>
    <row r="540">
      <c r="A540" s="17" t="inlineStr">
        <is>
          <t>Monoprix</t>
        </is>
      </c>
      <c r="B540" s="17" t="inlineStr">
        <is>
          <t>Live</t>
        </is>
      </c>
      <c r="C540" s="17" t="inlineStr">
        <is>
          <t>Monoprix Courses</t>
        </is>
      </c>
      <c r="D540" s="17" t="inlineStr">
        <is>
          <t>Boissons</t>
        </is>
      </c>
      <c r="E540" s="18" t="inlineStr">
        <is>
          <t>Coca cola boisson gazeuse aux extraits végétaux 50cl</t>
        </is>
      </c>
      <c r="F540" s="17" t="inlineStr">
        <is>
          <t>Boisson gazeuse aux extraits végétaux - Coca-Cola Coca Cola Boisson Gazeuse Aux Extraits Végétaux 50cl</t>
        </is>
      </c>
      <c r="G540" s="19" t="inlineStr">
        <is>
          <t>https://action.metaffiliation.com/trk.php?mclic=P5104675874B1295S1UD4135bd0802548V4</t>
        </is>
      </c>
      <c r="H540" s="20" t="n">
        <v>8033</v>
      </c>
      <c r="I540" s="20" t="n">
        <v>63</v>
      </c>
      <c r="J540" s="21">
        <f>IF(H540=0,0,I540/H540)</f>
        <v/>
      </c>
    </row>
    <row r="541">
      <c r="A541" s="17" t="inlineStr">
        <is>
          <t>Monoprix</t>
        </is>
      </c>
      <c r="B541" s="17" t="inlineStr">
        <is>
          <t>Live</t>
        </is>
      </c>
      <c r="C541" s="17" t="inlineStr">
        <is>
          <t>Monoprix Courses</t>
        </is>
      </c>
      <c r="D541" s="17" t="inlineStr">
        <is>
          <t>Grocery Stores and Supermarkets</t>
        </is>
      </c>
      <c r="E541" s="18" t="inlineStr">
        <is>
          <t>Courses alimentaires et ménagères prix bas | Monoprix</t>
        </is>
      </c>
      <c r="F541" s="17" t="inlineStr">
        <is>
          <t>Blédidej Blédina, lait et céréales saveur vanille biscuitée : 4 briques prêtes à verser dans la tasse de bébé dès 12 mois.</t>
        </is>
      </c>
      <c r="G541" s="19" t="inlineStr">
        <is>
          <t>https://action.metaffiliation.com/trk.php?mclic=P5104675874B1295S1UD4135bd0812610V4</t>
        </is>
      </c>
      <c r="H541" s="20" t="n">
        <v>7952</v>
      </c>
      <c r="I541" s="20" t="n">
        <v>27</v>
      </c>
      <c r="J541" s="21">
        <f>IF(H541=0,0,I541/H541)</f>
        <v/>
      </c>
    </row>
    <row r="542">
      <c r="A542" s="17" t="inlineStr">
        <is>
          <t>Monoprix</t>
        </is>
      </c>
      <c r="B542" s="17" t="inlineStr">
        <is>
          <t>Live</t>
        </is>
      </c>
      <c r="C542" s="17" t="inlineStr">
        <is>
          <t>Monoprix Courses</t>
        </is>
      </c>
      <c r="D542" s="17" t="inlineStr">
        <is>
          <t>Grocery Stores and Supermarkets</t>
        </is>
      </c>
      <c r="E542" s="18" t="inlineStr">
        <is>
          <t>Courses alimentaires et ménagères prix bas | Monoprix</t>
        </is>
      </c>
      <c r="F542" s="17" t="inlineStr">
        <is>
          <t>Coca-Cola, boisson gazeuse aux extraits végétaux en bouteille de 50 cl : le format à emporter au déjeuner ou à garder au frais chez vous.</t>
        </is>
      </c>
      <c r="G542" s="19" t="inlineStr">
        <is>
          <t>https://action.metaffiliation.com/trk.php?mclic=P5104675874B1295S1UD4135bd0802548V4</t>
        </is>
      </c>
      <c r="H542" s="20" t="n">
        <v>7885</v>
      </c>
      <c r="I542" s="20" t="n">
        <v>29</v>
      </c>
      <c r="J542" s="21">
        <f>IF(H542=0,0,I542/H542)</f>
        <v/>
      </c>
    </row>
    <row r="543">
      <c r="A543" s="17" t="inlineStr">
        <is>
          <t>Monoprix</t>
        </is>
      </c>
      <c r="B543" s="17" t="inlineStr">
        <is>
          <t>Live</t>
        </is>
      </c>
      <c r="C543" s="17" t="inlineStr">
        <is>
          <t>Monoprix Courses</t>
        </is>
      </c>
      <c r="D543" s="17" t="inlineStr">
        <is>
          <t>Hygiène et beauté</t>
        </is>
      </c>
      <c r="E543" s="18" t="inlineStr">
        <is>
          <t>Saforelle soin lavant doux 250ml</t>
        </is>
      </c>
      <c r="F543" s="17" t="inlineStr">
        <is>
          <t>Soin intime et corporel pour les peaux sensibles ou irritées. Usage quotidien. sans savon. Nettoie, calme les irritations et les sensations d’inconfort - SAFORELLE Saforelle Soin</t>
        </is>
      </c>
      <c r="G543" s="19" t="inlineStr">
        <is>
          <t>https://action.metaffiliation.com/trk.php?mclic=P5104675874B1295S1UD4135bd0789500V4</t>
        </is>
      </c>
      <c r="H543" s="20" t="n">
        <v>7840</v>
      </c>
      <c r="I543" s="20" t="n">
        <v>41</v>
      </c>
      <c r="J543" s="21">
        <f>IF(H543=0,0,I543/H543)</f>
        <v/>
      </c>
    </row>
    <row r="544">
      <c r="A544" s="17" t="inlineStr">
        <is>
          <t>Monoprix</t>
        </is>
      </c>
      <c r="B544" s="17" t="inlineStr">
        <is>
          <t>Live</t>
        </is>
      </c>
      <c r="C544" s="17" t="inlineStr">
        <is>
          <t>Monoprix Courses</t>
        </is>
      </c>
      <c r="D544" s="17" t="inlineStr">
        <is>
          <t>Animaux</t>
        </is>
      </c>
      <c r="E544" s="18" t="inlineStr">
        <is>
          <t>Purina gourmet perle les filettines en sauce pâtée pour</t>
        </is>
      </c>
      <c r="F544" s="17" t="inlineStr">
        <is>
          <t>Vous aimez faire plaisir à votre chat en lui offrant de délicieuses recettes, élaborées avec des ingrédients simples et de qualité.c’est la raison pour laquelle gourmet perle</t>
        </is>
      </c>
      <c r="G544" s="19" t="inlineStr">
        <is>
          <t>https://action.metaffiliation.com/trk.php?mclic=P5104675874B1295S1UD4135bd0809637V4</t>
        </is>
      </c>
      <c r="H544" s="20" t="n">
        <v>7622</v>
      </c>
      <c r="I544" s="20" t="n">
        <v>35</v>
      </c>
      <c r="J544" s="21">
        <f>IF(H544=0,0,I544/H544)</f>
        <v/>
      </c>
    </row>
    <row r="545">
      <c r="A545" s="17" t="inlineStr">
        <is>
          <t>Monoprix</t>
        </is>
      </c>
      <c r="B545" s="17" t="inlineStr">
        <is>
          <t>Live</t>
        </is>
      </c>
      <c r="C545" s="17" t="inlineStr">
        <is>
          <t>Monoprix Courses</t>
        </is>
      </c>
      <c r="D545" s="17" t="inlineStr">
        <is>
          <t>Animaux</t>
        </is>
      </c>
      <c r="E545" s="18" t="inlineStr">
        <is>
          <t>Purina gourmet perle pâtée pour chat les plaisirs de la mer</t>
        </is>
      </c>
      <c r="F545" s="17" t="inlineStr">
        <is>
          <t>Vous aimez faire plaisir à votre chat en lui offrant de délicieuses recettes, élaborées avec des ingrédients simples et de qualité.c’est la raison pour laquelle gourmet perle</t>
        </is>
      </c>
      <c r="G545" s="19" t="inlineStr">
        <is>
          <t>https://action.metaffiliation.com/trk.php?mclic=P5104675874B1295S1UD4135bd0782899V4</t>
        </is>
      </c>
      <c r="H545" s="20" t="n">
        <v>7512</v>
      </c>
      <c r="I545" s="20" t="n">
        <v>45</v>
      </c>
      <c r="J545" s="21">
        <f>IF(H545=0,0,I545/H545)</f>
        <v/>
      </c>
    </row>
    <row r="546">
      <c r="A546" s="17" t="inlineStr">
        <is>
          <t>Monoprix</t>
        </is>
      </c>
      <c r="B546" s="17" t="inlineStr">
        <is>
          <t>Live</t>
        </is>
      </c>
      <c r="C546" s="17" t="inlineStr">
        <is>
          <t>Monoprix Courses</t>
        </is>
      </c>
      <c r="D546" s="17" t="inlineStr">
        <is>
          <t>Baby and Toddler Products</t>
        </is>
      </c>
      <c r="E546" s="18" t="inlineStr">
        <is>
          <t>Drap housse 60x120cm contenant du coton BIO, certifié</t>
        </is>
      </c>
      <c r="F546" s="17" t="inlineStr">
        <is>
          <t>Drap housse uni 60 x 120 en jersey coton bio Matière très douce Dimensions : 60 x 120 cm BIO : Contient du coton issu de l'agriculture biologique. OEKO TEX : label international</t>
        </is>
      </c>
      <c r="G546" s="19" t="inlineStr">
        <is>
          <t>https://action.metaffiliation.com/trk.php?mclic=P5104675874B11CS1UE412f3c01242577V4</t>
        </is>
      </c>
      <c r="H546" s="20" t="n">
        <v>7355</v>
      </c>
      <c r="I546" s="20" t="n">
        <v>22</v>
      </c>
      <c r="J546" s="21">
        <f>IF(H546=0,0,I546/H546)</f>
        <v/>
      </c>
    </row>
    <row r="547">
      <c r="A547" s="17" t="inlineStr">
        <is>
          <t>Monoprix</t>
        </is>
      </c>
      <c r="B547" s="17" t="inlineStr">
        <is>
          <t>Live</t>
        </is>
      </c>
      <c r="C547" s="17" t="inlineStr">
        <is>
          <t>Monoprix Courses</t>
        </is>
      </c>
      <c r="D547" s="17" t="inlineStr">
        <is>
          <t>Hygiène et beauté</t>
        </is>
      </c>
      <c r="E547" s="18" t="inlineStr">
        <is>
          <t>Avène crème solaire gel lacté réparateur après-soleil 200ml</t>
        </is>
      </c>
      <c r="F547" s="17" t="inlineStr">
        <is>
          <t>La texture légère du réparateur après-soleil procure une agréable sensation de fraîcheur après une exposition au soleil. Il restaure le confort cutané, apaise et hydrate les peaux</t>
        </is>
      </c>
      <c r="G547" s="19" t="inlineStr">
        <is>
          <t>https://action.metaffiliation.com/trk.php?mclic=P5104675874B1295S1UD4135bd0759227V4</t>
        </is>
      </c>
      <c r="H547" s="20" t="n">
        <v>7346</v>
      </c>
      <c r="I547" s="20" t="n">
        <v>40</v>
      </c>
      <c r="J547" s="21">
        <f>IF(H547=0,0,I547/H547)</f>
        <v/>
      </c>
    </row>
    <row r="548">
      <c r="A548" s="17" t="inlineStr">
        <is>
          <t>Monoprix</t>
        </is>
      </c>
      <c r="B548" s="17" t="inlineStr">
        <is>
          <t>Live</t>
        </is>
      </c>
      <c r="C548" s="17" t="inlineStr">
        <is>
          <t>Monoprix Courses</t>
        </is>
      </c>
      <c r="D548" s="17" t="inlineStr">
        <is>
          <t>Grocery Stores and Supermarkets</t>
        </is>
      </c>
      <c r="E548" s="18" t="inlineStr">
        <is>
          <t>Courses alimentaires et ménagères prix bas | Monoprix</t>
        </is>
      </c>
      <c r="F548" s="17" t="inlineStr">
        <is>
          <t>Mélange de mâche et de roquette Bonduelle, sachet de 100 g déjà lavé et prêt à l’emploi : il ne reste plus qu’à assaisonner la salade.</t>
        </is>
      </c>
      <c r="G548" s="19" t="inlineStr">
        <is>
          <t>https://action.metaffiliation.com/trk.php?mclic=P5104675874B1295S1UD4135bd0757643V4</t>
        </is>
      </c>
      <c r="H548" s="20" t="n">
        <v>7298</v>
      </c>
      <c r="I548" s="20" t="n">
        <v>43</v>
      </c>
      <c r="J548" s="21">
        <f>IF(H548=0,0,I548/H548)</f>
        <v/>
      </c>
    </row>
    <row r="549">
      <c r="A549" s="17" t="inlineStr">
        <is>
          <t>Monoprix</t>
        </is>
      </c>
      <c r="B549" s="17" t="inlineStr">
        <is>
          <t>Live</t>
        </is>
      </c>
      <c r="C549" s="17" t="inlineStr">
        <is>
          <t>Monoprix Courses</t>
        </is>
      </c>
      <c r="D549" s="17" t="inlineStr">
        <is>
          <t>Grocery Stores and Supermarkets</t>
        </is>
      </c>
      <c r="E549" s="18" t="inlineStr">
        <is>
          <t>Courses alimentaires et ménagères prix bas | Monoprix</t>
        </is>
      </c>
      <c r="F549" s="17" t="inlineStr">
        <is>
          <t>Soin lavant doux Saforelle, 250 ml et sans savon : il nettoie la peau intime et le corps des peaux sensibles ou irritées et calme les irritations.</t>
        </is>
      </c>
      <c r="G549" s="19" t="inlineStr">
        <is>
          <t>https://action.metaffiliation.com/trk.php?mclic=P5104675874B1295S1UD4135bd0789500V4</t>
        </is>
      </c>
      <c r="H549" s="20" t="n">
        <v>7275</v>
      </c>
      <c r="I549" s="20" t="n">
        <v>30</v>
      </c>
      <c r="J549" s="21">
        <f>IF(H549=0,0,I549/H549)</f>
        <v/>
      </c>
    </row>
    <row r="550">
      <c r="A550" s="17" t="inlineStr">
        <is>
          <t>Monoprix</t>
        </is>
      </c>
      <c r="B550" s="17" t="inlineStr">
        <is>
          <t>Live</t>
        </is>
      </c>
      <c r="C550" s="17" t="inlineStr">
        <is>
          <t>Monoprix Courses</t>
        </is>
      </c>
      <c r="D550" s="17" t="inlineStr">
        <is>
          <t>Boissons</t>
        </is>
      </c>
      <c r="E550" s="18" t="inlineStr">
        <is>
          <t>Perrier eau minérale naturelle finement pétillante 1l</t>
        </is>
      </c>
      <c r="F550" s="17" t="inlineStr">
        <is>
          <t>Perrier perrier fines bulles eau minerale gazeuse nature - PERRIER Perrier Eau Minérale Naturelle Finement Pétillante 1l</t>
        </is>
      </c>
      <c r="G550" s="19" t="inlineStr">
        <is>
          <t>https://action.metaffiliation.com/trk.php?mclic=P5104675874B1295S1UD4135bd0797184V4</t>
        </is>
      </c>
      <c r="H550" s="20" t="n">
        <v>7268</v>
      </c>
      <c r="I550" s="20" t="n">
        <v>34</v>
      </c>
      <c r="J550" s="21">
        <f>IF(H550=0,0,I550/H550)</f>
        <v/>
      </c>
    </row>
    <row r="551">
      <c r="A551" s="17" t="inlineStr">
        <is>
          <t>Monoprix</t>
        </is>
      </c>
      <c r="B551" s="17" t="inlineStr">
        <is>
          <t>Live</t>
        </is>
      </c>
      <c r="C551" s="17" t="inlineStr">
        <is>
          <t>Monoprix Courses</t>
        </is>
      </c>
      <c r="D551" s="17" t="inlineStr">
        <is>
          <t>Drugstores and Pharmacies</t>
        </is>
      </c>
      <c r="E551" s="18" t="inlineStr">
        <is>
          <t>Parapharmacie et premiers soins prix bas | Monoprix</t>
        </is>
      </c>
      <c r="F551" s="17" t="inlineStr">
        <is>
          <t>Crème nutritive Klorane Bébé au cold cream : une formule onctueuse d’origine naturelle qui nourrit, apaise et protège les peaux sèches dès la naissance.</t>
        </is>
      </c>
      <c r="G551" s="19" t="inlineStr">
        <is>
          <t>https://action.metaffiliation.com/trk.php?mclic=P5104675874B1295S1UD4135bd0810325V4</t>
        </is>
      </c>
      <c r="H551" s="20" t="n">
        <v>7242</v>
      </c>
      <c r="I551" s="20" t="n">
        <v>28</v>
      </c>
      <c r="J551" s="21">
        <f>IF(H551=0,0,I551/H551)</f>
        <v/>
      </c>
    </row>
    <row r="552">
      <c r="A552" s="17" t="inlineStr">
        <is>
          <t>Monoprix</t>
        </is>
      </c>
      <c r="B552" s="17" t="inlineStr">
        <is>
          <t>Live</t>
        </is>
      </c>
      <c r="C552" s="17" t="inlineStr">
        <is>
          <t>Monoprix Courses</t>
        </is>
      </c>
      <c r="D552" s="17" t="inlineStr">
        <is>
          <t>Boissons</t>
        </is>
      </c>
      <c r="E552" s="18" t="inlineStr">
        <is>
          <t>Pelforth bière blonde du nord 6x25cl</t>
        </is>
      </c>
      <c r="F552" s="17" t="inlineStr">
        <is>
          <t>La bière pelforth blonde, brassée dans le nord depuis 1921, affirme un caractère unique, à l’amertume justement dosée. Très rafraîchissante, elle allie des notes de malts dorés à</t>
        </is>
      </c>
      <c r="G552" s="19" t="inlineStr">
        <is>
          <t>https://action.metaffiliation.com/trk.php?mclic=P5104675874B1295S1UD4135bd0784036V4</t>
        </is>
      </c>
      <c r="H552" s="20" t="n">
        <v>7239</v>
      </c>
      <c r="I552" s="20" t="n">
        <v>34</v>
      </c>
      <c r="J552" s="21">
        <f>IF(H552=0,0,I552/H552)</f>
        <v/>
      </c>
    </row>
    <row r="553">
      <c r="A553" s="17" t="inlineStr">
        <is>
          <t>Monoprix</t>
        </is>
      </c>
      <c r="B553" s="17" t="inlineStr">
        <is>
          <t>Live</t>
        </is>
      </c>
      <c r="C553" s="17" t="inlineStr">
        <is>
          <t>Monoprix Courses</t>
        </is>
      </c>
      <c r="D553" s="17" t="inlineStr">
        <is>
          <t>Grocery Stores and Supermarkets</t>
        </is>
      </c>
      <c r="E553" s="18" t="inlineStr">
        <is>
          <t>Courses alimentaires et ménagères prix bas | Monoprix</t>
        </is>
      </c>
      <c r="F553" s="17" t="inlineStr">
        <is>
          <t>Deux côtes de veau sans os, issues d’une filière bio et de partenaires sélectionnés par Monoprix : une viande à saisir puis à laisser reposer.</t>
        </is>
      </c>
      <c r="G553" s="19" t="inlineStr">
        <is>
          <t>https://action.metaffiliation.com/trk.php?mclic=P5104675874B1295S1UD4135bd0795692V4</t>
        </is>
      </c>
      <c r="H553" s="20" t="n">
        <v>7049</v>
      </c>
      <c r="I553" s="20" t="n">
        <v>38</v>
      </c>
      <c r="J553" s="21">
        <f>IF(H553=0,0,I553/H553)</f>
        <v/>
      </c>
    </row>
    <row r="554">
      <c r="A554" s="17" t="inlineStr">
        <is>
          <t>Monoprix</t>
        </is>
      </c>
      <c r="B554" s="17" t="inlineStr">
        <is>
          <t>Live</t>
        </is>
      </c>
      <c r="C554" s="17" t="inlineStr">
        <is>
          <t>Monoprix Courses</t>
        </is>
      </c>
      <c r="D554" s="17" t="inlineStr">
        <is>
          <t>Grocery Stores and Supermarkets</t>
        </is>
      </c>
      <c r="E554" s="18" t="inlineStr">
        <is>
          <t>Courses alimentaires et ménagères prix bas | Monoprix</t>
        </is>
      </c>
      <c r="F554" s="17" t="inlineStr">
        <is>
          <t>Harissa maison Yarden en pot de 230 g : une purée de piment à doser à la petite cuillère dans le couscous, la soupe ou une vinaigrette.</t>
        </is>
      </c>
      <c r="G554" s="19" t="inlineStr">
        <is>
          <t>https://action.metaffiliation.com/trk.php?mclic=P5104675874B1295S1UD4135bd0620537V4</t>
        </is>
      </c>
      <c r="H554" s="20" t="n">
        <v>6894</v>
      </c>
      <c r="I554" s="20" t="n">
        <v>28</v>
      </c>
      <c r="J554" s="21">
        <f>IF(H554=0,0,I554/H554)</f>
        <v/>
      </c>
    </row>
    <row r="555">
      <c r="A555" s="17" t="inlineStr">
        <is>
          <t>Monoprix</t>
        </is>
      </c>
      <c r="B555" s="17" t="inlineStr">
        <is>
          <t>Live</t>
        </is>
      </c>
      <c r="C555" s="17" t="inlineStr">
        <is>
          <t>Monoprix Courses</t>
        </is>
      </c>
      <c r="D555" s="17" t="inlineStr">
        <is>
          <t>Skin Care</t>
        </is>
      </c>
      <c r="E555" s="18" t="inlineStr">
        <is>
          <t>Soins visage et crèmes hydratantes prix bas | Monoprix</t>
        </is>
      </c>
      <c r="F555" s="17" t="inlineStr">
        <is>
          <t>Du gel lacté réparateur après-soleil Avène 200 ml aux crèmes hydratantes, les soins du visage et du corps Monoprix se commandent en ligne.</t>
        </is>
      </c>
      <c r="G555" s="19" t="inlineStr">
        <is>
          <t>https://action.metaffiliation.com/trk.php?mclic=P5104675874B1295S1UD4135bd0759227V4</t>
        </is>
      </c>
      <c r="H555" s="20" t="n">
        <v>6879</v>
      </c>
      <c r="I555" s="20" t="n">
        <v>30</v>
      </c>
      <c r="J555" s="21">
        <f>IF(H555=0,0,I555/H555)</f>
        <v/>
      </c>
    </row>
    <row r="556">
      <c r="A556" s="17" t="inlineStr">
        <is>
          <t>Monoprix</t>
        </is>
      </c>
      <c r="B556" s="17" t="inlineStr">
        <is>
          <t>Live</t>
        </is>
      </c>
      <c r="C556" s="17" t="inlineStr">
        <is>
          <t>Monoprix Courses</t>
        </is>
      </c>
      <c r="D556" s="17" t="inlineStr">
        <is>
          <t>Water</t>
        </is>
      </c>
      <c r="E556" s="18" t="inlineStr">
        <is>
          <t>Eaux minérales et gazeuses pas chères | Monoprix</t>
        </is>
      </c>
      <c r="F556" s="17" t="inlineStr">
        <is>
          <t>Eau minérale naturelle Perrier finement pétillante, bouteille de 1 litre : des bulles fines pour la table et pour les apéritifs sans alcool.</t>
        </is>
      </c>
      <c r="G556" s="19" t="inlineStr">
        <is>
          <t>https://action.metaffiliation.com/trk.php?mclic=P5104675874B1295S1UD4135bd0797184V4</t>
        </is>
      </c>
      <c r="H556" s="20" t="n">
        <v>6831</v>
      </c>
      <c r="I556" s="20" t="n">
        <v>29</v>
      </c>
      <c r="J556" s="21">
        <f>IF(H556=0,0,I556/H556)</f>
        <v/>
      </c>
    </row>
    <row r="557">
      <c r="A557" s="17" t="inlineStr">
        <is>
          <t>Monoprix</t>
        </is>
      </c>
      <c r="B557" s="17" t="inlineStr">
        <is>
          <t>Live</t>
        </is>
      </c>
      <c r="C557" s="17" t="inlineStr">
        <is>
          <t>Monoprix Courses</t>
        </is>
      </c>
      <c r="D557" s="17" t="inlineStr">
        <is>
          <t>Pet Care</t>
        </is>
      </c>
      <c r="E557" s="18" t="inlineStr">
        <is>
          <t>Pâtées et croquettes pour chat prix bas | Monoprix</t>
        </is>
      </c>
      <c r="F557" s="17" t="inlineStr">
        <is>
          <t>Pâtée Gourmet Perle Purina, filettines en sauce : de fines lamelles cuisinées avec des ingrédients simples pour le repas de votre chat.</t>
        </is>
      </c>
      <c r="G557" s="19" t="inlineStr">
        <is>
          <t>https://action.metaffiliation.com/trk.php?mclic=P5104675874B1295S1UD4135bd0809637V4</t>
        </is>
      </c>
      <c r="H557" s="20" t="n">
        <v>6793</v>
      </c>
      <c r="I557" s="20" t="n">
        <v>24</v>
      </c>
      <c r="J557" s="21">
        <f>IF(H557=0,0,I557/H557)</f>
        <v/>
      </c>
    </row>
    <row r="558">
      <c r="A558" s="17" t="inlineStr">
        <is>
          <t>Monoprix</t>
        </is>
      </c>
      <c r="B558" s="17" t="inlineStr">
        <is>
          <t>Live</t>
        </is>
      </c>
      <c r="C558" s="17" t="inlineStr">
        <is>
          <t>Monoprix Courses</t>
        </is>
      </c>
      <c r="D558" s="17" t="inlineStr">
        <is>
          <t>Skin Care</t>
        </is>
      </c>
      <c r="E558" s="18" t="inlineStr">
        <is>
          <t>Crèmes hydratantes et soins peau prix bas | Monoprix</t>
        </is>
      </c>
      <c r="F558" s="17" t="inlineStr">
        <is>
          <t>Crème nutritive Klorane Bébé au cold cream : une formule onctueuse d’origine naturelle qui nourrit, apaise et protège les peaux sèches dès la naissance.</t>
        </is>
      </c>
      <c r="G558" s="19" t="inlineStr">
        <is>
          <t>https://action.metaffiliation.com/trk.php?mclic=P5104675874B1295S1UD4135bd0810325V4</t>
        </is>
      </c>
      <c r="H558" s="20" t="n">
        <v>6396</v>
      </c>
      <c r="I558" s="20" t="n">
        <v>26</v>
      </c>
      <c r="J558" s="21">
        <f>IF(H558=0,0,I558/H558)</f>
        <v/>
      </c>
    </row>
    <row r="559">
      <c r="A559" s="17" t="inlineStr">
        <is>
          <t>Monoprix</t>
        </is>
      </c>
      <c r="B559" s="17" t="inlineStr">
        <is>
          <t>Live</t>
        </is>
      </c>
      <c r="C559" s="17" t="inlineStr">
        <is>
          <t>Monoprix Courses</t>
        </is>
      </c>
      <c r="D559" s="17" t="inlineStr">
        <is>
          <t>Grocery Stores and Supermarkets</t>
        </is>
      </c>
      <c r="E559" s="18" t="inlineStr">
        <is>
          <t>Courses alimentaires et ménagères prix bas | Monoprix</t>
        </is>
      </c>
      <c r="F559" s="17" t="inlineStr">
        <is>
          <t>Pâtée Gourmet Perle Purina, les plaisirs de la mer : des recettes cuisinées avec des ingrédients simples pour varier les repas de votre chat.</t>
        </is>
      </c>
      <c r="G559" s="19" t="inlineStr">
        <is>
          <t>https://action.metaffiliation.com/trk.php?mclic=P5104675874B1295S1UD4135bd0782899V4</t>
        </is>
      </c>
      <c r="H559" s="20" t="n">
        <v>6304</v>
      </c>
      <c r="I559" s="20" t="n">
        <v>32</v>
      </c>
      <c r="J559" s="21">
        <f>IF(H559=0,0,I559/H559)</f>
        <v/>
      </c>
    </row>
    <row r="560">
      <c r="A560" s="17" t="inlineStr">
        <is>
          <t>Monoprix</t>
        </is>
      </c>
      <c r="B560" s="17" t="inlineStr">
        <is>
          <t>Live</t>
        </is>
      </c>
      <c r="C560" s="17" t="inlineStr">
        <is>
          <t>Monoprix Courses</t>
        </is>
      </c>
      <c r="D560" s="17" t="inlineStr">
        <is>
          <t>Grocery Stores and Supermarkets</t>
        </is>
      </c>
      <c r="E560" s="18" t="inlineStr">
        <is>
          <t>Courses alimentaires et ménagères prix bas | Monoprix</t>
        </is>
      </c>
      <c r="F560" s="17" t="inlineStr">
        <is>
          <t>Deux côtes de porc pour 260 g, issues d’une filière bio et de partenaires sélectionnés par Monoprix, prêtes à griller ou à passer à la poêle.</t>
        </is>
      </c>
      <c r="G560" s="19" t="inlineStr">
        <is>
          <t>https://action.metaffiliation.com/trk.php?mclic=P5104675874B1295S1UD4135bd0773918V4</t>
        </is>
      </c>
      <c r="H560" s="20" t="n">
        <v>5924</v>
      </c>
      <c r="I560" s="20" t="n">
        <v>32</v>
      </c>
      <c r="J560" s="21">
        <f>IF(H560=0,0,I560/H560)</f>
        <v/>
      </c>
    </row>
    <row r="561">
      <c r="A561" s="17" t="inlineStr">
        <is>
          <t>Monoprix</t>
        </is>
      </c>
      <c r="B561" s="17" t="inlineStr">
        <is>
          <t>Live</t>
        </is>
      </c>
      <c r="C561" s="17" t="inlineStr">
        <is>
          <t>Monoprix Courses</t>
        </is>
      </c>
      <c r="D561" s="17" t="inlineStr">
        <is>
          <t>Grocery Stores and Supermarkets</t>
        </is>
      </c>
      <c r="E561" s="18" t="inlineStr">
        <is>
          <t>Courses alimentaires et ménagères prix bas | Monoprix</t>
        </is>
      </c>
      <c r="F561" s="17" t="inlineStr">
        <is>
          <t>Pâtée Gourmet Gold double délice, bouchées en sauce : deux textures dans la même boîte pour un chat qui se lasse vite de ses repas.</t>
        </is>
      </c>
      <c r="G561" s="19" t="inlineStr">
        <is>
          <t>https://action.metaffiliation.com/trk.php?mclic=P5104675874B1295S1UD4135bd0699282V4</t>
        </is>
      </c>
      <c r="H561" s="20" t="n">
        <v>5916</v>
      </c>
      <c r="I561" s="20" t="n">
        <v>16</v>
      </c>
      <c r="J561" s="21">
        <f>IF(H561=0,0,I561/H561)</f>
        <v/>
      </c>
    </row>
    <row r="562">
      <c r="A562" s="17" t="inlineStr">
        <is>
          <t>Monoprix</t>
        </is>
      </c>
      <c r="B562" s="17" t="inlineStr">
        <is>
          <t>Live</t>
        </is>
      </c>
      <c r="C562" s="17" t="inlineStr">
        <is>
          <t>Monoprix Courses</t>
        </is>
      </c>
      <c r="D562" s="17" t="inlineStr">
        <is>
          <t>Laundry</t>
        </is>
      </c>
      <c r="E562" s="18" t="inlineStr">
        <is>
          <t>Détachants et lessives au meilleur prix | Monoprix</t>
        </is>
      </c>
      <c r="F562" s="17" t="inlineStr">
        <is>
          <t>Détachant à sec K2r, 200 ml : sa poudre active absorbe les taches grasses de maquillage, d’huile ou de sauce sur vos textiles sans laisser d’auréole.</t>
        </is>
      </c>
      <c r="G562" s="19" t="inlineStr">
        <is>
          <t>https://action.metaffiliation.com/trk.php?mclic=P5104675874B1295S1UD4135bd0790510V4</t>
        </is>
      </c>
      <c r="H562" s="20" t="n">
        <v>5894</v>
      </c>
      <c r="I562" s="20" t="n">
        <v>19</v>
      </c>
      <c r="J562" s="21">
        <f>IF(H562=0,0,I562/H562)</f>
        <v/>
      </c>
    </row>
    <row r="563">
      <c r="A563" s="17" t="inlineStr">
        <is>
          <t>Monoprix</t>
        </is>
      </c>
      <c r="B563" s="17" t="inlineStr">
        <is>
          <t>Live</t>
        </is>
      </c>
      <c r="C563" s="17" t="inlineStr">
        <is>
          <t>Monoprix Courses</t>
        </is>
      </c>
      <c r="D563" s="17" t="inlineStr">
        <is>
          <t>Grocery Stores and Supermarkets</t>
        </is>
      </c>
      <c r="E563" s="18" t="inlineStr">
        <is>
          <t>Courses alimentaires et ménagères prix bas | Monoprix</t>
        </is>
      </c>
      <c r="F563" s="17" t="inlineStr">
        <is>
          <t>Purée bio Yooji potiron et poulet haché, dès 6 mois, en 12 portions surgelées : vous ne réchauffez que ce que bébé va manger.</t>
        </is>
      </c>
      <c r="G563" s="19" t="inlineStr">
        <is>
          <t>https://action.metaffiliation.com/trk.php?mclic=P5104675874B1295S1UD4135bd0816184V4</t>
        </is>
      </c>
      <c r="H563" s="20" t="n">
        <v>5594</v>
      </c>
      <c r="I563" s="20" t="n">
        <v>24</v>
      </c>
      <c r="J563" s="21">
        <f>IF(H563=0,0,I563/H563)</f>
        <v/>
      </c>
    </row>
    <row r="564">
      <c r="A564" s="17" t="inlineStr">
        <is>
          <t>Monoprix</t>
        </is>
      </c>
      <c r="B564" s="17" t="inlineStr">
        <is>
          <t>Live</t>
        </is>
      </c>
      <c r="C564" s="17" t="inlineStr">
        <is>
          <t>Monoprix Courses</t>
        </is>
      </c>
      <c r="D564" s="17" t="inlineStr">
        <is>
          <t>Grocery Stores and Supermarkets</t>
        </is>
      </c>
      <c r="E564" s="18" t="inlineStr">
        <is>
          <t>Courses alimentaires et ménagères prix bas | Monoprix</t>
        </is>
      </c>
      <c r="F564" s="17" t="inlineStr">
        <is>
          <t>Crème nutritive Klorane Bébé au cold cream : une formule onctueuse d’origine naturelle qui nourrit, apaise et protège les peaux sèches dès la naissance.</t>
        </is>
      </c>
      <c r="G564" s="19" t="inlineStr">
        <is>
          <t>https://action.metaffiliation.com/trk.php?mclic=P5104675874B1295S1UD4135bd0810325V4</t>
        </is>
      </c>
      <c r="H564" s="20" t="n">
        <v>5579</v>
      </c>
      <c r="I564" s="20" t="n">
        <v>30</v>
      </c>
      <c r="J564" s="21">
        <f>IF(H564=0,0,I564/H564)</f>
        <v/>
      </c>
    </row>
    <row r="565">
      <c r="A565" s="17" t="inlineStr">
        <is>
          <t>Monoprix</t>
        </is>
      </c>
      <c r="B565" s="17" t="inlineStr">
        <is>
          <t>Live</t>
        </is>
      </c>
      <c r="C565" s="17" t="inlineStr">
        <is>
          <t>Monoprix Courses</t>
        </is>
      </c>
      <c r="D565" s="17" t="inlineStr">
        <is>
          <t>Consumer Packaged Goods</t>
        </is>
      </c>
      <c r="E565" s="18" t="inlineStr">
        <is>
          <t>Courses alimentaires et ménagères prix bas | Monoprix</t>
        </is>
      </c>
      <c r="F565" s="17" t="inlineStr">
        <is>
          <t>Du concombre aigre-doux Yarden cacher en bocal de 860 g aux nettoyants de la maison, vos courses alimentaires et ménagères se font ici.</t>
        </is>
      </c>
      <c r="G565" s="19" t="inlineStr">
        <is>
          <t>https://action.metaffiliation.com/trk.php?mclic=P5104675874B1295S1UD4135bd0781032V4</t>
        </is>
      </c>
      <c r="H565" s="20" t="n">
        <v>5553</v>
      </c>
      <c r="I565" s="20" t="n">
        <v>27</v>
      </c>
      <c r="J565" s="21">
        <f>IF(H565=0,0,I565/H565)</f>
        <v/>
      </c>
    </row>
    <row r="566">
      <c r="A566" s="17" t="inlineStr">
        <is>
          <t>Monoprix</t>
        </is>
      </c>
      <c r="B566" s="17" t="inlineStr">
        <is>
          <t>Live</t>
        </is>
      </c>
      <c r="C566" s="17" t="inlineStr">
        <is>
          <t>Monoprix Courses</t>
        </is>
      </c>
      <c r="D566" s="17" t="inlineStr">
        <is>
          <t>Laundry</t>
        </is>
      </c>
      <c r="E566" s="18" t="inlineStr">
        <is>
          <t>Détachants et lessives au meilleur prix | Monoprix</t>
        </is>
      </c>
      <c r="F566" s="17" t="inlineStr">
        <is>
          <t>Le Diable détacheur Dr Beckmann, 50 ml, élimine les taches de graisse, de sauce, de chocolat et de vinaigrette ; il ne convient ni aux tapis ni aux cuirs.</t>
        </is>
      </c>
      <c r="G566" s="19" t="inlineStr">
        <is>
          <t>https://action.metaffiliation.com/trk.php?mclic=P5104675874B1295S1UD4135bd0749011V4</t>
        </is>
      </c>
      <c r="H566" s="20" t="n">
        <v>5365</v>
      </c>
      <c r="I566" s="20" t="n">
        <v>19</v>
      </c>
      <c r="J566" s="21">
        <f>IF(H566=0,0,I566/H566)</f>
        <v/>
      </c>
    </row>
    <row r="567">
      <c r="A567" s="17" t="inlineStr">
        <is>
          <t>Monoprix</t>
        </is>
      </c>
      <c r="B567" s="17" t="inlineStr">
        <is>
          <t>Live</t>
        </is>
      </c>
      <c r="C567" s="17" t="inlineStr">
        <is>
          <t>Monoprix Courses</t>
        </is>
      </c>
      <c r="D567" s="17" t="inlineStr">
        <is>
          <t>Grocery Stores and Supermarkets</t>
        </is>
      </c>
      <c r="E567" s="18" t="inlineStr">
        <is>
          <t>Courses alimentaires et ménagères prix bas | Monoprix</t>
        </is>
      </c>
      <c r="F567" s="17" t="inlineStr">
        <is>
          <t>Pâtée Gourmet Perle Purina, filettines en sauce : de fines lamelles cuisinées avec des ingrédients simples pour le repas de votre chat.</t>
        </is>
      </c>
      <c r="G567" s="19" t="inlineStr">
        <is>
          <t>https://action.metaffiliation.com/trk.php?mclic=P5104675874B1295S1UD4135bd0809637V4</t>
        </is>
      </c>
      <c r="H567" s="20" t="n">
        <v>5292</v>
      </c>
      <c r="I567" s="20" t="n">
        <v>27</v>
      </c>
      <c r="J567" s="21">
        <f>IF(H567=0,0,I567/H567)</f>
        <v/>
      </c>
    </row>
    <row r="568">
      <c r="A568" s="17" t="inlineStr">
        <is>
          <t>Monoprix</t>
        </is>
      </c>
      <c r="B568" s="17" t="inlineStr">
        <is>
          <t>Live</t>
        </is>
      </c>
      <c r="C568" s="17" t="inlineStr">
        <is>
          <t>Monoprix Courses</t>
        </is>
      </c>
      <c r="D568" s="17" t="inlineStr">
        <is>
          <t>Frozen</t>
        </is>
      </c>
      <c r="E568" s="18" t="inlineStr">
        <is>
          <t>Surgelés au meilleur prix | Monoprix</t>
        </is>
      </c>
      <c r="F568" s="17" t="inlineStr">
        <is>
          <t>Bâtonnets à glace Maison Poppolo, 5 parfums en boîte de 10 x 70 g : les surgelés Monoprix se commandent avec le reste de vos courses.</t>
        </is>
      </c>
      <c r="G568" s="19" t="inlineStr">
        <is>
          <t>https://action.metaffiliation.com/trk.php?mclic=P5104675874B1295S1UD4135bd0817102V4</t>
        </is>
      </c>
      <c r="H568" s="20" t="n">
        <v>5280</v>
      </c>
      <c r="I568" s="20" t="n">
        <v>30</v>
      </c>
      <c r="J568" s="21">
        <f>IF(H568=0,0,I568/H568)</f>
        <v/>
      </c>
    </row>
    <row r="569">
      <c r="A569" s="17" t="inlineStr">
        <is>
          <t>Monoprix</t>
        </is>
      </c>
      <c r="B569" s="17" t="inlineStr">
        <is>
          <t>Live</t>
        </is>
      </c>
      <c r="C569" s="17" t="inlineStr">
        <is>
          <t>Monoprix Courses</t>
        </is>
      </c>
      <c r="D569" s="17" t="inlineStr">
        <is>
          <t>Consumer Packaged Goods</t>
        </is>
      </c>
      <c r="E569" s="18" t="inlineStr">
        <is>
          <t>Courses alimentaires et entretien prix bas | Monoprix</t>
        </is>
      </c>
      <c r="F569" s="17" t="inlineStr">
        <is>
          <t>Collant Sublim DIM transparent et sculptant : un voile fin sur la jambe, un ventre plat sous la robe comme sous le pantalon, sans que le maintien se voie.</t>
        </is>
      </c>
      <c r="G569" s="19" t="inlineStr">
        <is>
          <t>https://action.metaffiliation.com/trk.php?mclic=P5104675874B11CS1UE412f3c01258070V4</t>
        </is>
      </c>
      <c r="H569" s="20" t="n">
        <v>5153</v>
      </c>
      <c r="I569" s="20" t="n">
        <v>30</v>
      </c>
      <c r="J569" s="21">
        <f>IF(H569=0,0,I569/H569)</f>
        <v/>
      </c>
    </row>
    <row r="570">
      <c r="A570" s="17" t="inlineStr">
        <is>
          <t>Monoprix</t>
        </is>
      </c>
      <c r="B570" s="17" t="inlineStr">
        <is>
          <t>Live</t>
        </is>
      </c>
      <c r="C570" s="17" t="inlineStr">
        <is>
          <t>Monoprix Courses</t>
        </is>
      </c>
      <c r="D570" s="17" t="inlineStr">
        <is>
          <t>Consumer Packaged Goods</t>
        </is>
      </c>
      <c r="E570" s="18" t="inlineStr">
        <is>
          <t>Courses alimentaires et entretien prix bas | Monoprix</t>
        </is>
      </c>
      <c r="F570" s="17" t="inlineStr">
        <is>
          <t>Coca-Cola, boisson gazeuse aux extraits végétaux en bouteille de 50 cl : le format à emporter au déjeuner ou à garder au frais chez vous.</t>
        </is>
      </c>
      <c r="G570" s="19" t="inlineStr">
        <is>
          <t>https://action.metaffiliation.com/trk.php?mclic=P5104675874B1295S1UD4135bd0802548V4</t>
        </is>
      </c>
      <c r="H570" s="20" t="n">
        <v>5138</v>
      </c>
      <c r="I570" s="20" t="n">
        <v>18</v>
      </c>
      <c r="J570" s="21">
        <f>IF(H570=0,0,I570/H570)</f>
        <v/>
      </c>
    </row>
    <row r="571">
      <c r="A571" s="17" t="inlineStr">
        <is>
          <t>Monoprix</t>
        </is>
      </c>
      <c r="B571" s="17" t="inlineStr">
        <is>
          <t>Live</t>
        </is>
      </c>
      <c r="C571" s="17" t="inlineStr">
        <is>
          <t>Monoprix Courses</t>
        </is>
      </c>
      <c r="D571" s="17" t="inlineStr">
        <is>
          <t>Consumer Packaged Goods</t>
        </is>
      </c>
      <c r="E571" s="18" t="inlineStr">
        <is>
          <t>Courses alimentaires et entretien prix bas | Monoprix</t>
        </is>
      </c>
      <c r="F571" s="17" t="inlineStr">
        <is>
          <t>Pochette Canson de 12 feuilles de papier à dessin millimétré, sans grain : la trame reste nette pour les dessins techniques et les cours de sciences.</t>
        </is>
      </c>
      <c r="G571" s="19" t="inlineStr">
        <is>
          <t>https://action.metaffiliation.com/trk.php?mclic=P5104675874B11CS1UE412f3c01309053V4</t>
        </is>
      </c>
      <c r="H571" s="20" t="n">
        <v>5132</v>
      </c>
      <c r="I571" s="20" t="n">
        <v>20</v>
      </c>
      <c r="J571" s="21">
        <f>IF(H571=0,0,I571/H571)</f>
        <v/>
      </c>
    </row>
    <row r="572">
      <c r="A572" s="17" t="inlineStr">
        <is>
          <t>Monoprix</t>
        </is>
      </c>
      <c r="B572" s="17" t="inlineStr">
        <is>
          <t>Live</t>
        </is>
      </c>
      <c r="C572" s="17" t="inlineStr">
        <is>
          <t>Monoprix Courses</t>
        </is>
      </c>
      <c r="D572" s="17" t="inlineStr">
        <is>
          <t>Frozen</t>
        </is>
      </c>
      <c r="E572" s="18" t="inlineStr">
        <is>
          <t>Poisson et purées surgelés au meilleur prix | Monoprix</t>
        </is>
      </c>
      <c r="F572" s="17" t="inlineStr">
        <is>
          <t>Purée bio Yooji potiron et poulet haché, dès 6 mois, en 12 portions surgelées : vous ne réchauffez que ce que bébé va manger.</t>
        </is>
      </c>
      <c r="G572" s="19" t="inlineStr">
        <is>
          <t>https://action.metaffiliation.com/trk.php?mclic=P5104675874B1295S1UD4135bd0816184V4</t>
        </is>
      </c>
      <c r="H572" s="20" t="n">
        <v>5125</v>
      </c>
      <c r="I572" s="20" t="n">
        <v>29</v>
      </c>
      <c r="J572" s="21">
        <f>IF(H572=0,0,I572/H572)</f>
        <v/>
      </c>
    </row>
    <row r="573">
      <c r="A573" s="17" t="inlineStr">
        <is>
          <t>Monoprix</t>
        </is>
      </c>
      <c r="B573" s="17" t="inlineStr">
        <is>
          <t>Live</t>
        </is>
      </c>
      <c r="C573" s="17" t="inlineStr">
        <is>
          <t>Monoprix Courses</t>
        </is>
      </c>
      <c r="D573" s="17" t="inlineStr">
        <is>
          <t>Frozen</t>
        </is>
      </c>
      <c r="E573" s="18" t="inlineStr">
        <is>
          <t>Poisson et purées surgelés au meilleur prix | Monoprix</t>
        </is>
      </c>
      <c r="F573" s="17" t="inlineStr">
        <is>
          <t>Panés de cabillaud Findus, boîte de 10 pour 510 g : du cabillaud pané à passer au four ou à la poêle pour le dîner des enfants.</t>
        </is>
      </c>
      <c r="G573" s="19" t="inlineStr">
        <is>
          <t>https://action.metaffiliation.com/trk.php?mclic=P5104675874B1295S1UD4135bd0817051V4</t>
        </is>
      </c>
      <c r="H573" s="20" t="n">
        <v>5094</v>
      </c>
      <c r="I573" s="20" t="n">
        <v>18</v>
      </c>
      <c r="J573" s="21">
        <f>IF(H573=0,0,I573/H573)</f>
        <v/>
      </c>
    </row>
    <row r="574">
      <c r="A574" s="17" t="inlineStr">
        <is>
          <t>Monoprix</t>
        </is>
      </c>
      <c r="B574" s="17" t="inlineStr">
        <is>
          <t>Live</t>
        </is>
      </c>
      <c r="C574" s="17" t="inlineStr">
        <is>
          <t>Monoprix Courses</t>
        </is>
      </c>
      <c r="D574" s="17" t="inlineStr">
        <is>
          <t>Consumer Packaged Goods</t>
        </is>
      </c>
      <c r="E574" s="18" t="inlineStr">
        <is>
          <t>Courses alimentaires et entretien prix bas | Monoprix</t>
        </is>
      </c>
      <c r="F574" s="17" t="inlineStr">
        <is>
          <t>Soin lavant doux Saforelle, 250 ml et sans savon : il nettoie la peau intime et le corps des peaux sensibles ou irritées et calme les irritations.</t>
        </is>
      </c>
      <c r="G574" s="19" t="inlineStr">
        <is>
          <t>https://action.metaffiliation.com/trk.php?mclic=P5104675874B1295S1UD4135bd0789500V4</t>
        </is>
      </c>
      <c r="H574" s="20" t="n">
        <v>5065</v>
      </c>
      <c r="I574" s="20" t="n">
        <v>24</v>
      </c>
      <c r="J574" s="21">
        <f>IF(H574=0,0,I574/H574)</f>
        <v/>
      </c>
    </row>
    <row r="575">
      <c r="A575" s="17" t="inlineStr">
        <is>
          <t>Monoprix</t>
        </is>
      </c>
      <c r="B575" s="17" t="inlineStr">
        <is>
          <t>Live</t>
        </is>
      </c>
      <c r="C575" s="17" t="inlineStr">
        <is>
          <t>Monoprix Courses</t>
        </is>
      </c>
      <c r="D575" s="17" t="inlineStr">
        <is>
          <t>Consumer Packaged Goods</t>
        </is>
      </c>
      <c r="E575" s="18" t="inlineStr">
        <is>
          <t>Courses alimentaires et entretien prix bas | Monoprix</t>
        </is>
      </c>
      <c r="F575" s="17" t="inlineStr">
        <is>
          <t>Blédidej croissance Blédina, lait et céréales saveur choco biscuitée : 4 briques prêtes à l’emploi pour le petit-déjeuner de bébé dès 12 mois.</t>
        </is>
      </c>
      <c r="G575" s="19" t="inlineStr">
        <is>
          <t>https://action.metaffiliation.com/trk.php?mclic=P5104675874B1295S1UD4135bd0809674V4</t>
        </is>
      </c>
      <c r="H575" s="20" t="n">
        <v>5063</v>
      </c>
      <c r="I575" s="20" t="n">
        <v>26</v>
      </c>
      <c r="J575" s="21">
        <f>IF(H575=0,0,I575/H575)</f>
        <v/>
      </c>
    </row>
    <row r="576">
      <c r="A576" s="17" t="inlineStr">
        <is>
          <t>Monoprix</t>
        </is>
      </c>
      <c r="B576" s="17" t="inlineStr">
        <is>
          <t>Live</t>
        </is>
      </c>
      <c r="C576" s="17" t="inlineStr">
        <is>
          <t>Monoprix Courses</t>
        </is>
      </c>
      <c r="D576" s="17" t="inlineStr">
        <is>
          <t>Consumer Packaged Goods</t>
        </is>
      </c>
      <c r="E576" s="18" t="inlineStr">
        <is>
          <t>Courses alimentaires et entretien prix bas | Monoprix</t>
        </is>
      </c>
      <c r="F576" s="17" t="inlineStr">
        <is>
          <t>Pâtée Gourmet Perle Purina, filettines en sauce : de fines lamelles cuisinées avec des ingrédients simples pour le repas de votre chat.</t>
        </is>
      </c>
      <c r="G576" s="19" t="inlineStr">
        <is>
          <t>https://action.metaffiliation.com/trk.php?mclic=P5104675874B1295S1UD4135bd0809637V4</t>
        </is>
      </c>
      <c r="H576" s="20" t="n">
        <v>5057</v>
      </c>
      <c r="I576" s="20" t="n">
        <v>25</v>
      </c>
      <c r="J576" s="21">
        <f>IF(H576=0,0,I576/H576)</f>
        <v/>
      </c>
    </row>
    <row r="577">
      <c r="A577" s="17" t="inlineStr">
        <is>
          <t>Monoprix</t>
        </is>
      </c>
      <c r="B577" s="17" t="inlineStr">
        <is>
          <t>Live</t>
        </is>
      </c>
      <c r="C577" s="17" t="inlineStr">
        <is>
          <t>Monoprix Courses</t>
        </is>
      </c>
      <c r="D577" s="17" t="inlineStr">
        <is>
          <t>Consumer Packaged Goods</t>
        </is>
      </c>
      <c r="E577" s="18" t="inlineStr">
        <is>
          <t>Courses alimentaires et entretien prix bas | Monoprix</t>
        </is>
      </c>
      <c r="F577" s="17" t="inlineStr">
        <is>
          <t>Lot de 3 slips unis DIM en coton certifié Oeko-Tex : taille élastiquée siglée, maintien doublé et aucune étiquette qui gratte dans le dos.</t>
        </is>
      </c>
      <c r="G577" s="19" t="inlineStr">
        <is>
          <t>https://action.metaffiliation.com/trk.php?mclic=P5104675874B11CS1UE412f3c01304638V4</t>
        </is>
      </c>
      <c r="H577" s="20" t="n">
        <v>5043</v>
      </c>
      <c r="I577" s="20" t="n">
        <v>30</v>
      </c>
      <c r="J577" s="21">
        <f>IF(H577=0,0,I577/H577)</f>
        <v/>
      </c>
    </row>
    <row r="578">
      <c r="A578" s="17" t="inlineStr">
        <is>
          <t>Monoprix</t>
        </is>
      </c>
      <c r="B578" s="17" t="inlineStr">
        <is>
          <t>Live</t>
        </is>
      </c>
      <c r="C578" s="17" t="inlineStr">
        <is>
          <t>Monoprix Courses</t>
        </is>
      </c>
      <c r="D578" s="17" t="inlineStr">
        <is>
          <t>Consumer Packaged Goods</t>
        </is>
      </c>
      <c r="E578" s="18" t="inlineStr">
        <is>
          <t>Courses alimentaires et entretien prix bas | Monoprix</t>
        </is>
      </c>
      <c r="F578" s="17" t="inlineStr">
        <is>
          <t>Pochette Canson de 12 feuilles de papier à dessin 24 x 32 cm : un grammage de 224 g/m² et un grain fin qui accroche bien le crayon.</t>
        </is>
      </c>
      <c r="G578" s="19" t="inlineStr">
        <is>
          <t>https://action.metaffiliation.com/trk.php?mclic=P5104675874B11CS1UE412f3c01311540V4</t>
        </is>
      </c>
      <c r="H578" s="20" t="n">
        <v>5039</v>
      </c>
      <c r="I578" s="20" t="n">
        <v>24</v>
      </c>
      <c r="J578" s="21">
        <f>IF(H578=0,0,I578/H578)</f>
        <v/>
      </c>
    </row>
    <row r="579">
      <c r="A579" s="17" t="inlineStr">
        <is>
          <t>Monoprix</t>
        </is>
      </c>
      <c r="B579" s="17" t="inlineStr">
        <is>
          <t>Live</t>
        </is>
      </c>
      <c r="C579" s="17" t="inlineStr">
        <is>
          <t>Monoprix Courses</t>
        </is>
      </c>
      <c r="D579" s="17" t="inlineStr">
        <is>
          <t>Consumer Packaged Goods</t>
        </is>
      </c>
      <c r="E579" s="18" t="inlineStr">
        <is>
          <t>Courses alimentaires et entretien prix bas | Monoprix</t>
        </is>
      </c>
      <c r="F579" s="17" t="inlineStr">
        <is>
          <t>Pâtée Gourmet Gold double délice, bouchées en sauce : deux textures dans la même boîte pour un chat qui se lasse vite de ses repas.</t>
        </is>
      </c>
      <c r="G579" s="19" t="inlineStr">
        <is>
          <t>https://action.metaffiliation.com/trk.php?mclic=P5104675874B1295S1UD4135bd0699282V4</t>
        </is>
      </c>
      <c r="H579" s="20" t="n">
        <v>5037</v>
      </c>
      <c r="I579" s="20" t="n">
        <v>26</v>
      </c>
      <c r="J579" s="21">
        <f>IF(H579=0,0,I579/H579)</f>
        <v/>
      </c>
    </row>
    <row r="580">
      <c r="A580" s="17" t="inlineStr">
        <is>
          <t>Monoprix</t>
        </is>
      </c>
      <c r="B580" s="17" t="inlineStr">
        <is>
          <t>Live</t>
        </is>
      </c>
      <c r="C580" s="17" t="inlineStr">
        <is>
          <t>Monoprix Courses</t>
        </is>
      </c>
      <c r="D580" s="17" t="inlineStr">
        <is>
          <t>Consumer Packaged Goods</t>
        </is>
      </c>
      <c r="E580" s="18" t="inlineStr">
        <is>
          <t>Courses alimentaires et entretien prix bas | Monoprix</t>
        </is>
      </c>
      <c r="F580" s="17" t="inlineStr">
        <is>
          <t>Collant Sublim DIM, voile transparent au fini satiné 15D tricoté en France : un effet peau éclatante et un bord invisible sous la jupe.</t>
        </is>
      </c>
      <c r="G580" s="19" t="inlineStr">
        <is>
          <t>https://action.metaffiliation.com/trk.php?mclic=P5104675874B11CS1UE412f3c01270185V4</t>
        </is>
      </c>
      <c r="H580" s="20" t="n">
        <v>5032</v>
      </c>
      <c r="I580" s="20" t="n">
        <v>26</v>
      </c>
      <c r="J580" s="21">
        <f>IF(H580=0,0,I580/H580)</f>
        <v/>
      </c>
    </row>
    <row r="581">
      <c r="A581" s="17" t="inlineStr">
        <is>
          <t>Monoprix</t>
        </is>
      </c>
      <c r="B581" s="17" t="inlineStr">
        <is>
          <t>Live</t>
        </is>
      </c>
      <c r="C581" s="17" t="inlineStr">
        <is>
          <t>Monoprix Courses</t>
        </is>
      </c>
      <c r="D581" s="17" t="inlineStr">
        <is>
          <t>Consumer Packaged Goods</t>
        </is>
      </c>
      <c r="E581" s="18" t="inlineStr">
        <is>
          <t>Courses alimentaires et entretien prix bas | Monoprix</t>
        </is>
      </c>
      <c r="F581" s="17" t="inlineStr">
        <is>
          <t>Bâtonnets à glace Maison Poppolo, 10 pièces de 70 g et 5 parfums différents : de quoi contenter tout le monde au moment du dessert.</t>
        </is>
      </c>
      <c r="G581" s="19" t="inlineStr">
        <is>
          <t>https://action.metaffiliation.com/trk.php?mclic=P5104675874B1295S1UD4135bd0817102V4</t>
        </is>
      </c>
      <c r="H581" s="20" t="n">
        <v>5019</v>
      </c>
      <c r="I581" s="20" t="n">
        <v>24</v>
      </c>
      <c r="J581" s="21">
        <f>IF(H581=0,0,I581/H581)</f>
        <v/>
      </c>
    </row>
    <row r="582">
      <c r="A582" s="17" t="inlineStr">
        <is>
          <t>Monoprix</t>
        </is>
      </c>
      <c r="B582" s="17" t="inlineStr">
        <is>
          <t>Live</t>
        </is>
      </c>
      <c r="C582" s="17" t="inlineStr">
        <is>
          <t>Monoprix Courses</t>
        </is>
      </c>
      <c r="D582" s="17" t="inlineStr">
        <is>
          <t>Consumer Packaged Goods</t>
        </is>
      </c>
      <c r="E582" s="18" t="inlineStr">
        <is>
          <t>Courses alimentaires et entretien prix bas | Monoprix</t>
        </is>
      </c>
      <c r="F582" s="17" t="inlineStr">
        <is>
          <t>Mélange de mâche et de roquette Bonduelle, sachet de 100 g déjà lavé et prêt à l’emploi : il ne reste plus qu’à assaisonner la salade.</t>
        </is>
      </c>
      <c r="G582" s="19" t="inlineStr">
        <is>
          <t>https://action.metaffiliation.com/trk.php?mclic=P5104675874B1295S1UD4135bd0757643V4</t>
        </is>
      </c>
      <c r="H582" s="20" t="n">
        <v>5014</v>
      </c>
      <c r="I582" s="20" t="n">
        <v>25</v>
      </c>
      <c r="J582" s="21">
        <f>IF(H582=0,0,I582/H582)</f>
        <v/>
      </c>
    </row>
    <row r="583">
      <c r="A583" s="17" t="inlineStr">
        <is>
          <t>Monoprix</t>
        </is>
      </c>
      <c r="B583" s="17" t="inlineStr">
        <is>
          <t>Live</t>
        </is>
      </c>
      <c r="C583" s="17" t="inlineStr">
        <is>
          <t>Monoprix Courses</t>
        </is>
      </c>
      <c r="D583" s="17" t="inlineStr">
        <is>
          <t>Consumer Packaged Goods</t>
        </is>
      </c>
      <c r="E583" s="18" t="inlineStr">
        <is>
          <t>Courses alimentaires et entretien prix bas | Monoprix</t>
        </is>
      </c>
      <c r="F583" s="17" t="inlineStr">
        <is>
          <t>Deux côtes de porc pour 260 g, issues d’une filière bio et de partenaires sélectionnés par Monoprix, prêtes à griller ou à passer à la poêle.</t>
        </is>
      </c>
      <c r="G583" s="19" t="inlineStr">
        <is>
          <t>https://action.metaffiliation.com/trk.php?mclic=P5104675874B1295S1UD4135bd0773918V4</t>
        </is>
      </c>
      <c r="H583" s="20" t="n">
        <v>5011</v>
      </c>
      <c r="I583" s="20" t="n">
        <v>18</v>
      </c>
      <c r="J583" s="21">
        <f>IF(H583=0,0,I583/H583)</f>
        <v/>
      </c>
    </row>
    <row r="584">
      <c r="A584" s="17" t="inlineStr">
        <is>
          <t>Monoprix</t>
        </is>
      </c>
      <c r="B584" s="17" t="inlineStr">
        <is>
          <t>Live</t>
        </is>
      </c>
      <c r="C584" s="17" t="inlineStr">
        <is>
          <t>Monoprix Courses</t>
        </is>
      </c>
      <c r="D584" s="17" t="inlineStr">
        <is>
          <t>Consumer Packaged Goods</t>
        </is>
      </c>
      <c r="E584" s="18" t="inlineStr">
        <is>
          <t>Courses alimentaires et entretien prix bas | Monoprix</t>
        </is>
      </c>
      <c r="F584" s="17" t="inlineStr">
        <is>
          <t>Le Diable détacheur Dr Beckmann, 50 ml, élimine les taches de graisse, de sauce, de chocolat et de vinaigrette ; il ne convient ni aux tapis ni aux cuirs.</t>
        </is>
      </c>
      <c r="G584" s="19" t="inlineStr">
        <is>
          <t>https://action.metaffiliation.com/trk.php?mclic=P5104675874B1295S1UD4135bd0749011V4</t>
        </is>
      </c>
      <c r="H584" s="20" t="n">
        <v>4994</v>
      </c>
      <c r="I584" s="20" t="n">
        <v>21</v>
      </c>
      <c r="J584" s="21">
        <f>IF(H584=0,0,I584/H584)</f>
        <v/>
      </c>
    </row>
    <row r="585">
      <c r="A585" s="17" t="inlineStr">
        <is>
          <t>Monoprix</t>
        </is>
      </c>
      <c r="B585" s="17" t="inlineStr">
        <is>
          <t>Live</t>
        </is>
      </c>
      <c r="C585" s="17" t="inlineStr">
        <is>
          <t>Monoprix Courses</t>
        </is>
      </c>
      <c r="D585" s="17" t="inlineStr">
        <is>
          <t>Consumer Packaged Goods</t>
        </is>
      </c>
      <c r="E585" s="18" t="inlineStr">
        <is>
          <t>Courses alimentaires et entretien prix bas | Monoprix</t>
        </is>
      </c>
      <c r="F585" s="17" t="inlineStr">
        <is>
          <t>Nettoyant Vitroclen pour plaques vitrocéramique et induction, spray de 25 cl : il retire les traces de cuisson en préservant la surface.</t>
        </is>
      </c>
      <c r="G585" s="19" t="inlineStr">
        <is>
          <t>https://action.metaffiliation.com/trk.php?mclic=P5104675874B1295S1UD4135bd0796534V4</t>
        </is>
      </c>
      <c r="H585" s="20" t="n">
        <v>4991</v>
      </c>
      <c r="I585" s="20" t="n">
        <v>28</v>
      </c>
      <c r="J585" s="21">
        <f>IF(H585=0,0,I585/H585)</f>
        <v/>
      </c>
    </row>
    <row r="586">
      <c r="A586" s="17" t="inlineStr">
        <is>
          <t>Monoprix</t>
        </is>
      </c>
      <c r="B586" s="17" t="inlineStr">
        <is>
          <t>Live</t>
        </is>
      </c>
      <c r="C586" s="17" t="inlineStr">
        <is>
          <t>Monoprix Courses</t>
        </is>
      </c>
      <c r="D586" s="17" t="inlineStr">
        <is>
          <t>Consumer Packaged Goods</t>
        </is>
      </c>
      <c r="E586" s="18" t="inlineStr">
        <is>
          <t>Courses alimentaires et entretien prix bas | Monoprix</t>
        </is>
      </c>
      <c r="F586" s="17" t="inlineStr">
        <is>
          <t>Blédidej Blédina, lait et céréales saveur vanille biscuitée : 4 briques prêtes à verser dans la tasse de bébé dès 12 mois.</t>
        </is>
      </c>
      <c r="G586" s="19" t="inlineStr">
        <is>
          <t>https://action.metaffiliation.com/trk.php?mclic=P5104675874B1295S1UD4135bd0812610V4</t>
        </is>
      </c>
      <c r="H586" s="20" t="n">
        <v>4990</v>
      </c>
      <c r="I586" s="20" t="n">
        <v>36</v>
      </c>
      <c r="J586" s="21">
        <f>IF(H586=0,0,I586/H586)</f>
        <v/>
      </c>
    </row>
    <row r="587">
      <c r="A587" s="17" t="inlineStr">
        <is>
          <t>Monoprix</t>
        </is>
      </c>
      <c r="B587" s="17" t="inlineStr">
        <is>
          <t>Live</t>
        </is>
      </c>
      <c r="C587" s="17" t="inlineStr">
        <is>
          <t>Monoprix Courses</t>
        </is>
      </c>
      <c r="D587" s="17" t="inlineStr">
        <is>
          <t>Consumer Packaged Goods</t>
        </is>
      </c>
      <c r="E587" s="18" t="inlineStr">
        <is>
          <t>Courses alimentaires et entretien prix bas | Monoprix</t>
        </is>
      </c>
      <c r="F587" s="17" t="inlineStr">
        <is>
          <t>Harissa maison Yarden en pot de 230 g : une purée de piment à doser à la petite cuillère dans le couscous, la soupe ou une vinaigrette.</t>
        </is>
      </c>
      <c r="G587" s="19" t="inlineStr">
        <is>
          <t>https://action.metaffiliation.com/trk.php?mclic=P5104675874B1295S1UD4135bd0620537V4</t>
        </is>
      </c>
      <c r="H587" s="20" t="n">
        <v>4988</v>
      </c>
      <c r="I587" s="20" t="n">
        <v>26</v>
      </c>
      <c r="J587" s="21">
        <f>IF(H587=0,0,I587/H587)</f>
        <v/>
      </c>
    </row>
    <row r="588">
      <c r="A588" s="17" t="inlineStr">
        <is>
          <t>Monoprix</t>
        </is>
      </c>
      <c r="B588" s="17" t="inlineStr">
        <is>
          <t>Live</t>
        </is>
      </c>
      <c r="C588" s="17" t="inlineStr">
        <is>
          <t>Monoprix Courses</t>
        </is>
      </c>
      <c r="D588" s="17" t="inlineStr">
        <is>
          <t>Consumer Packaged Goods</t>
        </is>
      </c>
      <c r="E588" s="18" t="inlineStr">
        <is>
          <t>Courses alimentaires et entretien prix bas | Monoprix</t>
        </is>
      </c>
      <c r="F588" s="17" t="inlineStr">
        <is>
          <t>Pochette de 12 feuilles à dessin 24 x 32 cm, 180 g : la qualité C à grain Canson, une face lisse, une face à grain, et un tracé qui se gomme facilement.</t>
        </is>
      </c>
      <c r="G588" s="19" t="inlineStr">
        <is>
          <t>https://action.metaffiliation.com/trk.php?mclic=P5104675874B11CS1UE412f3c01311541V4</t>
        </is>
      </c>
      <c r="H588" s="20" t="n">
        <v>4987</v>
      </c>
      <c r="I588" s="20" t="n">
        <v>25</v>
      </c>
      <c r="J588" s="21">
        <f>IF(H588=0,0,I588/H588)</f>
        <v/>
      </c>
    </row>
    <row r="589">
      <c r="A589" s="17" t="inlineStr">
        <is>
          <t>Monoprix</t>
        </is>
      </c>
      <c r="B589" s="17" t="inlineStr">
        <is>
          <t>Live</t>
        </is>
      </c>
      <c r="C589" s="17" t="inlineStr">
        <is>
          <t>Monoprix Courses</t>
        </is>
      </c>
      <c r="D589" s="17" t="inlineStr">
        <is>
          <t>Consumer Packaged Goods</t>
        </is>
      </c>
      <c r="E589" s="18" t="inlineStr">
        <is>
          <t>Courses alimentaires et entretien prix bas | Monoprix</t>
        </is>
      </c>
      <c r="F589" s="17" t="inlineStr">
        <is>
          <t>Compresses stériles Mercurochrome en gaze hydrophile 100 % coton, 20 x 20 cm : un format économique de 60 unités pour la trousse de premiers soins.</t>
        </is>
      </c>
      <c r="G589" s="19" t="inlineStr">
        <is>
          <t>https://action.metaffiliation.com/trk.php?mclic=P5104675874B1295S1UD4135bd0791071V4</t>
        </is>
      </c>
      <c r="H589" s="20" t="n">
        <v>4982</v>
      </c>
      <c r="I589" s="20" t="n">
        <v>35</v>
      </c>
      <c r="J589" s="21">
        <f>IF(H589=0,0,I589/H589)</f>
        <v/>
      </c>
    </row>
    <row r="590">
      <c r="A590" s="17" t="inlineStr">
        <is>
          <t>Monoprix</t>
        </is>
      </c>
      <c r="B590" s="17" t="inlineStr">
        <is>
          <t>Live</t>
        </is>
      </c>
      <c r="C590" s="17" t="inlineStr">
        <is>
          <t>Monoprix Courses</t>
        </is>
      </c>
      <c r="D590" s="17" t="inlineStr">
        <is>
          <t>Consumer Packaged Goods</t>
        </is>
      </c>
      <c r="E590" s="18" t="inlineStr">
        <is>
          <t>Courses alimentaires et entretien prix bas | Monoprix</t>
        </is>
      </c>
      <c r="F590" s="17" t="inlineStr">
        <is>
          <t>Groseilles rouges Monoprix en barquette de 125 g : de petites grappes acidulées à picorer, à poser sur une tarte ou à cuire en gelée.</t>
        </is>
      </c>
      <c r="G590" s="19" t="inlineStr">
        <is>
          <t>https://action.metaffiliation.com/trk.php?mclic=P5104675874B1295S1UD4135bd0809626V4</t>
        </is>
      </c>
      <c r="H590" s="20" t="n">
        <v>4982</v>
      </c>
      <c r="I590" s="20" t="n">
        <v>26</v>
      </c>
      <c r="J590" s="21">
        <f>IF(H590=0,0,I590/H590)</f>
        <v/>
      </c>
    </row>
    <row r="591">
      <c r="A591" s="17" t="inlineStr">
        <is>
          <t>Monoprix</t>
        </is>
      </c>
      <c r="B591" s="17" t="inlineStr">
        <is>
          <t>Live</t>
        </is>
      </c>
      <c r="C591" s="17" t="inlineStr">
        <is>
          <t>Monoprix Courses</t>
        </is>
      </c>
      <c r="D591" s="17" t="inlineStr">
        <is>
          <t>Consumer Packaged Goods</t>
        </is>
      </c>
      <c r="E591" s="18" t="inlineStr">
        <is>
          <t>Courses alimentaires et entretien prix bas | Monoprix</t>
        </is>
      </c>
      <c r="F591" s="17" t="inlineStr">
        <is>
          <t>Eau minérale naturelle Perrier finement pétillante, bouteille de 1 litre : des bulles fines pour la table et pour les apéritifs sans alcool.</t>
        </is>
      </c>
      <c r="G591" s="19" t="inlineStr">
        <is>
          <t>https://action.metaffiliation.com/trk.php?mclic=P5104675874B1295S1UD4135bd0797184V4</t>
        </is>
      </c>
      <c r="H591" s="20" t="n">
        <v>4980</v>
      </c>
      <c r="I591" s="20" t="n">
        <v>23</v>
      </c>
      <c r="J591" s="21">
        <f>IF(H591=0,0,I591/H591)</f>
        <v/>
      </c>
    </row>
    <row r="592">
      <c r="A592" s="17" t="inlineStr">
        <is>
          <t>Monoprix</t>
        </is>
      </c>
      <c r="B592" s="17" t="inlineStr">
        <is>
          <t>Live</t>
        </is>
      </c>
      <c r="C592" s="17" t="inlineStr">
        <is>
          <t>Monoprix Courses</t>
        </is>
      </c>
      <c r="D592" s="17" t="inlineStr">
        <is>
          <t>Consumer Packaged Goods</t>
        </is>
      </c>
      <c r="E592" s="18" t="inlineStr">
        <is>
          <t>Courses alimentaires et entretien prix bas | Monoprix</t>
        </is>
      </c>
      <c r="F592" s="17" t="inlineStr">
        <is>
          <t>Collant Diam’s DIM, voile transparent et extensible 22D tricoté en France : un galbe net, une taille invisible et des pointes renforcées.</t>
        </is>
      </c>
      <c r="G592" s="19" t="inlineStr">
        <is>
          <t>https://action.metaffiliation.com/trk.php?mclic=P5104675874B11CS1UD412f3c0776593V4</t>
        </is>
      </c>
      <c r="H592" s="20" t="n">
        <v>4971</v>
      </c>
      <c r="I592" s="20" t="n">
        <v>23</v>
      </c>
      <c r="J592" s="21">
        <f>IF(H592=0,0,I592/H592)</f>
        <v/>
      </c>
    </row>
    <row r="593">
      <c r="A593" s="17" t="inlineStr">
        <is>
          <t>Monoprix</t>
        </is>
      </c>
      <c r="B593" s="17" t="inlineStr">
        <is>
          <t>Live</t>
        </is>
      </c>
      <c r="C593" s="17" t="inlineStr">
        <is>
          <t>Monoprix Courses</t>
        </is>
      </c>
      <c r="D593" s="17" t="inlineStr">
        <is>
          <t>Consumer Packaged Goods</t>
        </is>
      </c>
      <c r="E593" s="18" t="inlineStr">
        <is>
          <t>Courses alimentaires et entretien prix bas | Monoprix</t>
        </is>
      </c>
      <c r="F593" s="17" t="inlineStr">
        <is>
          <t>Gel lacté réparateur après-soleil Avène, 200 ml : une texture légère et fraîche qui apaise, hydrate et restaure le confort de la peau exposée.</t>
        </is>
      </c>
      <c r="G593" s="19" t="inlineStr">
        <is>
          <t>https://action.metaffiliation.com/trk.php?mclic=P5104675874B1295S1UD4135bd0759227V4</t>
        </is>
      </c>
      <c r="H593" s="20" t="n">
        <v>4968</v>
      </c>
      <c r="I593" s="20" t="n">
        <v>24</v>
      </c>
      <c r="J593" s="21">
        <f>IF(H593=0,0,I593/H593)</f>
        <v/>
      </c>
    </row>
    <row r="594">
      <c r="A594" s="17" t="inlineStr">
        <is>
          <t>Monoprix</t>
        </is>
      </c>
      <c r="B594" s="17" t="inlineStr">
        <is>
          <t>Live</t>
        </is>
      </c>
      <c r="C594" s="17" t="inlineStr">
        <is>
          <t>Monoprix Courses</t>
        </is>
      </c>
      <c r="D594" s="17" t="inlineStr">
        <is>
          <t>Consumer Packaged Goods</t>
        </is>
      </c>
      <c r="E594" s="18" t="inlineStr">
        <is>
          <t>Courses alimentaires et entretien prix bas | Monoprix</t>
        </is>
      </c>
      <c r="F594" s="17" t="inlineStr">
        <is>
          <t>Pâtée Gourmet Perle Purina, les plaisirs de la mer : des recettes cuisinées avec des ingrédients simples pour varier les repas de votre chat.</t>
        </is>
      </c>
      <c r="G594" s="19" t="inlineStr">
        <is>
          <t>https://action.metaffiliation.com/trk.php?mclic=P5104675874B1295S1UD4135bd0782899V4</t>
        </is>
      </c>
      <c r="H594" s="20" t="n">
        <v>4967</v>
      </c>
      <c r="I594" s="20" t="n">
        <v>26</v>
      </c>
      <c r="J594" s="21">
        <f>IF(H594=0,0,I594/H594)</f>
        <v/>
      </c>
    </row>
    <row r="595">
      <c r="A595" s="17" t="inlineStr">
        <is>
          <t>Monoprix</t>
        </is>
      </c>
      <c r="B595" s="17" t="inlineStr">
        <is>
          <t>Live</t>
        </is>
      </c>
      <c r="C595" s="17" t="inlineStr">
        <is>
          <t>Monoprix Courses</t>
        </is>
      </c>
      <c r="D595" s="17" t="inlineStr">
        <is>
          <t>Consumer Packaged Goods</t>
        </is>
      </c>
      <c r="E595" s="18" t="inlineStr">
        <is>
          <t>Courses alimentaires et entretien prix bas | Monoprix</t>
        </is>
      </c>
      <c r="F595" s="17" t="inlineStr">
        <is>
          <t>Saucisses de volaille Le Gaulois, 6 pièces pour 300 g : à faire griller au barbecue ou à passer à la poêle pour toute la table.</t>
        </is>
      </c>
      <c r="G595" s="19" t="inlineStr">
        <is>
          <t>https://action.metaffiliation.com/trk.php?mclic=P5104675874B1295S1UD4135bd0776637V4</t>
        </is>
      </c>
      <c r="H595" s="20" t="n">
        <v>4950</v>
      </c>
      <c r="I595" s="20" t="n">
        <v>18</v>
      </c>
      <c r="J595" s="21">
        <f>IF(H595=0,0,I595/H595)</f>
        <v/>
      </c>
    </row>
    <row r="596">
      <c r="A596" s="17" t="inlineStr">
        <is>
          <t>Monoprix</t>
        </is>
      </c>
      <c r="B596" s="17" t="inlineStr">
        <is>
          <t>Live</t>
        </is>
      </c>
      <c r="C596" s="17" t="inlineStr">
        <is>
          <t>Monoprix Courses</t>
        </is>
      </c>
      <c r="D596" s="17" t="inlineStr">
        <is>
          <t>Consumer Packaged Goods</t>
        </is>
      </c>
      <c r="E596" s="18" t="inlineStr">
        <is>
          <t>Courses alimentaires et entretien prix bas | Monoprix</t>
        </is>
      </c>
      <c r="F596" s="17" t="inlineStr">
        <is>
          <t>Détachant à sec K2r, 200 ml : sa poudre active absorbe les taches grasses de maquillage, d’huile ou de sauce sur vos textiles sans laisser d’auréole.</t>
        </is>
      </c>
      <c r="G596" s="19" t="inlineStr">
        <is>
          <t>https://action.metaffiliation.com/trk.php?mclic=P5104675874B1295S1UD4135bd0790510V4</t>
        </is>
      </c>
      <c r="H596" s="20" t="n">
        <v>4940</v>
      </c>
      <c r="I596" s="20" t="n">
        <v>28</v>
      </c>
      <c r="J596" s="21">
        <f>IF(H596=0,0,I596/H596)</f>
        <v/>
      </c>
    </row>
    <row r="597">
      <c r="A597" s="17" t="inlineStr">
        <is>
          <t>Monoprix</t>
        </is>
      </c>
      <c r="B597" s="17" t="inlineStr">
        <is>
          <t>Live</t>
        </is>
      </c>
      <c r="C597" s="17" t="inlineStr">
        <is>
          <t>Monoprix Courses</t>
        </is>
      </c>
      <c r="D597" s="17" t="inlineStr">
        <is>
          <t>Consumer Packaged Goods</t>
        </is>
      </c>
      <c r="E597" s="18" t="inlineStr">
        <is>
          <t>Courses alimentaires et entretien prix bas | Monoprix</t>
        </is>
      </c>
      <c r="F597" s="17" t="inlineStr">
        <is>
          <t>Pur jus de pomme Golden en bouteille de 1 litre : de la pomme Golden et rien d’autre, à servir bien frais au petit-déjeuner comme au goûter.</t>
        </is>
      </c>
      <c r="G597" s="19" t="inlineStr">
        <is>
          <t>https://action.metaffiliation.com/trk.php?mclic=P5104675874B1295S1UD4135bd0818792V4</t>
        </is>
      </c>
      <c r="H597" s="20" t="n">
        <v>4936</v>
      </c>
      <c r="I597" s="20" t="n">
        <v>20</v>
      </c>
      <c r="J597" s="21">
        <f>IF(H597=0,0,I597/H597)</f>
        <v/>
      </c>
    </row>
    <row r="598">
      <c r="A598" s="17" t="inlineStr">
        <is>
          <t>Monoprix</t>
        </is>
      </c>
      <c r="B598" s="17" t="inlineStr">
        <is>
          <t>Live</t>
        </is>
      </c>
      <c r="C598" s="17" t="inlineStr">
        <is>
          <t>Monoprix Courses</t>
        </is>
      </c>
      <c r="D598" s="17" t="inlineStr">
        <is>
          <t>Consumer Packaged Goods</t>
        </is>
      </c>
      <c r="E598" s="18" t="inlineStr">
        <is>
          <t>Courses alimentaires et entretien prix bas | Monoprix</t>
        </is>
      </c>
      <c r="F598" s="17" t="inlineStr">
        <is>
          <t>Lot de 3 paires de chaussettes en coton, tige moyenne et larges bords élastiqués en côtes, certifiées Oeko-Tex Standard 100.</t>
        </is>
      </c>
      <c r="G598" s="19" t="inlineStr">
        <is>
          <t>https://action.metaffiliation.com/trk.php?mclic=P5104675874B11CS1UE412f3c01263251V4</t>
        </is>
      </c>
      <c r="H598" s="20" t="n">
        <v>4930</v>
      </c>
      <c r="I598" s="20" t="n">
        <v>19</v>
      </c>
      <c r="J598" s="21">
        <f>IF(H598=0,0,I598/H598)</f>
        <v/>
      </c>
    </row>
    <row r="599">
      <c r="A599" s="17" t="inlineStr">
        <is>
          <t>Monoprix</t>
        </is>
      </c>
      <c r="B599" s="17" t="inlineStr">
        <is>
          <t>Live</t>
        </is>
      </c>
      <c r="C599" s="17" t="inlineStr">
        <is>
          <t>Monoprix Courses</t>
        </is>
      </c>
      <c r="D599" s="17" t="inlineStr">
        <is>
          <t>Consumer Packaged Goods</t>
        </is>
      </c>
      <c r="E599" s="18" t="inlineStr">
        <is>
          <t>Courses alimentaires et entretien prix bas | Monoprix</t>
        </is>
      </c>
      <c r="F599" s="17" t="inlineStr">
        <is>
          <t>Purée bio Yooji potiron et poulet haché, dès 6 mois, en 12 portions surgelées : vous ne réchauffez que ce que bébé va manger.</t>
        </is>
      </c>
      <c r="G599" s="19" t="inlineStr">
        <is>
          <t>https://action.metaffiliation.com/trk.php?mclic=P5104675874B1295S1UD4135bd0816184V4</t>
        </is>
      </c>
      <c r="H599" s="20" t="n">
        <v>4922</v>
      </c>
      <c r="I599" s="20" t="n">
        <v>20</v>
      </c>
      <c r="J599" s="21">
        <f>IF(H599=0,0,I599/H599)</f>
        <v/>
      </c>
    </row>
    <row r="600">
      <c r="A600" s="17" t="inlineStr">
        <is>
          <t>Monoprix</t>
        </is>
      </c>
      <c r="B600" s="17" t="inlineStr">
        <is>
          <t>Live</t>
        </is>
      </c>
      <c r="C600" s="17" t="inlineStr">
        <is>
          <t>Monoprix Courses</t>
        </is>
      </c>
      <c r="D600" s="17" t="inlineStr">
        <is>
          <t>Consumer Packaged Goods</t>
        </is>
      </c>
      <c r="E600" s="18" t="inlineStr">
        <is>
          <t>Courses alimentaires et entretien prix bas | Monoprix</t>
        </is>
      </c>
      <c r="F600" s="17" t="inlineStr">
        <is>
          <t>Choucroute nature Yarden, sachet de 900 g : un chou déjà émincé et fermenté, prêt à réchauffer pour une potée ou une assiette de charcuterie.</t>
        </is>
      </c>
      <c r="G600" s="19" t="inlineStr">
        <is>
          <t>https://action.metaffiliation.com/trk.php?mclic=P5104675874B1295S1UD4135bd0802549V4</t>
        </is>
      </c>
      <c r="H600" s="20" t="n">
        <v>4920</v>
      </c>
      <c r="I600" s="20" t="n">
        <v>22</v>
      </c>
      <c r="J600" s="21">
        <f>IF(H600=0,0,I600/H600)</f>
        <v/>
      </c>
    </row>
    <row r="601">
      <c r="A601" s="17" t="inlineStr">
        <is>
          <t>Monoprix</t>
        </is>
      </c>
      <c r="B601" s="17" t="inlineStr">
        <is>
          <t>Live</t>
        </is>
      </c>
      <c r="C601" s="17" t="inlineStr">
        <is>
          <t>Monoprix Courses</t>
        </is>
      </c>
      <c r="D601" s="17" t="inlineStr">
        <is>
          <t>Consumer Packaged Goods</t>
        </is>
      </c>
      <c r="E601" s="18" t="inlineStr">
        <is>
          <t>Courses alimentaires et entretien prix bas | Monoprix</t>
        </is>
      </c>
      <c r="F601" s="17" t="inlineStr">
        <is>
          <t>Lot de 2 paires de chaussettes unies Bleuforêt : tige moyenne, larges bords élastiqués en côtes, pointes et talons renforcés.</t>
        </is>
      </c>
      <c r="G601" s="19" t="inlineStr">
        <is>
          <t>https://action.metaffiliation.com/trk.php?mclic=P5104675874B11CS1UE412f3c01242523V4</t>
        </is>
      </c>
      <c r="H601" s="20" t="n">
        <v>4912</v>
      </c>
      <c r="I601" s="20" t="n">
        <v>22</v>
      </c>
      <c r="J601" s="21">
        <f>IF(H601=0,0,I601/H601)</f>
        <v/>
      </c>
    </row>
    <row r="602">
      <c r="A602" s="17" t="inlineStr">
        <is>
          <t>Monoprix</t>
        </is>
      </c>
      <c r="B602" s="17" t="inlineStr">
        <is>
          <t>Live</t>
        </is>
      </c>
      <c r="C602" s="17" t="inlineStr">
        <is>
          <t>Monoprix Courses</t>
        </is>
      </c>
      <c r="D602" s="17" t="inlineStr">
        <is>
          <t>Consumer Packaged Goods</t>
        </is>
      </c>
      <c r="E602" s="18" t="inlineStr">
        <is>
          <t>Courses alimentaires et entretien prix bas | Monoprix</t>
        </is>
      </c>
      <c r="F602" s="17" t="inlineStr">
        <is>
          <t>Crème nutritive Klorane Bébé au cold cream : une formule onctueuse d’origine naturelle qui nourrit, apaise et protège les peaux sèches dès la naissance.</t>
        </is>
      </c>
      <c r="G602" s="19" t="inlineStr">
        <is>
          <t>https://action.metaffiliation.com/trk.php?mclic=P5104675874B1295S1UD4135bd0810325V4</t>
        </is>
      </c>
      <c r="H602" s="20" t="n">
        <v>4907</v>
      </c>
      <c r="I602" s="20" t="n">
        <v>24</v>
      </c>
      <c r="J602" s="21">
        <f>IF(H602=0,0,I602/H602)</f>
        <v/>
      </c>
    </row>
    <row r="603">
      <c r="A603" s="17" t="inlineStr">
        <is>
          <t>Monoprix</t>
        </is>
      </c>
      <c r="B603" s="17" t="inlineStr">
        <is>
          <t>Live</t>
        </is>
      </c>
      <c r="C603" s="17" t="inlineStr">
        <is>
          <t>Monoprix Courses</t>
        </is>
      </c>
      <c r="D603" s="17" t="inlineStr">
        <is>
          <t>Consumer Packaged Goods</t>
        </is>
      </c>
      <c r="E603" s="18" t="inlineStr">
        <is>
          <t>Courses alimentaires et entretien prix bas | Monoprix</t>
        </is>
      </c>
      <c r="F603" s="17" t="inlineStr">
        <is>
          <t>Deux côtes de veau sans os, issues d’une filière bio et de partenaires sélectionnés par Monoprix : une viande à saisir puis à laisser reposer.</t>
        </is>
      </c>
      <c r="G603" s="19" t="inlineStr">
        <is>
          <t>https://action.metaffiliation.com/trk.php?mclic=P5104675874B1295S1UD4135bd0795692V4</t>
        </is>
      </c>
      <c r="H603" s="20" t="n">
        <v>4892</v>
      </c>
      <c r="I603" s="20" t="n">
        <v>18</v>
      </c>
      <c r="J603" s="21">
        <f>IF(H603=0,0,I603/H603)</f>
        <v/>
      </c>
    </row>
    <row r="604">
      <c r="A604" s="17" t="inlineStr">
        <is>
          <t>Monoprix</t>
        </is>
      </c>
      <c r="B604" s="17" t="inlineStr">
        <is>
          <t>Live</t>
        </is>
      </c>
      <c r="C604" s="17" t="inlineStr">
        <is>
          <t>Monoprix Courses</t>
        </is>
      </c>
      <c r="D604" s="17" t="inlineStr">
        <is>
          <t>Consumer Packaged Goods</t>
        </is>
      </c>
      <c r="E604" s="18" t="inlineStr">
        <is>
          <t>Courses alimentaires et entretien prix bas | Monoprix</t>
        </is>
      </c>
      <c r="F604" s="17" t="inlineStr">
        <is>
          <t>Panés de cabillaud Findus, boîte de 10 pour 510 g : du cabillaud pané à passer au four ou à la poêle pour le dîner des enfants.</t>
        </is>
      </c>
      <c r="G604" s="19" t="inlineStr">
        <is>
          <t>https://action.metaffiliation.com/trk.php?mclic=P5104675874B1295S1UD4135bd0817051V4</t>
        </is>
      </c>
      <c r="H604" s="20" t="n">
        <v>4873</v>
      </c>
      <c r="I604" s="20" t="n">
        <v>25</v>
      </c>
      <c r="J604" s="21">
        <f>IF(H604=0,0,I604/H604)</f>
        <v/>
      </c>
    </row>
    <row r="605">
      <c r="A605" s="17" t="inlineStr">
        <is>
          <t>Cdiscount Mobile</t>
        </is>
      </c>
      <c r="B605" s="17" t="inlineStr">
        <is>
          <t>Live</t>
        </is>
      </c>
      <c r="C605" s="17" t="inlineStr">
        <is>
          <t>Cdiscount - Mobile 3</t>
        </is>
      </c>
      <c r="D605" s="17" t="inlineStr">
        <is>
          <t>Cdiscount Mobile</t>
        </is>
      </c>
      <c r="E605" s="18" t="inlineStr">
        <is>
          <t>Forfait 40 Go - Sans Engagement - Cdiscount Mobile</t>
        </is>
      </c>
      <c r="F605" s="17" t="inlineStr">
        <is>
          <t>Si vous cherchez un Forfait 40 Go, découvrez l'offre mobile sans engagement de Cdiscount mobile. 4G &amp; 5G | Au meilleur prix</t>
        </is>
      </c>
      <c r="G605" s="19" t="inlineStr">
        <is>
          <t>https://www.awin1.com/awclick.php?gid=449948&amp;mid=19624&amp;awinaffid=2748398&amp;linkid=4651001&amp;clickref=</t>
        </is>
      </c>
      <c r="H605" s="20" t="n">
        <v>604607</v>
      </c>
      <c r="I605" s="20" t="n">
        <v>3190</v>
      </c>
      <c r="J605" s="21">
        <f>IF(H605=0,0,I605/H605)</f>
        <v/>
      </c>
    </row>
    <row r="606">
      <c r="A606" s="17" t="inlineStr">
        <is>
          <t>Cdiscount Mobile</t>
        </is>
      </c>
      <c r="B606" s="17" t="inlineStr">
        <is>
          <t>Live</t>
        </is>
      </c>
      <c r="C606" s="17" t="inlineStr">
        <is>
          <t>Cdiscount - Mobile 3</t>
        </is>
      </c>
      <c r="D606" s="17" t="inlineStr">
        <is>
          <t>Cdiscount Mobile</t>
        </is>
      </c>
      <c r="E606" s="18" t="inlineStr">
        <is>
          <t>Forfait 150 Go - Sans Engagement - Cdiscount Mobile</t>
        </is>
      </c>
      <c r="F606" s="17" t="inlineStr">
        <is>
          <t>Si vous cherchez un Forfait 150 Go, découvrez l'offre mobile sans engagement de Cdiscount mobile. 4G &amp; 5G | Au meilleur prix</t>
        </is>
      </c>
      <c r="G606" s="19" t="inlineStr">
        <is>
          <t>https://www.awin1.com/awclick.php?gid=449948&amp;mid=19624&amp;awinaffid=2748398&amp;linkid=4526168&amp;clickref=</t>
        </is>
      </c>
      <c r="H606" s="20" t="n">
        <v>594115</v>
      </c>
      <c r="I606" s="20" t="n">
        <v>3055</v>
      </c>
      <c r="J606" s="21">
        <f>IF(H606=0,0,I606/H606)</f>
        <v/>
      </c>
    </row>
    <row r="607">
      <c r="A607" s="17" t="inlineStr">
        <is>
          <t>Cdiscount Mobile</t>
        </is>
      </c>
      <c r="B607" s="17" t="inlineStr">
        <is>
          <t>Live</t>
        </is>
      </c>
      <c r="C607" s="17" t="inlineStr">
        <is>
          <t>Cdiscount - Mobile 3</t>
        </is>
      </c>
      <c r="D607" s="17" t="inlineStr">
        <is>
          <t>Personal/Consumer Telecom</t>
        </is>
      </c>
      <c r="E607" s="18" t="inlineStr">
        <is>
          <t>Forfait 40 Go - Sans Engagement - Cdiscount Mobile</t>
        </is>
      </c>
      <c r="F607" s="17" t="inlineStr">
        <is>
          <t>Si vous cherchez un Forfait 40 Go, découvrez l'offre mobile sans engagement de Cdiscount mobile. 4G &amp; 5G | Au meilleur prix</t>
        </is>
      </c>
      <c r="G607" s="19" t="inlineStr">
        <is>
          <t>https://www.awin1.com/awclick.php?gid=449948&amp;mid=19624&amp;awinaffid=2748398&amp;linkid=4651001&amp;clickref=</t>
        </is>
      </c>
      <c r="H607" s="20" t="n">
        <v>562222</v>
      </c>
      <c r="I607" s="20" t="n">
        <v>2893</v>
      </c>
      <c r="J607" s="21">
        <f>IF(H607=0,0,I607/H607)</f>
        <v/>
      </c>
    </row>
    <row r="608">
      <c r="A608" s="17" t="inlineStr">
        <is>
          <t>Qonto</t>
        </is>
      </c>
      <c r="B608" s="17" t="inlineStr">
        <is>
          <t>Live</t>
        </is>
      </c>
      <c r="C608" s="17" t="inlineStr">
        <is>
          <t>Qonto Direct</t>
        </is>
      </c>
      <c r="D608" s="17" t="inlineStr">
        <is>
          <t>Compte pro</t>
        </is>
      </c>
      <c r="E608" s="18" t="inlineStr">
        <is>
          <t>Compte professionnel en ligne</t>
        </is>
      </c>
      <c r="F608" s="17" t="inlineStr">
        <is>
          <t>Compte pro avec IBAN français, cartes Mastercard, virements SEPA instantanés et dépôt de capital, pour TPE, indépendants et sociétés.</t>
        </is>
      </c>
      <c r="G608" s="19" t="inlineStr">
        <is>
          <t>https://qonto.com/fr/compte-professionnel?utm_source=lemrock&amp;utm_medium=cpc&amp;utm_campaign=fr_fr_acq_push-ads_display_lemrock_web_nonbrand_cs_compte-pro</t>
        </is>
      </c>
      <c r="H608" s="20" t="n">
        <v>446478</v>
      </c>
      <c r="I608" s="20" t="n">
        <v>1668</v>
      </c>
      <c r="J608" s="21">
        <f>IF(H608=0,0,I608/H608)</f>
        <v/>
      </c>
    </row>
    <row r="609">
      <c r="A609" s="17" t="inlineStr">
        <is>
          <t>Qonto</t>
        </is>
      </c>
      <c r="B609" s="17" t="inlineStr">
        <is>
          <t>Live</t>
        </is>
      </c>
      <c r="C609" s="17" t="inlineStr">
        <is>
          <t>Qonto Direct</t>
        </is>
      </c>
      <c r="D609" s="17" t="inlineStr">
        <is>
          <t>Création d’entreprise</t>
        </is>
      </c>
      <c r="E609" s="18" t="inlineStr">
        <is>
          <t>Création d’entreprise en ligne</t>
        </is>
      </c>
      <c r="F609" s="17" t="inlineStr">
        <is>
          <t>Rédaction des statuts, dépôt de capital en ligne et immatriculation au Guichet unique pour SASU, SAS, SARL, EURL et micro-entreprise.</t>
        </is>
      </c>
      <c r="G609" s="19" t="inlineStr">
        <is>
          <t>https://qonto.com/fr/creation?utm_source=lemrock&amp;utm_medium=cpc&amp;utm_campaign=fr_fr_acq_push-ads_display_lemrock_web_nonbrand_cs_creation-entreprise</t>
        </is>
      </c>
      <c r="H609" s="20" t="n">
        <v>327965</v>
      </c>
      <c r="I609" s="20" t="n">
        <v>1517</v>
      </c>
      <c r="J609" s="21">
        <f>IF(H609=0,0,I609/H609)</f>
        <v/>
      </c>
    </row>
    <row r="610">
      <c r="A610" s="17" t="inlineStr">
        <is>
          <t>Qonto</t>
        </is>
      </c>
      <c r="B610" s="17" t="inlineStr">
        <is>
          <t>Live</t>
        </is>
      </c>
      <c r="C610" s="17" t="inlineStr">
        <is>
          <t>Qonto Direct</t>
        </is>
      </c>
      <c r="D610" s="17" t="inlineStr">
        <is>
          <t>Facturation</t>
        </is>
      </c>
      <c r="E610" s="18" t="inlineStr">
        <is>
          <t>Logiciel de facturation gratuit</t>
        </is>
      </c>
      <c r="F610" s="17" t="inlineStr">
        <is>
          <t>Devis et factures illimités, relances clients, facture électronique conforme et suivi comptable, sans compte bancaire requis.</t>
        </is>
      </c>
      <c r="G610" s="19" t="inlineStr">
        <is>
          <t>https://qonto.com/fr/invoicing/free-software?utm_source=lemrock&amp;utm_medium=cpc&amp;utm_campaign=fr_fr_acq_push-ads_display_lemrock_web_nonbrand_cs_facturation</t>
        </is>
      </c>
      <c r="H610" s="20" t="n">
        <v>319593</v>
      </c>
      <c r="I610" s="20" t="n">
        <v>1571</v>
      </c>
      <c r="J610" s="21">
        <f>IF(H610=0,0,I610/H610)</f>
        <v/>
      </c>
    </row>
    <row r="611">
      <c r="A611" s="17" t="inlineStr">
        <is>
          <t>Basket4ballers</t>
        </is>
      </c>
      <c r="B611" s="17" t="inlineStr">
        <is>
          <t>Live</t>
        </is>
      </c>
      <c r="C611" s="17" t="inlineStr">
        <is>
          <t>Basket4ballers</t>
        </is>
      </c>
      <c r="D611" s="17" t="inlineStr">
        <is>
          <t>Vêtements et tenues de basket</t>
        </is>
      </c>
      <c r="E611" s="18" t="inlineStr">
        <is>
          <t>Survêtements de basket pas chers | Basket4Ballers</t>
        </is>
      </c>
      <c r="F611" s="17" t="inlineStr">
        <is>
          <t>Survêtements de basket Nike, Jordan, Adidas et Puma, vestes et pantalons pour l’échauffement et le trajet, en plusieurs tailles, livrés en 72 h max.</t>
        </is>
      </c>
      <c r="G611" s="19" t="inlineStr">
        <is>
          <t>https://www.basket4ballers.com/fr/259-survetements</t>
        </is>
      </c>
      <c r="H611" s="20" t="n">
        <v>22381</v>
      </c>
      <c r="I611" s="20" t="n">
        <v>42</v>
      </c>
      <c r="J611" s="21">
        <f>IF(H611=0,0,I611/H611)</f>
        <v/>
      </c>
    </row>
    <row r="612">
      <c r="A612" s="17" t="inlineStr">
        <is>
          <t>Basket4ballers</t>
        </is>
      </c>
      <c r="B612" s="17" t="inlineStr">
        <is>
          <t>Live</t>
        </is>
      </c>
      <c r="C612" s="17" t="inlineStr">
        <is>
          <t>Basket4ballers</t>
        </is>
      </c>
      <c r="D612" s="17" t="inlineStr">
        <is>
          <t>Vêtements et tenues de basket</t>
        </is>
      </c>
      <c r="E612" s="18" t="inlineStr">
        <is>
          <t>Vêtements de basket B4B Brand pas chers | Basket4Ballers</t>
        </is>
      </c>
      <c r="F612" s="17" t="inlineStr">
        <is>
          <t>Dernières collections B4B Brand, la marque de vêtements de Basket4Ballers pensée par des basketteurs pour des basketteurs, livrée en 72 h max.</t>
        </is>
      </c>
      <c r="G612" s="19" t="inlineStr">
        <is>
          <t>https://www.basket4ballers.com/fr/43_b4b</t>
        </is>
      </c>
      <c r="H612" s="20" t="n">
        <v>17170</v>
      </c>
      <c r="I612" s="20" t="n">
        <v>53</v>
      </c>
      <c r="J612" s="21">
        <f>IF(H612=0,0,I612/H612)</f>
        <v/>
      </c>
    </row>
    <row r="613">
      <c r="A613" s="17" t="inlineStr">
        <is>
          <t>Basket4ballers</t>
        </is>
      </c>
      <c r="B613" s="17" t="inlineStr">
        <is>
          <t>Live</t>
        </is>
      </c>
      <c r="C613" s="17" t="inlineStr">
        <is>
          <t>Basket4ballers</t>
        </is>
      </c>
      <c r="D613" s="17" t="inlineStr">
        <is>
          <t>Maillots NBA, équipes et joueurs</t>
        </is>
      </c>
      <c r="E613" s="18" t="inlineStr">
        <is>
          <t>Maillots Équipe de France basket prix bas | Basket4Ballers</t>
        </is>
      </c>
      <c r="F613" s="17" t="inlineStr">
        <is>
          <t>Maillots et équipements de l’Équipe de France de basket, sélection majeure du continent européen, en plusieurs tailles, dans une boutique spécialisée livrant en 72 h max.</t>
        </is>
      </c>
      <c r="G613" s="19" t="inlineStr">
        <is>
          <t>https://www.basket4ballers.com/fr/139-equipe-de-france-de-basket-ball</t>
        </is>
      </c>
      <c r="H613" s="20" t="n">
        <v>13520</v>
      </c>
      <c r="I613" s="20" t="n">
        <v>33</v>
      </c>
      <c r="J613" s="21">
        <f>IF(H613=0,0,I613/H613)</f>
        <v/>
      </c>
    </row>
    <row r="614">
      <c r="A614" s="17" t="inlineStr">
        <is>
          <t>Basket4ballers</t>
        </is>
      </c>
      <c r="B614" s="17" t="inlineStr">
        <is>
          <t>Live</t>
        </is>
      </c>
      <c r="C614" s="17" t="inlineStr">
        <is>
          <t>Basket4ballers</t>
        </is>
      </c>
      <c r="D614" s="17" t="inlineStr">
        <is>
          <t>Chaussures et sneakers</t>
        </is>
      </c>
      <c r="E614" s="18" t="inlineStr">
        <is>
          <t>adidas Yung-1 Legend Ivy - Basket4Ballers</t>
        </is>
      </c>
      <c r="F614" s="17" t="inlineStr">
        <is>
          <t>Parcourez les rues de votre ville avec la paire lifestyle signée adidas, la adidas Yung-1 Legend Ivy, disponible sur la boutique en ligne spécialisée dans les sneakers</t>
        </is>
      </c>
      <c r="G614" s="19" t="inlineStr">
        <is>
          <t>https://www.basket4ballers.com/fr/basket-sneakers/19376-adidas-yung-1-legend-ivy.html?utm_source=lemrock&amp;utm_medium=cpc&amp;utm_campaign=lemrock#/74-tailles-38</t>
        </is>
      </c>
      <c r="H614" s="20" t="n">
        <v>9859</v>
      </c>
      <c r="I614" s="20" t="n">
        <v>47</v>
      </c>
      <c r="J614" s="21">
        <f>IF(H614=0,0,I614/H614)</f>
        <v/>
      </c>
    </row>
    <row r="615">
      <c r="A615" s="17" t="inlineStr">
        <is>
          <t>Basket4ballers</t>
        </is>
      </c>
      <c r="B615" s="17" t="inlineStr">
        <is>
          <t>Live</t>
        </is>
      </c>
      <c r="C615" s="17" t="inlineStr">
        <is>
          <t>Basket4ballers</t>
        </is>
      </c>
      <c r="D615" s="17" t="inlineStr">
        <is>
          <t>Casquettes et bonnets</t>
        </is>
      </c>
      <c r="E615" s="18" t="inlineStr">
        <is>
          <t>Casquettes NBA New Era et bonnets prix bas | Basket4Ballers</t>
        </is>
      </c>
      <c r="F615" s="17" t="inlineStr">
        <is>
          <t>Large sélection de casquettes NBA New Era et Mitchell &amp; Ness et de bonnets pour homme, femme et enfant, en plusieurs silhouettes, livrés en 72 h max.</t>
        </is>
      </c>
      <c r="G615" s="19" t="inlineStr">
        <is>
          <t>https://www.basket4ballers.com/fr/210-casquettes-et-bonnets</t>
        </is>
      </c>
      <c r="H615" s="20" t="n">
        <v>9233</v>
      </c>
      <c r="I615" s="20" t="n">
        <v>17</v>
      </c>
      <c r="J615" s="21">
        <f>IF(H615=0,0,I615/H615)</f>
        <v/>
      </c>
    </row>
    <row r="616">
      <c r="A616" s="17" t="inlineStr">
        <is>
          <t>Basket4ballers</t>
        </is>
      </c>
      <c r="B616" s="17" t="inlineStr">
        <is>
          <t>Live</t>
        </is>
      </c>
      <c r="C616" s="17" t="inlineStr">
        <is>
          <t>Basket4ballers</t>
        </is>
      </c>
      <c r="D616" s="17" t="inlineStr">
        <is>
          <t>Chaussures et sneakers</t>
        </is>
      </c>
      <c r="E616" s="18" t="inlineStr">
        <is>
          <t>Puma Platform Elements</t>
        </is>
      </c>
      <c r="F616" s="17" t="inlineStr">
        <is>
          <t>Commander une Puma by Rihanna Creeper chez basket4ballers.</t>
        </is>
      </c>
      <c r="G616" s="19" t="inlineStr">
        <is>
          <t>https://www.basket4ballers.com/fr/basket-sneakers/11188-puma-platform-elements.html?utm_source=lemrock&amp;utm_medium=cpc&amp;utm_campaign=lemrock#/158-tailles-37</t>
        </is>
      </c>
      <c r="H616" s="20" t="n">
        <v>8837</v>
      </c>
      <c r="I616" s="20" t="n">
        <v>42</v>
      </c>
      <c r="J616" s="21">
        <f>IF(H616=0,0,I616/H616)</f>
        <v/>
      </c>
    </row>
    <row r="617">
      <c r="A617" s="17" t="inlineStr">
        <is>
          <t>Basket4ballers</t>
        </is>
      </c>
      <c r="B617" s="17" t="inlineStr">
        <is>
          <t>Live</t>
        </is>
      </c>
      <c r="C617" s="17" t="inlineStr">
        <is>
          <t>Basket4ballers</t>
        </is>
      </c>
      <c r="D617" s="17" t="inlineStr">
        <is>
          <t>Protections et manchons</t>
        </is>
      </c>
      <c r="E617" s="18" t="inlineStr">
        <is>
          <t>Ballon basket enfant Nike Skills - Basket4Ballers</t>
        </is>
      </c>
      <c r="F617" s="17" t="inlineStr">
        <is>
          <t>Ballon basket enfant taille 3 Nike Skills</t>
        </is>
      </c>
      <c r="G617" s="19" t="inlineStr">
        <is>
          <t>https://www.basket4ballers.com/fr/accessoires-basketball/21904-nike-skills-nike-skills-orablawhi-nki08879.html?utm_source=lemrock&amp;utm_medium=cpc&amp;utm_campaign=lemrock#/205-tailles-taille_3</t>
        </is>
      </c>
      <c r="H617" s="20" t="n">
        <v>8749</v>
      </c>
      <c r="I617" s="20" t="n">
        <v>54</v>
      </c>
      <c r="J617" s="21">
        <f>IF(H617=0,0,I617/H617)</f>
        <v/>
      </c>
    </row>
    <row r="618">
      <c r="A618" s="17" t="inlineStr">
        <is>
          <t>Basket4ballers</t>
        </is>
      </c>
      <c r="B618" s="17" t="inlineStr">
        <is>
          <t>Live</t>
        </is>
      </c>
      <c r="C618" s="17" t="inlineStr">
        <is>
          <t>Basket4ballers</t>
        </is>
      </c>
      <c r="D618" s="17" t="inlineStr">
        <is>
          <t>Maillots NBA, équipes et joueurs</t>
        </is>
      </c>
      <c r="E618" s="18" t="inlineStr">
        <is>
          <t>Maillots Paris Basketball au meilleur prix | Basket4Ballers</t>
        </is>
      </c>
      <c r="F618" s="17" t="inlineStr">
        <is>
          <t>Collection officielle du Paris Basketball : maillots, vêtements et accessoires du club parisien d’Euroligue, en plusieurs tailles, livrés en 72 h max.</t>
        </is>
      </c>
      <c r="G618" s="19" t="inlineStr">
        <is>
          <t>https://www.basket4ballers.com/fr/494-paris-basketball</t>
        </is>
      </c>
      <c r="H618" s="20" t="n">
        <v>8276</v>
      </c>
      <c r="I618" s="20" t="n">
        <v>16</v>
      </c>
      <c r="J618" s="21">
        <f>IF(H618=0,0,I618/H618)</f>
        <v/>
      </c>
    </row>
    <row r="619">
      <c r="A619" s="17" t="inlineStr">
        <is>
          <t>Basket4ballers</t>
        </is>
      </c>
      <c r="B619" s="17" t="inlineStr">
        <is>
          <t>Live</t>
        </is>
      </c>
      <c r="C619" s="17" t="inlineStr">
        <is>
          <t>Basket4ballers</t>
        </is>
      </c>
      <c r="D619" s="17" t="inlineStr">
        <is>
          <t>Vêtements enfants</t>
        </is>
      </c>
      <c r="E619" s="18" t="inlineStr">
        <is>
          <t>Survêtement Jordan Enfant Diamond Fleece black</t>
        </is>
      </c>
      <c r="F619" s="17" t="inlineStr">
        <is>
          <t>Ensemble Jordan Enfant Diamond Fleece black</t>
        </is>
      </c>
      <c r="G619" s="19" t="inlineStr">
        <is>
          <t>https://www.basket4ballers.com/fr/vetements-lifestyle/18397-ensemble-jordan-enfant-diamond-fleece-black.html?utm_source=lemrock&amp;utm_medium=cpc&amp;utm_campaign=lemrock#/417-tailles-6_mois</t>
        </is>
      </c>
      <c r="H619" s="20" t="n">
        <v>6296</v>
      </c>
      <c r="I619" s="20" t="n">
        <v>16</v>
      </c>
      <c r="J619" s="21">
        <f>IF(H619=0,0,I619/H619)</f>
        <v/>
      </c>
    </row>
    <row r="620">
      <c r="A620" s="17" t="inlineStr">
        <is>
          <t>Basket4ballers</t>
        </is>
      </c>
      <c r="B620" s="17" t="inlineStr">
        <is>
          <t>Live</t>
        </is>
      </c>
      <c r="C620" s="17" t="inlineStr">
        <is>
          <t>Basket4ballers</t>
        </is>
      </c>
      <c r="D620" s="17" t="inlineStr">
        <is>
          <t>Protections et manchons</t>
        </is>
      </c>
      <c r="E620" s="18" t="inlineStr">
        <is>
          <t>Genouillères Mc David Hexforce Hexpad Extended Leg Black</t>
        </is>
      </c>
      <c r="F620" s="17" t="inlineStr">
        <is>
          <t>Vendu par paire</t>
        </is>
      </c>
      <c r="G620" s="19" t="inlineStr">
        <is>
          <t>https://www.basket4ballers.com/fr/coudieres-et-genouilleres/16861-hexforce-hexpad-extended-leg-sleeves-black-6446r-bk.html?utm_source=lemrock&amp;utm_medium=cpc&amp;utm_campaign=lemrock#/69-tailles-m</t>
        </is>
      </c>
      <c r="H620" s="20" t="n">
        <v>6282</v>
      </c>
      <c r="I620" s="20" t="n">
        <v>32</v>
      </c>
      <c r="J620" s="21">
        <f>IF(H620=0,0,I620/H620)</f>
        <v/>
      </c>
    </row>
    <row r="621">
      <c r="A621" s="17" t="inlineStr">
        <is>
          <t>Basket4ballers</t>
        </is>
      </c>
      <c r="B621" s="17" t="inlineStr">
        <is>
          <t>Live</t>
        </is>
      </c>
      <c r="C621" s="17" t="inlineStr">
        <is>
          <t>Basket4ballers</t>
        </is>
      </c>
      <c r="D621" s="17" t="inlineStr">
        <is>
          <t>Vêtements et tenues de basket</t>
        </is>
      </c>
      <c r="E621" s="18" t="inlineStr">
        <is>
          <t>Vêtements de basket en promo prix bas | Basket4Ballers</t>
        </is>
      </c>
      <c r="F621" s="17" t="inlineStr">
        <is>
          <t>Vêtements de basket en promotion : t-shirts, shorts, sweats et survêtements Nike, Jordan, Adidas et Puma à prix réduit, livrés en 72 h max.</t>
        </is>
      </c>
      <c r="G621" s="19" t="inlineStr">
        <is>
          <t>https://www.basket4ballers.com/fr/452-promotions-vetements-de-basket</t>
        </is>
      </c>
      <c r="H621" s="20" t="n">
        <v>6224</v>
      </c>
      <c r="I621" s="20" t="n">
        <v>18</v>
      </c>
      <c r="J621" s="21">
        <f>IF(H621=0,0,I621/H621)</f>
        <v/>
      </c>
    </row>
    <row r="622">
      <c r="A622" s="17" t="inlineStr">
        <is>
          <t>Basket4ballers</t>
        </is>
      </c>
      <c r="B622" s="17" t="inlineStr">
        <is>
          <t>Live</t>
        </is>
      </c>
      <c r="C622" s="17" t="inlineStr">
        <is>
          <t>Basket4ballers</t>
        </is>
      </c>
      <c r="D622" s="17" t="inlineStr">
        <is>
          <t>Chaussures et sneakers</t>
        </is>
      </c>
      <c r="E622" s="18" t="inlineStr">
        <is>
          <t>Nike Air Force 1 '07 Wheat - Basket4Ballers</t>
        </is>
      </c>
      <c r="F622" s="17" t="inlineStr">
        <is>
          <t>Sneakers Nike AF1 coloris Timberland</t>
        </is>
      </c>
      <c r="G622" s="19" t="inlineStr">
        <is>
          <t>https://www.basket4ballers.com/fr/basket-sneakers/21504-nike-air-force-1-07-wheat-cj9179-200.html?utm_source=lemrock&amp;utm_medium=cpc&amp;utm_campaign=lemrock#/97-tailles-405</t>
        </is>
      </c>
      <c r="H622" s="20" t="n">
        <v>6035</v>
      </c>
      <c r="I622" s="20" t="n">
        <v>25</v>
      </c>
      <c r="J622" s="21">
        <f>IF(H622=0,0,I622/H622)</f>
        <v/>
      </c>
    </row>
    <row r="623">
      <c r="A623" s="17" t="inlineStr">
        <is>
          <t>Basket4ballers</t>
        </is>
      </c>
      <c r="B623" s="17" t="inlineStr">
        <is>
          <t>Live</t>
        </is>
      </c>
      <c r="C623" s="17" t="inlineStr">
        <is>
          <t>Basket4ballers</t>
        </is>
      </c>
      <c r="D623" s="17" t="inlineStr">
        <is>
          <t>eCommerce</t>
        </is>
      </c>
      <c r="E623" s="18" t="inlineStr">
        <is>
          <t>Sac Air Jordan Pivot Duffle Red - Basket4Ballers</t>
        </is>
      </c>
      <c r="F623" s="17" t="inlineStr">
        <is>
          <t>Achetez sur la boutique en ligne Basket4Ballers, le Sac Air Jordan Pivot Duffle Red ! Textile Air Jordan également disponible.</t>
        </is>
      </c>
      <c r="G623" s="19" t="inlineStr">
        <is>
          <t>https://www.basket4ballers.com/fr/accessoires-basketball/18697-sac-air-jordan-pivot-duffle-red.html?utm_source=lemrock&amp;utm_medium=cpc&amp;utm_campaign=lemrock#/91-tailles-taille_unique</t>
        </is>
      </c>
      <c r="H623" s="20" t="n">
        <v>6007</v>
      </c>
      <c r="I623" s="20" t="n">
        <v>17</v>
      </c>
      <c r="J623" s="21">
        <f>IF(H623=0,0,I623/H623)</f>
        <v/>
      </c>
    </row>
    <row r="624">
      <c r="A624" s="17" t="inlineStr">
        <is>
          <t>Basket4ballers</t>
        </is>
      </c>
      <c r="B624" s="17" t="inlineStr">
        <is>
          <t>Live</t>
        </is>
      </c>
      <c r="C624" s="17" t="inlineStr">
        <is>
          <t>Basket4ballers</t>
        </is>
      </c>
      <c r="D624" s="17" t="inlineStr">
        <is>
          <t>eCommerce</t>
        </is>
      </c>
      <c r="E624" s="18" t="inlineStr">
        <is>
          <t>Genouillères Mc David Hexforce Hexpad Extended Leg Black</t>
        </is>
      </c>
      <c r="F624" s="17" t="inlineStr">
        <is>
          <t>Vendu par paire</t>
        </is>
      </c>
      <c r="G624" s="19" t="inlineStr">
        <is>
          <t>https://www.basket4ballers.com/fr/coudieres-et-genouilleres/16861-hexforce-hexpad-extended-leg-sleeves-black-6446r-bk.html?utm_source=lemrock&amp;utm_medium=cpc&amp;utm_campaign=lemrock#/69-tailles-m</t>
        </is>
      </c>
      <c r="H624" s="20" t="n">
        <v>5833</v>
      </c>
      <c r="I624" s="20" t="n">
        <v>29</v>
      </c>
      <c r="J624" s="21">
        <f>IF(H624=0,0,I624/H624)</f>
        <v/>
      </c>
    </row>
    <row r="625">
      <c r="A625" s="17" t="inlineStr">
        <is>
          <t>Basket4ballers</t>
        </is>
      </c>
      <c r="B625" s="17" t="inlineStr">
        <is>
          <t>Live</t>
        </is>
      </c>
      <c r="C625" s="17" t="inlineStr">
        <is>
          <t>Basket4ballers</t>
        </is>
      </c>
      <c r="D625" s="17" t="inlineStr">
        <is>
          <t>Protections et manchons</t>
        </is>
      </c>
      <c r="E625" s="18" t="inlineStr">
        <is>
          <t>Poignets éponges Jordan Jumpman Gym Red - Basket4Ballers</t>
        </is>
      </c>
      <c r="F625" s="17" t="inlineStr">
        <is>
          <t>Vendus par paire</t>
        </is>
      </c>
      <c r="G625" s="19" t="inlineStr">
        <is>
          <t>https://www.basket4ballers.com/fr/jordan-basketball/13462-jordan-jumpman-wristband-gym-red-bla-jkn01605os.html?utm_source=lemrock&amp;utm_medium=cpc&amp;utm_campaign=lemrock#/91-tailles-taille_unique</t>
        </is>
      </c>
      <c r="H625" s="20" t="n">
        <v>5825</v>
      </c>
      <c r="I625" s="20" t="n">
        <v>43</v>
      </c>
      <c r="J625" s="21">
        <f>IF(H625=0,0,I625/H625)</f>
        <v/>
      </c>
    </row>
    <row r="626">
      <c r="A626" s="17" t="inlineStr">
        <is>
          <t>Basket4ballers</t>
        </is>
      </c>
      <c r="B626" s="17" t="inlineStr">
        <is>
          <t>Live</t>
        </is>
      </c>
      <c r="C626" s="17" t="inlineStr">
        <is>
          <t>Basket4ballers</t>
        </is>
      </c>
      <c r="D626" s="17" t="inlineStr">
        <is>
          <t>Accessoires et petits équipements</t>
        </is>
      </c>
      <c r="E626" s="18" t="inlineStr">
        <is>
          <t>Ballon basket enfant Nike Skills - Basket4Ballers</t>
        </is>
      </c>
      <c r="F626" s="17" t="inlineStr">
        <is>
          <t>Ballon basket enfant taille 3 Nike Skills</t>
        </is>
      </c>
      <c r="G626" s="19" t="inlineStr">
        <is>
          <t>https://www.basket4ballers.com/fr/accessoires-basketball/21904-nike-skills-nike-skills-orablawhi-nki08879.html?utm_source=lemrock&amp;utm_medium=cpc&amp;utm_campaign=lemrock#/205-tailles-taille_3</t>
        </is>
      </c>
      <c r="H626" s="20" t="n">
        <v>5738</v>
      </c>
      <c r="I626" s="20" t="n">
        <v>33</v>
      </c>
      <c r="J626" s="21">
        <f>IF(H626=0,0,I626/H626)</f>
        <v/>
      </c>
    </row>
    <row r="627">
      <c r="A627" s="17" t="inlineStr">
        <is>
          <t>Basket4ballers</t>
        </is>
      </c>
      <c r="B627" s="17" t="inlineStr">
        <is>
          <t>Live</t>
        </is>
      </c>
      <c r="C627" s="17" t="inlineStr">
        <is>
          <t>Basket4ballers</t>
        </is>
      </c>
      <c r="D627" s="17" t="inlineStr">
        <is>
          <t>Protections et manchons</t>
        </is>
      </c>
      <c r="E627" s="18" t="inlineStr">
        <is>
          <t>Coudière Nike Pro Elite Sleeve 2.0 black - Basket4Ballers</t>
        </is>
      </c>
      <c r="F627" s="17" t="inlineStr">
        <is>
          <t>Manchon Nike Basket noir vendu à l'unité</t>
        </is>
      </c>
      <c r="G627" s="19" t="inlineStr">
        <is>
          <t>https://www.basket4ballers.com/fr/coudieres-et-genouilleres/20553-nike-pro-elite-sleeve-20-nike-pro-elite-sleeve-20-blawhi-n0003146027.html?utm_source=lemrock&amp;utm_medium=cpc&amp;utm_campaign=lemrock#/250-tailles-l_xl</t>
        </is>
      </c>
      <c r="H627" s="20" t="n">
        <v>5545</v>
      </c>
      <c r="I627" s="20" t="n">
        <v>23</v>
      </c>
      <c r="J627" s="21">
        <f>IF(H627=0,0,I627/H627)</f>
        <v/>
      </c>
    </row>
    <row r="628">
      <c r="A628" s="17" t="inlineStr">
        <is>
          <t>Basket4ballers</t>
        </is>
      </c>
      <c r="B628" s="17" t="inlineStr">
        <is>
          <t>Live</t>
        </is>
      </c>
      <c r="C628" s="17" t="inlineStr">
        <is>
          <t>Basket4ballers</t>
        </is>
      </c>
      <c r="D628" s="17" t="inlineStr">
        <is>
          <t>eCommerce</t>
        </is>
      </c>
      <c r="E628" s="18" t="inlineStr">
        <is>
          <t>Baseball-Shirt MLB Chicago White Sox Nike Official Replica</t>
        </is>
      </c>
      <c r="F628" s="17" t="inlineStr">
        <is>
          <t>Chicago White Sox MLB Nike Official Replica Alternate JerseyPro Black</t>
        </is>
      </c>
      <c r="G628" s="19" t="inlineStr">
        <is>
          <t>https://www.basket4ballers.com/fr/chemises-baseball/22238-chicago-white-sox-mlb-nike-official-replica-alternate-jerseypro-black-t770rxbarxxva.html?utm_source=lemrock&amp;utm_medium=cpc&amp;utm_campaign=lemrock#/69-tailles-m</t>
        </is>
      </c>
      <c r="H628" s="20" t="n">
        <v>5445</v>
      </c>
      <c r="I628" s="20" t="n">
        <v>45</v>
      </c>
      <c r="J628" s="21">
        <f>IF(H628=0,0,I628/H628)</f>
        <v/>
      </c>
    </row>
    <row r="629">
      <c r="A629" s="17" t="inlineStr">
        <is>
          <t>Basket4ballers</t>
        </is>
      </c>
      <c r="B629" s="17" t="inlineStr">
        <is>
          <t>Live</t>
        </is>
      </c>
      <c r="C629" s="17" t="inlineStr">
        <is>
          <t>Basket4ballers</t>
        </is>
      </c>
      <c r="D629" s="17" t="inlineStr">
        <is>
          <t>Vêtements enfants</t>
        </is>
      </c>
      <c r="E629" s="18" t="inlineStr">
        <is>
          <t>Sweat Jordan enfant Jumpman Logo Fleece Po grey</t>
        </is>
      </c>
      <c r="F629" s="17" t="inlineStr">
        <is>
          <t>Jdb jumpman logo fleece po</t>
        </is>
      </c>
      <c r="G629" s="19" t="inlineStr">
        <is>
          <t>https://www.basket4ballers.com/fr/vetements-lifestyle/20868-jdb-jumpman-logo-fleece-po-956326-geh.html?utm_source=lemrock&amp;utm_medium=cpc&amp;utm_campaign=lemrock#/397-tailles-8_10_ans</t>
        </is>
      </c>
      <c r="H629" s="20" t="n">
        <v>5317</v>
      </c>
      <c r="I629" s="20" t="n">
        <v>17</v>
      </c>
      <c r="J629" s="21">
        <f>IF(H629=0,0,I629/H629)</f>
        <v/>
      </c>
    </row>
    <row r="630">
      <c r="A630" s="17" t="inlineStr">
        <is>
          <t>Basket4ballers</t>
        </is>
      </c>
      <c r="B630" s="17" t="inlineStr">
        <is>
          <t>Live</t>
        </is>
      </c>
      <c r="C630" s="17" t="inlineStr">
        <is>
          <t>Basket4ballers</t>
        </is>
      </c>
      <c r="D630" s="17" t="inlineStr">
        <is>
          <t>Protections et manchons</t>
        </is>
      </c>
      <c r="E630" s="18" t="inlineStr">
        <is>
          <t>Short de Compression Mc David Black - Basket4Ballers</t>
        </is>
      </c>
      <c r="F630" s="17" t="inlineStr">
        <is>
          <t>Short de compression McDavid en nylon et élasthanne. Le tissu doté de la technologie hDc disperse et évacue rapidement la transpiration pour une fraîcheur optimale. Grâce à sa</t>
        </is>
      </c>
      <c r="G630" s="19" t="inlineStr">
        <is>
          <t>https://www.basket4ballers.com/fr/vetements/20025-short-de-compression.html?utm_source=lemrock&amp;utm_medium=cpc&amp;utm_campaign=lemrock#/68-tailles-s</t>
        </is>
      </c>
      <c r="H630" s="20" t="n">
        <v>5292</v>
      </c>
      <c r="I630" s="20" t="n">
        <v>14</v>
      </c>
      <c r="J630" s="21">
        <f>IF(H630=0,0,I630/H630)</f>
        <v/>
      </c>
    </row>
    <row r="631">
      <c r="A631" s="17" t="inlineStr">
        <is>
          <t>Basket4ballers</t>
        </is>
      </c>
      <c r="B631" s="17" t="inlineStr">
        <is>
          <t>Live</t>
        </is>
      </c>
      <c r="C631" s="17" t="inlineStr">
        <is>
          <t>Basket4ballers</t>
        </is>
      </c>
      <c r="D631" s="17" t="inlineStr">
        <is>
          <t>eCommerce</t>
        </is>
      </c>
      <c r="E631" s="18" t="inlineStr">
        <is>
          <t>Gourde Nike Big Mouth Bottle 2.0 22oz blue - Basket4Ballers</t>
        </is>
      </c>
      <c r="F631" s="17" t="inlineStr">
        <is>
          <t>Gourde Nike Big Mouth Bottle 2.0 22oz blue</t>
        </is>
      </c>
      <c r="G631" s="19" t="inlineStr">
        <is>
          <t>https://www.basket4ballers.com/fr/accessoires-basketball/19742-nike-big-mouth-bottle-20-22-oz-nike-big-mouth-bottle-20-blubluwhi-n0000042408.html?utm_source=lemrock&amp;utm_medium=cpc&amp;utm_campaign=lemrock#/91-tailles-taille_unique</t>
        </is>
      </c>
      <c r="H631" s="20" t="n">
        <v>5268</v>
      </c>
      <c r="I631" s="20" t="n">
        <v>17</v>
      </c>
      <c r="J631" s="21">
        <f>IF(H631=0,0,I631/H631)</f>
        <v/>
      </c>
    </row>
    <row r="632">
      <c r="A632" s="17" t="inlineStr">
        <is>
          <t>Basket4ballers</t>
        </is>
      </c>
      <c r="B632" s="17" t="inlineStr">
        <is>
          <t>Live</t>
        </is>
      </c>
      <c r="C632" s="17" t="inlineStr">
        <is>
          <t>Basket4ballers</t>
        </is>
      </c>
      <c r="D632" s="17" t="inlineStr">
        <is>
          <t>eCommerce</t>
        </is>
      </c>
      <c r="E632" s="18" t="inlineStr">
        <is>
          <t>Short de Compression Mc David Black - Basket4Ballers</t>
        </is>
      </c>
      <c r="F632" s="17" t="inlineStr">
        <is>
          <t>Short de compression McDavid en nylon et élasthanne. Le tissu doté de la technologie hDc disperse et évacue rapidement la transpiration pour une fraîcheur optimale. Grâce à sa</t>
        </is>
      </c>
      <c r="G632" s="19" t="inlineStr">
        <is>
          <t>https://www.basket4ballers.com/fr/vetements/20025-short-de-compression.html?utm_source=lemrock&amp;utm_medium=cpc&amp;utm_campaign=lemrock#/68-tailles-s</t>
        </is>
      </c>
      <c r="H632" s="20" t="n">
        <v>5151</v>
      </c>
      <c r="I632" s="20" t="n">
        <v>26</v>
      </c>
      <c r="J632" s="21">
        <f>IF(H632=0,0,I632/H632)</f>
        <v/>
      </c>
    </row>
    <row r="633">
      <c r="A633" s="17" t="inlineStr">
        <is>
          <t>Basket4ballers</t>
        </is>
      </c>
      <c r="B633" s="17" t="inlineStr">
        <is>
          <t>Live</t>
        </is>
      </c>
      <c r="C633" s="17" t="inlineStr">
        <is>
          <t>Basket4ballers</t>
        </is>
      </c>
      <c r="D633" s="17" t="inlineStr">
        <is>
          <t>Vêtements enfants</t>
        </is>
      </c>
      <c r="E633" s="18" t="inlineStr">
        <is>
          <t>Ensemble T-shirt short enfant Jordan Sticker grey</t>
        </is>
      </c>
      <c r="F633" s="17" t="inlineStr">
        <is>
          <t>Jdb mjss crew ss tee short set</t>
        </is>
      </c>
      <c r="G633" s="19" t="inlineStr">
        <is>
          <t>https://www.basket4ballers.com/fr/vetements-lifestyle/21440-t-shirt-jdb-mjss-crew-ss-tee-short-set-656955-g6p.html?utm_source=lemrock&amp;utm_medium=cpc&amp;utm_campaign=lemrock#/391-tailles-12_mois</t>
        </is>
      </c>
      <c r="H633" s="20" t="n">
        <v>5100</v>
      </c>
      <c r="I633" s="20" t="n">
        <v>22</v>
      </c>
      <c r="J633" s="21">
        <f>IF(H633=0,0,I633/H633)</f>
        <v/>
      </c>
    </row>
    <row r="634">
      <c r="A634" s="17" t="inlineStr">
        <is>
          <t>Basket4ballers</t>
        </is>
      </c>
      <c r="B634" s="17" t="inlineStr">
        <is>
          <t>Live</t>
        </is>
      </c>
      <c r="C634" s="17" t="inlineStr">
        <is>
          <t>Basket4ballers</t>
        </is>
      </c>
      <c r="D634" s="17" t="inlineStr">
        <is>
          <t>eCommerce</t>
        </is>
      </c>
      <c r="E634" s="18" t="inlineStr">
        <is>
          <t>Puma Platform Elements</t>
        </is>
      </c>
      <c r="F634" s="17" t="inlineStr">
        <is>
          <t>Commander une Puma by Rihanna Creeper chez basket4ballers.</t>
        </is>
      </c>
      <c r="G634" s="19" t="inlineStr">
        <is>
          <t>https://www.basket4ballers.com/fr/basket-sneakers/11188-puma-platform-elements.html?utm_source=lemrock&amp;utm_medium=cpc&amp;utm_campaign=lemrock#/158-tailles-37</t>
        </is>
      </c>
      <c r="H634" s="20" t="n">
        <v>4941</v>
      </c>
      <c r="I634" s="20" t="n">
        <v>18</v>
      </c>
      <c r="J634" s="21">
        <f>IF(H634=0,0,I634/H634)</f>
        <v/>
      </c>
    </row>
    <row r="635">
      <c r="A635" s="17" t="inlineStr">
        <is>
          <t>Basket4ballers</t>
        </is>
      </c>
      <c r="B635" s="17" t="inlineStr">
        <is>
          <t>Live</t>
        </is>
      </c>
      <c r="C635" s="17" t="inlineStr">
        <is>
          <t>Basket4ballers</t>
        </is>
      </c>
      <c r="D635" s="17" t="inlineStr">
        <is>
          <t>Accessoires et petits équipements</t>
        </is>
      </c>
      <c r="E635" s="18" t="inlineStr">
        <is>
          <t>Short de Compression Mc David Black - Basket4Ballers</t>
        </is>
      </c>
      <c r="F635" s="17" t="inlineStr">
        <is>
          <t>Short de compression McDavid en nylon et élasthanne. Le tissu doté de la technologie hDc disperse et évacue rapidement la transpiration pour une fraîcheur optimale. Grâce à sa</t>
        </is>
      </c>
      <c r="G635" s="19" t="inlineStr">
        <is>
          <t>https://www.basket4ballers.com/fr/vetements/20025-short-de-compression.html?utm_source=lemrock&amp;utm_medium=cpc&amp;utm_campaign=lemrock#/68-tailles-s</t>
        </is>
      </c>
      <c r="H635" s="20" t="n">
        <v>4773</v>
      </c>
      <c r="I635" s="20" t="n">
        <v>28</v>
      </c>
      <c r="J635" s="21">
        <f>IF(H635=0,0,I635/H635)</f>
        <v/>
      </c>
    </row>
    <row r="636">
      <c r="A636" s="17" t="inlineStr">
        <is>
          <t>Basket4ballers</t>
        </is>
      </c>
      <c r="B636" s="17" t="inlineStr">
        <is>
          <t>Live</t>
        </is>
      </c>
      <c r="C636" s="17" t="inlineStr">
        <is>
          <t>Basket4ballers</t>
        </is>
      </c>
      <c r="D636" s="17" t="inlineStr">
        <is>
          <t>eCommerce</t>
        </is>
      </c>
      <c r="E636" s="18" t="inlineStr">
        <is>
          <t>Coudière Nike Pro Elite Sleeve 2.0 black - Basket4Ballers</t>
        </is>
      </c>
      <c r="F636" s="17" t="inlineStr">
        <is>
          <t>Manchon Nike Basket noir vendu à l'unité</t>
        </is>
      </c>
      <c r="G636" s="19" t="inlineStr">
        <is>
          <t>https://www.basket4ballers.com/fr/coudieres-et-genouilleres/20553-nike-pro-elite-sleeve-20-nike-pro-elite-sleeve-20-blawhi-n0003146027.html?utm_source=lemrock&amp;utm_medium=cpc&amp;utm_campaign=lemrock#/250-tailles-l_xl</t>
        </is>
      </c>
      <c r="H636" s="20" t="n">
        <v>4652</v>
      </c>
      <c r="I636" s="20" t="n">
        <v>21</v>
      </c>
      <c r="J636" s="21">
        <f>IF(H636=0,0,I636/H636)</f>
        <v/>
      </c>
    </row>
    <row r="637">
      <c r="A637" s="17" t="inlineStr">
        <is>
          <t>Basket4ballers</t>
        </is>
      </c>
      <c r="B637" s="17" t="inlineStr">
        <is>
          <t>Live</t>
        </is>
      </c>
      <c r="C637" s="17" t="inlineStr">
        <is>
          <t>Basket4ballers</t>
        </is>
      </c>
      <c r="D637" s="17" t="inlineStr">
        <is>
          <t>Vêtements et tenues de basket</t>
        </is>
      </c>
      <c r="E637" s="18" t="inlineStr">
        <is>
          <t>Tenues de basket au meilleur prix | Basket4Ballers</t>
        </is>
      </c>
      <c r="F637" s="17" t="inlineStr">
        <is>
          <t>Tenues de basket idéales pour la pratique : maillots, shorts, sweats et survêtements Nike, Jordan, Adidas et Puma, reçus en 72 h max seulement.</t>
        </is>
      </c>
      <c r="G637" s="19" t="inlineStr">
        <is>
          <t>https://www.basket4ballers.com/fr/10-vetements</t>
        </is>
      </c>
      <c r="H637" s="20" t="n">
        <v>4548</v>
      </c>
      <c r="I637" s="20" t="n">
        <v>19</v>
      </c>
      <c r="J637" s="21">
        <f>IF(H637=0,0,I637/H637)</f>
        <v/>
      </c>
    </row>
    <row r="638">
      <c r="A638" s="17" t="inlineStr">
        <is>
          <t>Basket4ballers</t>
        </is>
      </c>
      <c r="B638" s="17" t="inlineStr">
        <is>
          <t>Live</t>
        </is>
      </c>
      <c r="C638" s="17" t="inlineStr">
        <is>
          <t>Basket4ballers</t>
        </is>
      </c>
      <c r="D638" s="17" t="inlineStr">
        <is>
          <t>Sous-vêtements techniques et chaussettes</t>
        </is>
      </c>
      <c r="E638" s="18" t="inlineStr">
        <is>
          <t>Chaussettes de basket pas chères | Basket4Ballers</t>
        </is>
      </c>
      <c r="F638" s="17" t="inlineStr">
        <is>
          <t>Chaussettes de basket Nike, Jordan, Adidas et Puma, hautes ou mi-mollet, avec les chaussettes NBA, dans une boutique spécialisée livrant en 72 h max.</t>
        </is>
      </c>
      <c r="G638" s="19" t="inlineStr">
        <is>
          <t>https://www.basket4ballers.com/fr/207-chaussettes</t>
        </is>
      </c>
      <c r="H638" s="20" t="n">
        <v>4527</v>
      </c>
      <c r="I638" s="20" t="n">
        <v>10</v>
      </c>
      <c r="J638" s="21">
        <f>IF(H638=0,0,I638/H638)</f>
        <v/>
      </c>
    </row>
    <row r="639">
      <c r="A639" s="17" t="inlineStr">
        <is>
          <t>Basket4ballers</t>
        </is>
      </c>
      <c r="B639" s="17" t="inlineStr">
        <is>
          <t>Live</t>
        </is>
      </c>
      <c r="C639" s="17" t="inlineStr">
        <is>
          <t>Basket4ballers</t>
        </is>
      </c>
      <c r="D639" s="17" t="inlineStr">
        <is>
          <t>eCommerce</t>
        </is>
      </c>
      <c r="E639" s="18" t="inlineStr">
        <is>
          <t>Poignets éponges Jordan Jumpman Gym Red - Basket4Ballers</t>
        </is>
      </c>
      <c r="F639" s="17" t="inlineStr">
        <is>
          <t>Vendus par paire</t>
        </is>
      </c>
      <c r="G639" s="19" t="inlineStr">
        <is>
          <t>https://www.basket4ballers.com/fr/jordan-basketball/13462-jordan-jumpman-wristband-gym-red-bla-jkn01605os.html?utm_source=lemrock&amp;utm_medium=cpc&amp;utm_campaign=lemrock#/91-tailles-taille_unique</t>
        </is>
      </c>
      <c r="H639" s="20" t="n">
        <v>4518</v>
      </c>
      <c r="I639" s="20" t="n">
        <v>14</v>
      </c>
      <c r="J639" s="21">
        <f>IF(H639=0,0,I639/H639)</f>
        <v/>
      </c>
    </row>
    <row r="640">
      <c r="A640" s="17" t="inlineStr">
        <is>
          <t>Basket4ballers</t>
        </is>
      </c>
      <c r="B640" s="17" t="inlineStr">
        <is>
          <t>Live</t>
        </is>
      </c>
      <c r="C640" s="17" t="inlineStr">
        <is>
          <t>Basket4ballers</t>
        </is>
      </c>
      <c r="D640" s="17" t="inlineStr">
        <is>
          <t>Ballons, sacs et protections</t>
        </is>
      </c>
      <c r="E640" s="18" t="inlineStr">
        <is>
          <t>Accessoires de basket en promo prix bas | Basket4Ballers</t>
        </is>
      </c>
      <c r="F640" s="17" t="inlineStr">
        <is>
          <t>Accessoires de basket en promotion : ballons, sacs, bandeaux, poignets, gourdes et protections à prix réduit, livrés en 72 h max.</t>
        </is>
      </c>
      <c r="G640" s="19" t="inlineStr">
        <is>
          <t>https://www.basket4ballers.com/fr/456-promotions-accessoires-de-basket</t>
        </is>
      </c>
      <c r="H640" s="20" t="n">
        <v>4492</v>
      </c>
      <c r="I640" s="20" t="n">
        <v>29</v>
      </c>
      <c r="J640" s="21">
        <f>IF(H640=0,0,I640/H640)</f>
        <v/>
      </c>
    </row>
    <row r="641">
      <c r="A641" s="17" t="inlineStr">
        <is>
          <t>Basket4ballers</t>
        </is>
      </c>
      <c r="B641" s="17" t="inlineStr">
        <is>
          <t>Live</t>
        </is>
      </c>
      <c r="C641" s="17" t="inlineStr">
        <is>
          <t>Basket4ballers</t>
        </is>
      </c>
      <c r="D641" s="17" t="inlineStr">
        <is>
          <t>Protections et manchons</t>
        </is>
      </c>
      <c r="E641" s="18" t="inlineStr">
        <is>
          <t>Bandeau Nike NBA black - Basket4Ballers</t>
        </is>
      </c>
      <c r="F641" s="17" t="inlineStr">
        <is>
          <t>Bandeau NBA Nike black Composition : 93% Nylon 7% caoutchouc</t>
        </is>
      </c>
      <c r="G641" s="19" t="inlineStr">
        <is>
          <t>https://www.basket4ballers.com/fr/accessoires-basketball/17433-nike-headband-nba-black-black-nkn02001os.html?utm_source=lemrock&amp;utm_medium=cpc&amp;utm_campaign=lemrock#/91-tailles-taille_unique</t>
        </is>
      </c>
      <c r="H641" s="20" t="n">
        <v>4480</v>
      </c>
      <c r="I641" s="20" t="n">
        <v>34</v>
      </c>
      <c r="J641" s="21">
        <f>IF(H641=0,0,I641/H641)</f>
        <v/>
      </c>
    </row>
    <row r="642">
      <c r="A642" s="17" t="inlineStr">
        <is>
          <t>Basket4ballers</t>
        </is>
      </c>
      <c r="B642" s="17" t="inlineStr">
        <is>
          <t>Live</t>
        </is>
      </c>
      <c r="C642" s="17" t="inlineStr">
        <is>
          <t>Basket4ballers</t>
        </is>
      </c>
      <c r="D642" s="17" t="inlineStr">
        <is>
          <t>Protections et manchons</t>
        </is>
      </c>
      <c r="E642" s="18" t="inlineStr">
        <is>
          <t>Pack de 2 coudières Jordan Shooter black - Basket4Ballers</t>
        </is>
      </c>
      <c r="F642" s="17" t="inlineStr">
        <is>
          <t>Pack de 2 coudières Jordan Shooter black</t>
        </is>
      </c>
      <c r="G642" s="19" t="inlineStr">
        <is>
          <t>https://www.basket4ballers.com/fr/jordan-basketball/13464-jordan-shooter-sleeves-black-white-jks04010.html?utm_source=lemrock&amp;utm_medium=cpc&amp;utm_campaign=lemrock#/250-tailles-l_xl</t>
        </is>
      </c>
      <c r="H642" s="20" t="n">
        <v>4478</v>
      </c>
      <c r="I642" s="20" t="n">
        <v>12</v>
      </c>
      <c r="J642" s="21">
        <f>IF(H642=0,0,I642/H642)</f>
        <v/>
      </c>
    </row>
    <row r="643">
      <c r="A643" s="17" t="inlineStr">
        <is>
          <t>Basket4ballers</t>
        </is>
      </c>
      <c r="B643" s="17" t="inlineStr">
        <is>
          <t>Live</t>
        </is>
      </c>
      <c r="C643" s="17" t="inlineStr">
        <is>
          <t>Basket4ballers</t>
        </is>
      </c>
      <c r="D643" s="17" t="inlineStr">
        <is>
          <t>Protections et manchons</t>
        </is>
      </c>
      <c r="E643" s="18" t="inlineStr">
        <is>
          <t>Short de protection Mc David Hex Short Black</t>
        </is>
      </c>
      <c r="F643" s="17" t="inlineStr">
        <is>
          <t>Caractéristiques et avantages Technologie Hex™ de 9 mm légère, respirante et flexible Développé pour protéger des impacts reçus au niveau des crêtes iliaques, de la cuisse et du</t>
        </is>
      </c>
      <c r="G643" s="19" t="inlineStr">
        <is>
          <t>https://www.basket4ballers.com/fr/vetements/16867-short-de-protection-mc-david-hex-short-black.html?utm_source=lemrock&amp;utm_medium=cpc&amp;utm_campaign=lemrock#/69-tailles-m</t>
        </is>
      </c>
      <c r="H643" s="20" t="n">
        <v>4361</v>
      </c>
      <c r="I643" s="20" t="n">
        <v>15</v>
      </c>
      <c r="J643" s="21">
        <f>IF(H643=0,0,I643/H643)</f>
        <v/>
      </c>
    </row>
    <row r="644">
      <c r="A644" s="17" t="inlineStr">
        <is>
          <t>Basket4ballers</t>
        </is>
      </c>
      <c r="B644" s="17" t="inlineStr">
        <is>
          <t>Live</t>
        </is>
      </c>
      <c r="C644" s="17" t="inlineStr">
        <is>
          <t>Basket4ballers</t>
        </is>
      </c>
      <c r="D644" s="17" t="inlineStr">
        <is>
          <t>Accessoires et petits équipements</t>
        </is>
      </c>
      <c r="E644" s="18" t="inlineStr">
        <is>
          <t>Gourde Nike Big Mouth Bottle 2.0 22oz blue - Basket4Ballers</t>
        </is>
      </c>
      <c r="F644" s="17" t="inlineStr">
        <is>
          <t>Gourde Nike Big Mouth Bottle 2.0 22oz blue</t>
        </is>
      </c>
      <c r="G644" s="19" t="inlineStr">
        <is>
          <t>https://www.basket4ballers.com/fr/accessoires-basketball/19742-nike-big-mouth-bottle-20-22-oz-nike-big-mouth-bottle-20-blubluwhi-n0000042408.html?utm_source=lemrock&amp;utm_medium=cpc&amp;utm_campaign=lemrock#/91-tailles-taille_unique</t>
        </is>
      </c>
      <c r="H644" s="20" t="n">
        <v>4266</v>
      </c>
      <c r="I644" s="20" t="n">
        <v>10</v>
      </c>
      <c r="J644" s="21">
        <f>IF(H644=0,0,I644/H644)</f>
        <v/>
      </c>
    </row>
    <row r="645">
      <c r="A645" s="17" t="inlineStr">
        <is>
          <t>Basket4ballers</t>
        </is>
      </c>
      <c r="B645" s="17" t="inlineStr">
        <is>
          <t>Live</t>
        </is>
      </c>
      <c r="C645" s="17" t="inlineStr">
        <is>
          <t>Basket4ballers</t>
        </is>
      </c>
      <c r="D645" s="17" t="inlineStr">
        <is>
          <t>Maillots NBA, équipes et joueurs</t>
        </is>
      </c>
      <c r="E645" s="18" t="inlineStr">
        <is>
          <t>Maillots FC Barcelona basket pas chers | Basket4Ballers</t>
        </is>
      </c>
      <c r="F645" s="17" t="inlineStr">
        <is>
          <t>Maillots et équipement du F.C. Barcelona basket, la section Euroligue du club catalan, en plusieurs tailles, dans une boutique spécialisée livrant en 72 h max.</t>
        </is>
      </c>
      <c r="G645" s="19" t="inlineStr">
        <is>
          <t>https://www.basket4ballers.com/fr/3242-fc-barcelona</t>
        </is>
      </c>
      <c r="H645" s="20" t="n">
        <v>4201</v>
      </c>
      <c r="I645" s="20" t="n">
        <v>15</v>
      </c>
      <c r="J645" s="21">
        <f>IF(H645=0,0,I645/H645)</f>
        <v/>
      </c>
    </row>
    <row r="646">
      <c r="A646" s="17" t="inlineStr">
        <is>
          <t>Basket4ballers</t>
        </is>
      </c>
      <c r="B646" s="17" t="inlineStr">
        <is>
          <t>Live</t>
        </is>
      </c>
      <c r="C646" s="17" t="inlineStr">
        <is>
          <t>Basket4ballers</t>
        </is>
      </c>
      <c r="D646" s="17" t="inlineStr">
        <is>
          <t>Vêtements enfants</t>
        </is>
      </c>
      <c r="E646" s="18" t="inlineStr">
        <is>
          <t>Pantalon Jordan Petit Enfant Jdb Jumpman Logo Fleece Pant</t>
        </is>
      </c>
      <c r="F646" s="17" t="inlineStr">
        <is>
          <t>Pantalon Jordan Petit Enfant Jdb Jumpman Logo Fleece Pant</t>
        </is>
      </c>
      <c r="G646" s="19" t="inlineStr">
        <is>
          <t>https://www.basket4ballers.com/fr/vetements-lifestyle/20874-pantalon-jdb-jumpman-logo-fleece-pant-856327-geh.html?utm_source=lemrock&amp;utm_medium=cpc&amp;utm_campaign=lemrock#/396-tailles-6_7_ans_116_122_cm</t>
        </is>
      </c>
      <c r="H646" s="20" t="n">
        <v>4193</v>
      </c>
      <c r="I646" s="20" t="n">
        <v>13</v>
      </c>
      <c r="J646" s="21">
        <f>IF(H646=0,0,I646/H646)</f>
        <v/>
      </c>
    </row>
    <row r="647">
      <c r="A647" s="17" t="inlineStr">
        <is>
          <t>Basket4ballers</t>
        </is>
      </c>
      <c r="B647" s="17" t="inlineStr">
        <is>
          <t>Live</t>
        </is>
      </c>
      <c r="C647" s="17" t="inlineStr">
        <is>
          <t>Basket4ballers</t>
        </is>
      </c>
      <c r="D647" s="17" t="inlineStr">
        <is>
          <t>Accessoires et petits équipements</t>
        </is>
      </c>
      <c r="E647" s="18" t="inlineStr">
        <is>
          <t>Short de protection Mc David Hex Short Black</t>
        </is>
      </c>
      <c r="F647" s="17" t="inlineStr">
        <is>
          <t>Caractéristiques et avantages Technologie Hex™ de 9 mm légère, respirante et flexible Développé pour protéger des impacts reçus au niveau des crêtes iliaques, de la cuisse et du</t>
        </is>
      </c>
      <c r="G647" s="19" t="inlineStr">
        <is>
          <t>https://www.basket4ballers.com/fr/vetements/16867-short-de-protection-mc-david-hex-short-black.html?utm_source=lemrock&amp;utm_medium=cpc&amp;utm_campaign=lemrock#/69-tailles-m</t>
        </is>
      </c>
      <c r="H647" s="20" t="n">
        <v>4164</v>
      </c>
      <c r="I647" s="20" t="n">
        <v>16</v>
      </c>
      <c r="J647" s="21">
        <f>IF(H647=0,0,I647/H647)</f>
        <v/>
      </c>
    </row>
    <row r="648">
      <c r="A648" s="17" t="inlineStr">
        <is>
          <t>Basket4ballers</t>
        </is>
      </c>
      <c r="B648" s="17" t="inlineStr">
        <is>
          <t>Live</t>
        </is>
      </c>
      <c r="C648" s="17" t="inlineStr">
        <is>
          <t>Basket4ballers</t>
        </is>
      </c>
      <c r="D648" s="17" t="inlineStr">
        <is>
          <t>Protections et manchons</t>
        </is>
      </c>
      <c r="E648" s="18" t="inlineStr">
        <is>
          <t>Ensemble T-shirt short enfant Jordan Sticker grey</t>
        </is>
      </c>
      <c r="F648" s="17" t="inlineStr">
        <is>
          <t>Jdb mjss crew ss tee short set</t>
        </is>
      </c>
      <c r="G648" s="19" t="inlineStr">
        <is>
          <t>https://www.basket4ballers.com/fr/vetements-lifestyle/21440-t-shirt-jdb-mjss-crew-ss-tee-short-set-656955-g6p.html?utm_source=lemrock&amp;utm_medium=cpc&amp;utm_campaign=lemrock#/391-tailles-12_mois</t>
        </is>
      </c>
      <c r="H648" s="20" t="n">
        <v>4158</v>
      </c>
      <c r="I648" s="20" t="n">
        <v>20</v>
      </c>
      <c r="J648" s="21">
        <f>IF(H648=0,0,I648/H648)</f>
        <v/>
      </c>
    </row>
    <row r="649">
      <c r="A649" s="17" t="inlineStr">
        <is>
          <t>Basket4ballers</t>
        </is>
      </c>
      <c r="B649" s="17" t="inlineStr">
        <is>
          <t>Live</t>
        </is>
      </c>
      <c r="C649" s="17" t="inlineStr">
        <is>
          <t>Basket4ballers</t>
        </is>
      </c>
      <c r="D649" s="17" t="inlineStr">
        <is>
          <t>Protections et manchons</t>
        </is>
      </c>
      <c r="E649" s="18" t="inlineStr">
        <is>
          <t>Bandeau Jordan Jumpman blanc - Basket4Ballers</t>
        </is>
      </c>
      <c r="F649" s="17" t="inlineStr">
        <is>
          <t>Bandeau Jordan Jumpman white</t>
        </is>
      </c>
      <c r="G649" s="19" t="inlineStr">
        <is>
          <t>https://www.basket4ballers.com/fr/jordan-basketball/13461-jordan-jumpman-headband-white-black-jkn00101os.html?utm_source=lemrock&amp;utm_medium=cpc&amp;utm_campaign=lemrock#/91-tailles-taille_unique</t>
        </is>
      </c>
      <c r="H649" s="20" t="n">
        <v>4140</v>
      </c>
      <c r="I649" s="20" t="n">
        <v>9</v>
      </c>
      <c r="J649" s="21">
        <f>IF(H649=0,0,I649/H649)</f>
        <v/>
      </c>
    </row>
    <row r="650">
      <c r="A650" s="17" t="inlineStr">
        <is>
          <t>Basket4ballers</t>
        </is>
      </c>
      <c r="B650" s="17" t="inlineStr">
        <is>
          <t>Live</t>
        </is>
      </c>
      <c r="C650" s="17" t="inlineStr">
        <is>
          <t>Basket4ballers</t>
        </is>
      </c>
      <c r="D650" s="17" t="inlineStr">
        <is>
          <t>Chaussures et sneakers</t>
        </is>
      </c>
      <c r="E650" s="18" t="inlineStr">
        <is>
          <t>Nike Air Max Infuriate II Premium white - Basket4Ballers</t>
        </is>
      </c>
      <c r="F650" s="17" t="inlineStr">
        <is>
          <t>SPEED AND POWER, LOCKED IN. The anticipated sequel to one of Nike Basketball's newest offerings, Nike Air Max Infuriate II Premium Men's Basketball Shoe locks you in with a</t>
        </is>
      </c>
      <c r="G650" s="19" t="inlineStr">
        <is>
          <t>https://www.basket4ballers.com/fr/basketball/17121-nike-air-max-infuriate-ii-premium-white-vast-grey-night-purple-aj1933-140.html?utm_source=lemrock&amp;utm_medium=cpc&amp;utm_campaign=lemrock#/129-tailles-385</t>
        </is>
      </c>
      <c r="H650" s="20" t="n">
        <v>4109</v>
      </c>
      <c r="I650" s="20" t="n">
        <v>23</v>
      </c>
      <c r="J650" s="21">
        <f>IF(H650=0,0,I650/H650)</f>
        <v/>
      </c>
    </row>
    <row r="651">
      <c r="A651" s="17" t="inlineStr">
        <is>
          <t>Basket4ballers</t>
        </is>
      </c>
      <c r="B651" s="17" t="inlineStr">
        <is>
          <t>Live</t>
        </is>
      </c>
      <c r="C651" s="17" t="inlineStr">
        <is>
          <t>Basket4ballers</t>
        </is>
      </c>
      <c r="D651" s="17" t="inlineStr">
        <is>
          <t>Accessoires et petits équipements</t>
        </is>
      </c>
      <c r="E651" s="18" t="inlineStr">
        <is>
          <t>Chaussettes Jordan Ultimate Flight Quarter 2.0 Basketball</t>
        </is>
      </c>
      <c r="F651" s="17" t="inlineStr">
        <is>
          <t>Jordan Ultimate Flight Quarter 2.0 Basketball Socks ZONED COOLING. SWEAT WICKING. TARGETED CUSHIONING. The Jordan Ultimate Flight Quarter 2.0 Basketball Socks feature a plush</t>
        </is>
      </c>
      <c r="G651" s="19" t="inlineStr">
        <is>
          <t>https://www.basket4ballers.com/fr/jordan-basketball/16920-chaussettes-jordan-ultimate-flight-quarter-20-basketball-socks-black-white-sx5855-011.html?utm_source=lemrock&amp;utm_medium=cpc&amp;utm_campaign=lemrock#/128-tailles-34_38</t>
        </is>
      </c>
      <c r="H651" s="20" t="n">
        <v>4103</v>
      </c>
      <c r="I651" s="20" t="n">
        <v>21</v>
      </c>
      <c r="J651" s="21">
        <f>IF(H651=0,0,I651/H651)</f>
        <v/>
      </c>
    </row>
    <row r="652">
      <c r="A652" s="17" t="inlineStr">
        <is>
          <t>Basket4ballers</t>
        </is>
      </c>
      <c r="B652" s="17" t="inlineStr">
        <is>
          <t>Live</t>
        </is>
      </c>
      <c r="C652" s="17" t="inlineStr">
        <is>
          <t>Basket4ballers</t>
        </is>
      </c>
      <c r="D652" s="17" t="inlineStr">
        <is>
          <t>Accessoires et petits équipements</t>
        </is>
      </c>
      <c r="E652" s="18" t="inlineStr">
        <is>
          <t>Poignets éponges Jordan Jumpman Gym Red - Basket4Ballers</t>
        </is>
      </c>
      <c r="F652" s="17" t="inlineStr">
        <is>
          <t>Vendus par paire</t>
        </is>
      </c>
      <c r="G652" s="19" t="inlineStr">
        <is>
          <t>https://www.basket4ballers.com/fr/jordan-basketball/13462-jordan-jumpman-wristband-gym-red-bla-jkn01605os.html?utm_source=lemrock&amp;utm_medium=cpc&amp;utm_campaign=lemrock#/91-tailles-taille_unique</t>
        </is>
      </c>
      <c r="H652" s="20" t="n">
        <v>4078</v>
      </c>
      <c r="I652" s="20" t="n">
        <v>15</v>
      </c>
      <c r="J652" s="21">
        <f>IF(H652=0,0,I652/H652)</f>
        <v/>
      </c>
    </row>
    <row r="653">
      <c r="A653" s="17" t="inlineStr">
        <is>
          <t>Basket4ballers</t>
        </is>
      </c>
      <c r="B653" s="17" t="inlineStr">
        <is>
          <t>Live</t>
        </is>
      </c>
      <c r="C653" s="17" t="inlineStr">
        <is>
          <t>Basket4ballers</t>
        </is>
      </c>
      <c r="D653" s="17" t="inlineStr">
        <is>
          <t>Sous-vêtements techniques et chaussettes</t>
        </is>
      </c>
      <c r="E653" s="18" t="inlineStr">
        <is>
          <t>Sous-vêtements de compression prix bas | Basket4Ballers</t>
        </is>
      </c>
      <c r="F653" s="17" t="inlineStr">
        <is>
          <t>Sous-vêtements techniques et compression pour le basket : manchons, collants et hauts Nike, Jordan et Under Armour, livrés en 72 h max.</t>
        </is>
      </c>
      <c r="G653" s="19" t="inlineStr">
        <is>
          <t>https://www.basket4ballers.com/fr/258-sous-vetements-techniques</t>
        </is>
      </c>
      <c r="H653" s="20" t="n">
        <v>3961</v>
      </c>
      <c r="I653" s="20" t="n">
        <v>25</v>
      </c>
      <c r="J653" s="21">
        <f>IF(H653=0,0,I653/H653)</f>
        <v/>
      </c>
    </row>
    <row r="654">
      <c r="A654" s="17" t="inlineStr">
        <is>
          <t>Basket4ballers</t>
        </is>
      </c>
      <c r="B654" s="17" t="inlineStr">
        <is>
          <t>Live</t>
        </is>
      </c>
      <c r="C654" s="17" t="inlineStr">
        <is>
          <t>Basket4ballers</t>
        </is>
      </c>
      <c r="D654" s="17" t="inlineStr">
        <is>
          <t>Accessoires et petits équipements</t>
        </is>
      </c>
      <c r="E654" s="18" t="inlineStr">
        <is>
          <t>Bandeau Jordan Jumpman blanc - Basket4Ballers</t>
        </is>
      </c>
      <c r="F654" s="17" t="inlineStr">
        <is>
          <t>Bandeau Jordan Jumpman white</t>
        </is>
      </c>
      <c r="G654" s="19" t="inlineStr">
        <is>
          <t>https://www.basket4ballers.com/fr/jordan-basketball/13461-jordan-jumpman-headband-white-black-jkn00101os.html?utm_source=lemrock&amp;utm_medium=cpc&amp;utm_campaign=lemrock#/91-tailles-taille_unique</t>
        </is>
      </c>
      <c r="H654" s="20" t="n">
        <v>3937</v>
      </c>
      <c r="I654" s="20" t="n">
        <v>16</v>
      </c>
      <c r="J654" s="21">
        <f>IF(H654=0,0,I654/H654)</f>
        <v/>
      </c>
    </row>
    <row r="655">
      <c r="A655" s="17" t="inlineStr">
        <is>
          <t>Basket4ballers</t>
        </is>
      </c>
      <c r="B655" s="17" t="inlineStr">
        <is>
          <t>Live</t>
        </is>
      </c>
      <c r="C655" s="17" t="inlineStr">
        <is>
          <t>Basket4ballers</t>
        </is>
      </c>
      <c r="D655" s="17" t="inlineStr">
        <is>
          <t>Accessoires et petits équipements</t>
        </is>
      </c>
      <c r="E655" s="18" t="inlineStr">
        <is>
          <t>Casquette snapback NBA OKC Thunder The League New Era</t>
        </is>
      </c>
      <c r="F655" s="17" t="inlineStr">
        <is>
          <t>Casquette snapback NBA OKC Thunder The League New Era</t>
        </is>
      </c>
      <c r="G655" s="19" t="inlineStr">
        <is>
          <t>https://www.basket4ballers.com/fr/oklahoma-city-thunder/19727-casquette-snapback-nba-okc-thunder-the-league-new-era.html?utm_source=lemrock&amp;utm_medium=cpc&amp;utm_campaign=lemrock#/91-tailles-taille_unique</t>
        </is>
      </c>
      <c r="H655" s="20" t="n">
        <v>3886</v>
      </c>
      <c r="I655" s="20" t="n">
        <v>12</v>
      </c>
      <c r="J655" s="21">
        <f>IF(H655=0,0,I655/H655)</f>
        <v/>
      </c>
    </row>
    <row r="656">
      <c r="A656" s="17" t="inlineStr">
        <is>
          <t>Basket4ballers</t>
        </is>
      </c>
      <c r="B656" s="17" t="inlineStr">
        <is>
          <t>Live</t>
        </is>
      </c>
      <c r="C656" s="17" t="inlineStr">
        <is>
          <t>Basket4ballers</t>
        </is>
      </c>
      <c r="D656" s="17" t="inlineStr">
        <is>
          <t>Ballons, sacs et protections</t>
        </is>
      </c>
      <c r="E656" s="18" t="inlineStr">
        <is>
          <t>Ballons et protections de basket prix bas | Basket4Ballers</t>
        </is>
      </c>
      <c r="F656" s="17" t="inlineStr">
        <is>
          <t>Tous les équipements et accessoires nécessaires à la pratique du basketball : ballons, sacs, protections, bandeaux et gourdes, livrés en 72 h max.</t>
        </is>
      </c>
      <c r="G656" s="19" t="inlineStr">
        <is>
          <t>https://www.basket4ballers.com/fr/4-equipements</t>
        </is>
      </c>
      <c r="H656" s="20" t="n">
        <v>3882</v>
      </c>
      <c r="I656" s="20" t="n">
        <v>27</v>
      </c>
      <c r="J656" s="21">
        <f>IF(H656=0,0,I656/H656)</f>
        <v/>
      </c>
    </row>
    <row r="657">
      <c r="A657" s="17" t="inlineStr">
        <is>
          <t>Basket4ballers</t>
        </is>
      </c>
      <c r="B657" s="17" t="inlineStr">
        <is>
          <t>Live</t>
        </is>
      </c>
      <c r="C657" s="17" t="inlineStr">
        <is>
          <t>Basket4ballers</t>
        </is>
      </c>
      <c r="D657" s="17" t="inlineStr">
        <is>
          <t>Accessoires et petits équipements</t>
        </is>
      </c>
      <c r="E657" s="18" t="inlineStr">
        <is>
          <t>Chaussettes Nike NBA Elite black - Basket4Ballers</t>
        </is>
      </c>
      <c r="F657" s="17" t="inlineStr">
        <is>
          <t>NBA Crew Socks</t>
        </is>
      </c>
      <c r="G657" s="19" t="inlineStr">
        <is>
          <t>https://www.basket4ballers.com/fr/chaussettes/17682-chaussettes-nike-elite-black-white-sx7587-010.html?utm_source=lemrock&amp;utm_medium=cpc&amp;utm_campaign=lemrock#/62-tailles-38_42</t>
        </is>
      </c>
      <c r="H657" s="20" t="n">
        <v>3815</v>
      </c>
      <c r="I657" s="20" t="n">
        <v>17</v>
      </c>
      <c r="J657" s="21">
        <f>IF(H657=0,0,I657/H657)</f>
        <v/>
      </c>
    </row>
    <row r="658">
      <c r="A658" s="17" t="inlineStr">
        <is>
          <t>Basket4ballers</t>
        </is>
      </c>
      <c r="B658" s="17" t="inlineStr">
        <is>
          <t>Live</t>
        </is>
      </c>
      <c r="C658" s="17" t="inlineStr">
        <is>
          <t>Basket4ballers</t>
        </is>
      </c>
      <c r="D658" s="17" t="inlineStr">
        <is>
          <t>Vêtements enfants</t>
        </is>
      </c>
      <c r="E658" s="18" t="inlineStr">
        <is>
          <t>Body Jordan bébé Hbr/dna Romper - Basket4Ballers</t>
        </is>
      </c>
      <c r="F658" s="17" t="inlineStr">
        <is>
          <t>Hbr/dna jrdn jersy romper</t>
        </is>
      </c>
      <c r="G658" s="19" t="inlineStr">
        <is>
          <t>https://www.basket4ballers.com/fr/jordan-enfant/22600-hbr-dna-jrdn-jersy-romper-556169-023.html?utm_source=lemrock&amp;utm_medium=cpc&amp;utm_campaign=lemrock#/420-tailles-3_mois</t>
        </is>
      </c>
      <c r="H658" s="20" t="n">
        <v>3806</v>
      </c>
      <c r="I658" s="20" t="n">
        <v>26</v>
      </c>
      <c r="J658" s="21">
        <f>IF(H658=0,0,I658/H658)</f>
        <v/>
      </c>
    </row>
    <row r="659">
      <c r="A659" s="17" t="inlineStr">
        <is>
          <t>Basket4ballers</t>
        </is>
      </c>
      <c r="B659" s="17" t="inlineStr">
        <is>
          <t>Live</t>
        </is>
      </c>
      <c r="C659" s="17" t="inlineStr">
        <is>
          <t>Basket4ballers</t>
        </is>
      </c>
      <c r="D659" s="17" t="inlineStr">
        <is>
          <t>Accessoires et petits équipements</t>
        </is>
      </c>
      <c r="E659" s="18" t="inlineStr">
        <is>
          <t>Sac Air Jordan Pivot Duffle Red - Basket4Ballers</t>
        </is>
      </c>
      <c r="F659" s="17" t="inlineStr">
        <is>
          <t>Achetez sur la boutique en ligne Basket4Ballers, le Sac Air Jordan Pivot Duffle Red ! Textile Air Jordan également disponible.</t>
        </is>
      </c>
      <c r="G659" s="19" t="inlineStr">
        <is>
          <t>https://www.basket4ballers.com/fr/accessoires-basketball/18697-sac-air-jordan-pivot-duffle-red.html?utm_source=lemrock&amp;utm_medium=cpc&amp;utm_campaign=lemrock#/91-tailles-taille_unique</t>
        </is>
      </c>
      <c r="H659" s="20" t="n">
        <v>3791</v>
      </c>
      <c r="I659" s="20" t="n">
        <v>22</v>
      </c>
      <c r="J659" s="21">
        <f>IF(H659=0,0,I659/H659)</f>
        <v/>
      </c>
    </row>
    <row r="660">
      <c r="A660" s="17" t="inlineStr">
        <is>
          <t>Basket4ballers</t>
        </is>
      </c>
      <c r="B660" s="17" t="inlineStr">
        <is>
          <t>Live</t>
        </is>
      </c>
      <c r="C660" s="17" t="inlineStr">
        <is>
          <t>Basket4ballers</t>
        </is>
      </c>
      <c r="D660" s="17" t="inlineStr">
        <is>
          <t>Vêtements et textile</t>
        </is>
      </c>
      <c r="E660" s="18" t="inlineStr">
        <is>
          <t>Genouillères Mc David Hexforce Hexpad Extended Leg Black</t>
        </is>
      </c>
      <c r="F660" s="17" t="inlineStr">
        <is>
          <t>Vendu par paire</t>
        </is>
      </c>
      <c r="G660" s="19" t="inlineStr">
        <is>
          <t>https://www.basket4ballers.com/fr/coudieres-et-genouilleres/16861-hexforce-hexpad-extended-leg-sleeves-black-6446r-bk.html?utm_source=lemrock&amp;utm_medium=cpc&amp;utm_campaign=lemrock#/69-tailles-m</t>
        </is>
      </c>
      <c r="H660" s="20" t="n">
        <v>3784</v>
      </c>
      <c r="I660" s="20" t="n">
        <v>10</v>
      </c>
      <c r="J660" s="21">
        <f>IF(H660=0,0,I660/H660)</f>
        <v/>
      </c>
    </row>
    <row r="661">
      <c r="A661" s="17" t="inlineStr">
        <is>
          <t>Basket4ballers</t>
        </is>
      </c>
      <c r="B661" s="17" t="inlineStr">
        <is>
          <t>Live</t>
        </is>
      </c>
      <c r="C661" s="17" t="inlineStr">
        <is>
          <t>Basket4ballers</t>
        </is>
      </c>
      <c r="D661" s="17" t="inlineStr">
        <is>
          <t>Accessoires et petits équipements</t>
        </is>
      </c>
      <c r="E661" s="18" t="inlineStr">
        <is>
          <t>Bandeau Nike NBA black - Basket4Ballers</t>
        </is>
      </c>
      <c r="F661" s="17" t="inlineStr">
        <is>
          <t>Bandeau NBA Nike black Composition : 93% Nylon 7% caoutchouc</t>
        </is>
      </c>
      <c r="G661" s="19" t="inlineStr">
        <is>
          <t>https://www.basket4ballers.com/fr/accessoires-basketball/17433-nike-headband-nba-black-black-nkn02001os.html?utm_source=lemrock&amp;utm_medium=cpc&amp;utm_campaign=lemrock#/91-tailles-taille_unique</t>
        </is>
      </c>
      <c r="H661" s="20" t="n">
        <v>3761</v>
      </c>
      <c r="I661" s="20" t="n">
        <v>18</v>
      </c>
      <c r="J661" s="21">
        <f>IF(H661=0,0,I661/H661)</f>
        <v/>
      </c>
    </row>
    <row r="662">
      <c r="A662" s="17" t="inlineStr">
        <is>
          <t>Basket4ballers</t>
        </is>
      </c>
      <c r="B662" s="17" t="inlineStr">
        <is>
          <t>Live</t>
        </is>
      </c>
      <c r="C662" s="17" t="inlineStr">
        <is>
          <t>Basket4ballers</t>
        </is>
      </c>
      <c r="D662" s="17" t="inlineStr">
        <is>
          <t>Protections et manchons</t>
        </is>
      </c>
      <c r="E662" s="18" t="inlineStr">
        <is>
          <t>Body Jordan bébé Hbr/dna Romper - Basket4Ballers</t>
        </is>
      </c>
      <c r="F662" s="17" t="inlineStr">
        <is>
          <t>Hbr/dna jrdn jersy romper</t>
        </is>
      </c>
      <c r="G662" s="19" t="inlineStr">
        <is>
          <t>https://www.basket4ballers.com/fr/jordan-enfant/22600-hbr-dna-jrdn-jersy-romper-556169-023.html?utm_source=lemrock&amp;utm_medium=cpc&amp;utm_campaign=lemrock#/420-tailles-3_mois</t>
        </is>
      </c>
      <c r="H662" s="20" t="n">
        <v>3757</v>
      </c>
      <c r="I662" s="20" t="n">
        <v>22</v>
      </c>
      <c r="J662" s="21">
        <f>IF(H662=0,0,I662/H662)</f>
        <v/>
      </c>
    </row>
    <row r="663">
      <c r="A663" s="17" t="inlineStr">
        <is>
          <t>Basket4ballers</t>
        </is>
      </c>
      <c r="B663" s="17" t="inlineStr">
        <is>
          <t>Live</t>
        </is>
      </c>
      <c r="C663" s="17" t="inlineStr">
        <is>
          <t>Basket4ballers</t>
        </is>
      </c>
      <c r="D663" s="17" t="inlineStr">
        <is>
          <t>Protections et manchons</t>
        </is>
      </c>
      <c r="E663" s="18" t="inlineStr">
        <is>
          <t>Gourde Nike Big Mouth Bottle 2.0 22oz blue - Basket4Ballers</t>
        </is>
      </c>
      <c r="F663" s="17" t="inlineStr">
        <is>
          <t>Gourde Nike Big Mouth Bottle 2.0 22oz blue</t>
        </is>
      </c>
      <c r="G663" s="19" t="inlineStr">
        <is>
          <t>https://www.basket4ballers.com/fr/accessoires-basketball/19742-nike-big-mouth-bottle-20-22-oz-nike-big-mouth-bottle-20-blubluwhi-n0000042408.html?utm_source=lemrock&amp;utm_medium=cpc&amp;utm_campaign=lemrock#/91-tailles-taille_unique</t>
        </is>
      </c>
      <c r="H663" s="20" t="n">
        <v>3729</v>
      </c>
      <c r="I663" s="20" t="n">
        <v>15</v>
      </c>
      <c r="J663" s="21">
        <f>IF(H663=0,0,I663/H663)</f>
        <v/>
      </c>
    </row>
    <row r="664">
      <c r="A664" s="17" t="inlineStr">
        <is>
          <t>Basket4ballers</t>
        </is>
      </c>
      <c r="B664" s="17" t="inlineStr">
        <is>
          <t>Live</t>
        </is>
      </c>
      <c r="C664" s="17" t="inlineStr">
        <is>
          <t>Basket4ballers</t>
        </is>
      </c>
      <c r="D664" s="17" t="inlineStr">
        <is>
          <t>Protections et manchons</t>
        </is>
      </c>
      <c r="E664" s="18" t="inlineStr">
        <is>
          <t>Warm Up NBA Chicago Bulls 1992-93 Mitchell&amp;Ness Authentic</t>
        </is>
      </c>
      <c r="F664" s="17" t="inlineStr">
        <is>
          <t>Warm Up NBA Chicago Bulls 1992-93 Mitchell&amp;Ness Authentic Red</t>
        </is>
      </c>
      <c r="G664" s="19" t="inlineStr">
        <is>
          <t>https://www.basket4ballers.com/fr/chicago-bulls/15766-warm-up-nba-chicago-bulls-1992-93-mitchellness-authentic-red.html?utm_source=lemrock&amp;utm_medium=cpc&amp;utm_campaign=lemrock#/69-tailles-m</t>
        </is>
      </c>
      <c r="H664" s="20" t="n">
        <v>3684</v>
      </c>
      <c r="I664" s="20" t="n">
        <v>19</v>
      </c>
      <c r="J664" s="21">
        <f>IF(H664=0,0,I664/H664)</f>
        <v/>
      </c>
    </row>
    <row r="665">
      <c r="A665" s="17" t="inlineStr">
        <is>
          <t>Basket4ballers</t>
        </is>
      </c>
      <c r="B665" s="17" t="inlineStr">
        <is>
          <t>Live</t>
        </is>
      </c>
      <c r="C665" s="17" t="inlineStr">
        <is>
          <t>Basket4ballers</t>
        </is>
      </c>
      <c r="D665" s="17" t="inlineStr">
        <is>
          <t>Accessoires et petits équipements</t>
        </is>
      </c>
      <c r="E665" s="18" t="inlineStr">
        <is>
          <t>adidas Yung-1 Legend Ivy - Basket4Ballers</t>
        </is>
      </c>
      <c r="F665" s="17" t="inlineStr">
        <is>
          <t>Parcourez les rues de votre ville avec la paire lifestyle signée adidas, la adidas Yung-1 Legend Ivy, disponible sur la boutique en ligne spécialisée dans les sneakers</t>
        </is>
      </c>
      <c r="G665" s="19" t="inlineStr">
        <is>
          <t>https://www.basket4ballers.com/fr/basket-sneakers/19376-adidas-yung-1-legend-ivy.html?utm_source=lemrock&amp;utm_medium=cpc&amp;utm_campaign=lemrock#/74-tailles-38</t>
        </is>
      </c>
      <c r="H665" s="20" t="n">
        <v>3680</v>
      </c>
      <c r="I665" s="20" t="n">
        <v>17</v>
      </c>
      <c r="J665" s="21">
        <f>IF(H665=0,0,I665/H665)</f>
        <v/>
      </c>
    </row>
    <row r="666">
      <c r="A666" s="17" t="inlineStr">
        <is>
          <t>Basket4ballers</t>
        </is>
      </c>
      <c r="B666" s="17" t="inlineStr">
        <is>
          <t>Live</t>
        </is>
      </c>
      <c r="C666" s="17" t="inlineStr">
        <is>
          <t>Basket4ballers</t>
        </is>
      </c>
      <c r="D666" s="17" t="inlineStr">
        <is>
          <t>Vêtements et textile</t>
        </is>
      </c>
      <c r="E666" s="18" t="inlineStr">
        <is>
          <t>Sweat Jordan enfant Jumpman Logo Fleece Po grey</t>
        </is>
      </c>
      <c r="F666" s="17" t="inlineStr">
        <is>
          <t>Jdb jumpman logo fleece po</t>
        </is>
      </c>
      <c r="G666" s="19" t="inlineStr">
        <is>
          <t>https://www.basket4ballers.com/fr/vetements-lifestyle/20868-jdb-jumpman-logo-fleece-po-956326-geh.html#/397-tailles-8_10_ans</t>
        </is>
      </c>
      <c r="H666" s="20" t="n">
        <v>3678</v>
      </c>
      <c r="I666" s="20" t="n">
        <v>18</v>
      </c>
      <c r="J666" s="21">
        <f>IF(H666=0,0,I666/H666)</f>
        <v/>
      </c>
    </row>
    <row r="667">
      <c r="A667" s="17" t="inlineStr">
        <is>
          <t>Basket4ballers</t>
        </is>
      </c>
      <c r="B667" s="17" t="inlineStr">
        <is>
          <t>Live</t>
        </is>
      </c>
      <c r="C667" s="17" t="inlineStr">
        <is>
          <t>Basket4ballers</t>
        </is>
      </c>
      <c r="D667" s="17" t="inlineStr">
        <is>
          <t>Vêtements et textile</t>
        </is>
      </c>
      <c r="E667" s="18" t="inlineStr">
        <is>
          <t>Warm Up NBA Chicago Bulls 1992-93 Mitchell&amp;Ness Authentic</t>
        </is>
      </c>
      <c r="F667" s="17" t="inlineStr">
        <is>
          <t>Warm Up NBA Chicago Bulls 1992-93 Mitchell&amp;Ness Authentic Red</t>
        </is>
      </c>
      <c r="G667" s="19" t="inlineStr">
        <is>
          <t>https://www.basket4ballers.com/fr/chicago-bulls/15766-warm-up-nba-chicago-bulls-1992-93-mitchellness-authentic-red.html#/69-tailles-m</t>
        </is>
      </c>
      <c r="H667" s="20" t="n">
        <v>3674</v>
      </c>
      <c r="I667" s="20" t="n">
        <v>14</v>
      </c>
      <c r="J667" s="21">
        <f>IF(H667=0,0,I667/H667)</f>
        <v/>
      </c>
    </row>
    <row r="668">
      <c r="A668" s="17" t="inlineStr">
        <is>
          <t>Basket4ballers</t>
        </is>
      </c>
      <c r="B668" s="17" t="inlineStr">
        <is>
          <t>Live</t>
        </is>
      </c>
      <c r="C668" s="17" t="inlineStr">
        <is>
          <t>Basket4ballers</t>
        </is>
      </c>
      <c r="D668" s="17" t="inlineStr">
        <is>
          <t>Vêtements et textile</t>
        </is>
      </c>
      <c r="E668" s="18" t="inlineStr">
        <is>
          <t>T-shirt Nike NBA Logo Dri-fit white</t>
        </is>
      </c>
      <c r="F668" s="17" t="inlineStr">
        <is>
          <t>HOMMAGE À VOTRE LIGUE PRÉFÉRÉE. Rendez hommage au partenariat entre Nike et la NBA avec le tee-shirt Nike NBA Dri-FIT pour Homme, confectionné dans un tissu doux</t>
        </is>
      </c>
      <c r="G668" s="19" t="inlineStr">
        <is>
          <t>https://www.basket4ballers.com/fr/t-shirts/20044-t-shirt-nike-dri-fit-white-at0515-100.html#/72-tailles-xxl</t>
        </is>
      </c>
      <c r="H668" s="20" t="n">
        <v>3647</v>
      </c>
      <c r="I668" s="20" t="n">
        <v>21</v>
      </c>
      <c r="J668" s="21">
        <f>IF(H668=0,0,I668/H668)</f>
        <v/>
      </c>
    </row>
    <row r="669">
      <c r="A669" s="17" t="inlineStr">
        <is>
          <t>Basket4ballers</t>
        </is>
      </c>
      <c r="B669" s="17" t="inlineStr">
        <is>
          <t>Live</t>
        </is>
      </c>
      <c r="C669" s="17" t="inlineStr">
        <is>
          <t>Basket4ballers</t>
        </is>
      </c>
      <c r="D669" s="17" t="inlineStr">
        <is>
          <t>Vêtements enfants</t>
        </is>
      </c>
      <c r="E669" s="18" t="inlineStr">
        <is>
          <t>T-shirt Nike NBA Logo Dri-fit white - Basket4Ballers</t>
        </is>
      </c>
      <c r="F669" s="17" t="inlineStr">
        <is>
          <t>Men's Nike Dri-FIT NBA T-Shirt</t>
        </is>
      </c>
      <c r="G669" s="19" t="inlineStr">
        <is>
          <t>https://www.basket4ballers.com/fr/t-shirts/20044-t-shirt-nike-dri-fit-white-at0515-100.html?utm_source=lemrock&amp;utm_medium=cpc&amp;utm_campaign=lemrock#/72-tailles-xxl</t>
        </is>
      </c>
      <c r="H669" s="20" t="n">
        <v>3563</v>
      </c>
      <c r="I669" s="20" t="n">
        <v>18</v>
      </c>
      <c r="J669" s="21">
        <f>IF(H669=0,0,I669/H669)</f>
        <v/>
      </c>
    </row>
    <row r="670">
      <c r="A670" s="17" t="inlineStr">
        <is>
          <t>Basket4ballers</t>
        </is>
      </c>
      <c r="B670" s="17" t="inlineStr">
        <is>
          <t>Live</t>
        </is>
      </c>
      <c r="C670" s="17" t="inlineStr">
        <is>
          <t>Basket4ballers</t>
        </is>
      </c>
      <c r="D670" s="17" t="inlineStr">
        <is>
          <t>Protections et manchons</t>
        </is>
      </c>
      <c r="E670" s="18" t="inlineStr">
        <is>
          <t>Casquette snapback NBA OKC Thunder The League New Era</t>
        </is>
      </c>
      <c r="F670" s="17" t="inlineStr">
        <is>
          <t>Casquette snapback NBA OKC Thunder The League New Era</t>
        </is>
      </c>
      <c r="G670" s="19" t="inlineStr">
        <is>
          <t>https://www.basket4ballers.com/fr/oklahoma-city-thunder/19727-casquette-snapback-nba-okc-thunder-the-league-new-era.html?utm_source=lemrock&amp;utm_medium=cpc&amp;utm_campaign=lemrock#/91-tailles-taille_unique</t>
        </is>
      </c>
      <c r="H670" s="20" t="n">
        <v>3561</v>
      </c>
      <c r="I670" s="20" t="n">
        <v>11</v>
      </c>
      <c r="J670" s="21">
        <f>IF(H670=0,0,I670/H670)</f>
        <v/>
      </c>
    </row>
    <row r="671">
      <c r="A671" s="17" t="inlineStr">
        <is>
          <t>Basket4ballers</t>
        </is>
      </c>
      <c r="B671" s="17" t="inlineStr">
        <is>
          <t>Live</t>
        </is>
      </c>
      <c r="C671" s="17" t="inlineStr">
        <is>
          <t>Basket4ballers</t>
        </is>
      </c>
      <c r="D671" s="17" t="inlineStr">
        <is>
          <t>Protections et manchons</t>
        </is>
      </c>
      <c r="E671" s="18" t="inlineStr">
        <is>
          <t>Chaussettes Nike NBA Elite black - Basket4Ballers</t>
        </is>
      </c>
      <c r="F671" s="17" t="inlineStr">
        <is>
          <t>NBA Crew Socks</t>
        </is>
      </c>
      <c r="G671" s="19" t="inlineStr">
        <is>
          <t>https://www.basket4ballers.com/fr/chaussettes/17682-chaussettes-nike-elite-black-white-sx7587-010.html?utm_source=lemrock&amp;utm_medium=cpc&amp;utm_campaign=lemrock#/62-tailles-38_42</t>
        </is>
      </c>
      <c r="H671" s="20" t="n">
        <v>3549</v>
      </c>
      <c r="I671" s="20" t="n">
        <v>19</v>
      </c>
      <c r="J671" s="21">
        <f>IF(H671=0,0,I671/H671)</f>
        <v/>
      </c>
    </row>
    <row r="672">
      <c r="A672" s="17" t="inlineStr">
        <is>
          <t>Basket4ballers</t>
        </is>
      </c>
      <c r="B672" s="17" t="inlineStr">
        <is>
          <t>Live</t>
        </is>
      </c>
      <c r="C672" s="17" t="inlineStr">
        <is>
          <t>Basket4ballers</t>
        </is>
      </c>
      <c r="D672" s="17" t="inlineStr">
        <is>
          <t>Vêtements et textile</t>
        </is>
      </c>
      <c r="E672" s="18" t="inlineStr">
        <is>
          <t>Short NBA Philadelphia 76ers 1996-97 Swingman Mitchell&amp;Ness</t>
        </is>
      </c>
      <c r="F672" s="17" t="inlineStr">
        <is>
          <t>Short NBA Retro par la marque Mitchell and Ness</t>
        </is>
      </c>
      <c r="G672" s="19" t="inlineStr">
        <is>
          <t>https://www.basket4ballers.com/fr/philadelphia-76ers/15728-short-nba-philadelphia-76ers-swingman-mitchellness-red.html#/68-tailles-s</t>
        </is>
      </c>
      <c r="H672" s="20" t="n">
        <v>3522</v>
      </c>
      <c r="I672" s="20" t="n">
        <v>11</v>
      </c>
      <c r="J672" s="21">
        <f>IF(H672=0,0,I672/H672)</f>
        <v/>
      </c>
    </row>
    <row r="673">
      <c r="A673" s="17" t="inlineStr">
        <is>
          <t>Basket4ballers</t>
        </is>
      </c>
      <c r="B673" s="17" t="inlineStr">
        <is>
          <t>Live</t>
        </is>
      </c>
      <c r="C673" s="17" t="inlineStr">
        <is>
          <t>Basket4ballers</t>
        </is>
      </c>
      <c r="D673" s="17" t="inlineStr">
        <is>
          <t>eCommerce</t>
        </is>
      </c>
      <c r="E673" s="18" t="inlineStr">
        <is>
          <t>Survêtement Jordan Enfant Diamond Fleece black</t>
        </is>
      </c>
      <c r="F673" s="17" t="inlineStr">
        <is>
          <t>Ensemble Jordan Enfant Diamond Fleece black</t>
        </is>
      </c>
      <c r="G673" s="19" t="inlineStr">
        <is>
          <t>https://www.basket4ballers.com/fr/vetements-lifestyle/18397-ensemble-jordan-enfant-diamond-fleece-black.html?utm_source=lemrock&amp;utm_medium=cpc&amp;utm_campaign=lemrock#/417-tailles-6_mois</t>
        </is>
      </c>
      <c r="H673" s="20" t="n">
        <v>3502</v>
      </c>
      <c r="I673" s="20" t="n">
        <v>11</v>
      </c>
      <c r="J673" s="21">
        <f>IF(H673=0,0,I673/H673)</f>
        <v/>
      </c>
    </row>
    <row r="674">
      <c r="A674" s="17" t="inlineStr">
        <is>
          <t>Basket4ballers</t>
        </is>
      </c>
      <c r="B674" s="17" t="inlineStr">
        <is>
          <t>Live</t>
        </is>
      </c>
      <c r="C674" s="17" t="inlineStr">
        <is>
          <t>Basket4ballers</t>
        </is>
      </c>
      <c r="D674" s="17" t="inlineStr">
        <is>
          <t>Protections et manchons</t>
        </is>
      </c>
      <c r="E674" s="18" t="inlineStr">
        <is>
          <t>Puma Platform Elements</t>
        </is>
      </c>
      <c r="F674" s="17" t="inlineStr">
        <is>
          <t>Commander une Puma by Rihanna Creeper chez basket4ballers.</t>
        </is>
      </c>
      <c r="G674" s="19" t="inlineStr">
        <is>
          <t>https://www.basket4ballers.com/fr/basket-sneakers/11188-puma-platform-elements.html?utm_source=lemrock&amp;utm_medium=cpc&amp;utm_campaign=lemrock#/158-tailles-37</t>
        </is>
      </c>
      <c r="H674" s="20" t="n">
        <v>3427</v>
      </c>
      <c r="I674" s="20" t="n">
        <v>19</v>
      </c>
      <c r="J674" s="21">
        <f>IF(H674=0,0,I674/H674)</f>
        <v/>
      </c>
    </row>
    <row r="675">
      <c r="A675" s="17" t="inlineStr">
        <is>
          <t>Basket4ballers</t>
        </is>
      </c>
      <c r="B675" s="17" t="inlineStr">
        <is>
          <t>Live</t>
        </is>
      </c>
      <c r="C675" s="17" t="inlineStr">
        <is>
          <t>Basket4ballers</t>
        </is>
      </c>
      <c r="D675" s="17" t="inlineStr">
        <is>
          <t>Vêtements et textile</t>
        </is>
      </c>
      <c r="E675" s="18" t="inlineStr">
        <is>
          <t>Puma Platform Elements</t>
        </is>
      </c>
      <c r="F675" s="17" t="inlineStr">
        <is>
          <t>Commander une Puma by Rihanna Creeper chez basket4ballers.</t>
        </is>
      </c>
      <c r="G675" s="19" t="inlineStr">
        <is>
          <t>https://www.basket4ballers.com/fr/basket-sneakers/11188-puma-platform-elements.html?utm_source=lemrock&amp;utm_medium=cpc&amp;utm_campaign=lemrock#/158-tailles-37</t>
        </is>
      </c>
      <c r="H675" s="20" t="n">
        <v>3332</v>
      </c>
      <c r="I675" s="20" t="n">
        <v>15</v>
      </c>
      <c r="J675" s="21">
        <f>IF(H675=0,0,I675/H675)</f>
        <v/>
      </c>
    </row>
    <row r="676">
      <c r="A676" s="17" t="inlineStr">
        <is>
          <t>Basket4ballers</t>
        </is>
      </c>
      <c r="B676" s="17" t="inlineStr">
        <is>
          <t>Live</t>
        </is>
      </c>
      <c r="C676" s="17" t="inlineStr">
        <is>
          <t>Basket4ballers</t>
        </is>
      </c>
      <c r="D676" s="17" t="inlineStr">
        <is>
          <t>Protections et manchons</t>
        </is>
      </c>
      <c r="E676" s="18" t="inlineStr">
        <is>
          <t>Warm Up NBA Chicago Bulls 1992-93 Mitchell&amp;Ness Authentic</t>
        </is>
      </c>
      <c r="F676" s="17" t="inlineStr">
        <is>
          <t>Warm Up NBA Chicago Bulls 1992-93 Mitchell&amp;Ness Authentic Red</t>
        </is>
      </c>
      <c r="G676" s="19" t="inlineStr">
        <is>
          <t>https://www.basket4ballers.com/fr/chicago-bulls/15766-warm-up-nba-chicago-bulls-1992-93-mitchellness-authentic-red.html#/69-tailles-m</t>
        </is>
      </c>
      <c r="H676" s="20" t="n">
        <v>3317</v>
      </c>
      <c r="I676" s="20" t="n">
        <v>11</v>
      </c>
      <c r="J676" s="21">
        <f>IF(H676=0,0,I676/H676)</f>
        <v/>
      </c>
    </row>
    <row r="677">
      <c r="A677" s="17" t="inlineStr">
        <is>
          <t>Basket4ballers</t>
        </is>
      </c>
      <c r="B677" s="17" t="inlineStr">
        <is>
          <t>Live</t>
        </is>
      </c>
      <c r="C677" s="17" t="inlineStr">
        <is>
          <t>Basket4ballers</t>
        </is>
      </c>
      <c r="D677" s="17" t="inlineStr">
        <is>
          <t>Protections et manchons</t>
        </is>
      </c>
      <c r="E677" s="18" t="inlineStr">
        <is>
          <t>T-shirt Nike NBA Logo Dri-fit white - Basket4Ballers</t>
        </is>
      </c>
      <c r="F677" s="17" t="inlineStr">
        <is>
          <t>Men's Nike Dri-FIT NBA T-Shirt</t>
        </is>
      </c>
      <c r="G677" s="19" t="inlineStr">
        <is>
          <t>https://www.basket4ballers.com/fr/t-shirts/20044-t-shirt-nike-dri-fit-white-at0515-100.html?utm_source=lemrock&amp;utm_medium=cpc&amp;utm_campaign=lemrock#/72-tailles-xxl</t>
        </is>
      </c>
      <c r="H677" s="20" t="n">
        <v>3299</v>
      </c>
      <c r="I677" s="20" t="n">
        <v>22</v>
      </c>
      <c r="J677" s="21">
        <f>IF(H677=0,0,I677/H677)</f>
        <v/>
      </c>
    </row>
    <row r="678">
      <c r="A678" s="17" t="inlineStr">
        <is>
          <t>Basket4ballers</t>
        </is>
      </c>
      <c r="B678" s="17" t="inlineStr">
        <is>
          <t>Live</t>
        </is>
      </c>
      <c r="C678" s="17" t="inlineStr">
        <is>
          <t>Basket4ballers</t>
        </is>
      </c>
      <c r="D678" s="17" t="inlineStr">
        <is>
          <t>Protections et manchons</t>
        </is>
      </c>
      <c r="E678" s="18" t="inlineStr">
        <is>
          <t>Sweat Jordan enfant Jumpman Logo Fleece Po grey</t>
        </is>
      </c>
      <c r="F678" s="17" t="inlineStr">
        <is>
          <t>Jdb jumpman logo fleece po</t>
        </is>
      </c>
      <c r="G678" s="19" t="inlineStr">
        <is>
          <t>https://www.basket4ballers.com/fr/vetements-lifestyle/20868-jdb-jumpman-logo-fleece-po-956326-geh.html?utm_source=lemrock&amp;utm_medium=cpc&amp;utm_campaign=lemrock#/397-tailles-8_10_ans</t>
        </is>
      </c>
      <c r="H678" s="20" t="n">
        <v>3268</v>
      </c>
      <c r="I678" s="20" t="n">
        <v>13</v>
      </c>
      <c r="J678" s="21">
        <f>IF(H678=0,0,I678/H678)</f>
        <v/>
      </c>
    </row>
    <row r="679">
      <c r="A679" s="17" t="inlineStr">
        <is>
          <t>Basket4ballers</t>
        </is>
      </c>
      <c r="B679" s="17" t="inlineStr">
        <is>
          <t>Live</t>
        </is>
      </c>
      <c r="C679" s="17" t="inlineStr">
        <is>
          <t>Basket4ballers</t>
        </is>
      </c>
      <c r="D679" s="17" t="inlineStr">
        <is>
          <t>Accessoires et petits équipements</t>
        </is>
      </c>
      <c r="E679" s="18" t="inlineStr">
        <is>
          <t>Genouillères Mc David Hexforce Hexpad Extended Leg Black</t>
        </is>
      </c>
      <c r="F679" s="17" t="inlineStr">
        <is>
          <t>Vendu par paire</t>
        </is>
      </c>
      <c r="G679" s="19" t="inlineStr">
        <is>
          <t>https://www.basket4ballers.com/fr/coudieres-et-genouilleres/16861-hexforce-hexpad-extended-leg-sleeves-black-6446r-bk.html?utm_source=lemrock&amp;utm_medium=cpc&amp;utm_campaign=lemrock#/69-tailles-m</t>
        </is>
      </c>
      <c r="H679" s="20" t="n">
        <v>3260</v>
      </c>
      <c r="I679" s="20" t="n">
        <v>21</v>
      </c>
      <c r="J679" s="21">
        <f>IF(H679=0,0,I679/H679)</f>
        <v/>
      </c>
    </row>
    <row r="680">
      <c r="A680" s="17" t="inlineStr">
        <is>
          <t>Basket4ballers</t>
        </is>
      </c>
      <c r="B680" s="17" t="inlineStr">
        <is>
          <t>Live</t>
        </is>
      </c>
      <c r="C680" s="17" t="inlineStr">
        <is>
          <t>Basket4ballers</t>
        </is>
      </c>
      <c r="D680" s="17" t="inlineStr">
        <is>
          <t>Protections et manchons</t>
        </is>
      </c>
      <c r="E680" s="18" t="inlineStr">
        <is>
          <t>adidas Yung-1 Legend Ivy - Basket4Ballers</t>
        </is>
      </c>
      <c r="F680" s="17" t="inlineStr">
        <is>
          <t>Parcourez les rues de votre ville avec la paire lifestyle signée adidas, la adidas Yung-1 Legend Ivy, disponible sur la boutique en ligne spécialisée dans les sneakers</t>
        </is>
      </c>
      <c r="G680" s="19" t="inlineStr">
        <is>
          <t>https://www.basket4ballers.com/fr/basket-sneakers/19376-adidas-yung-1-legend-ivy.html?utm_source=lemrock&amp;utm_medium=cpc&amp;utm_campaign=lemrock#/74-tailles-38</t>
        </is>
      </c>
      <c r="H680" s="20" t="n">
        <v>3198</v>
      </c>
      <c r="I680" s="20" t="n">
        <v>22</v>
      </c>
      <c r="J680" s="21">
        <f>IF(H680=0,0,I680/H680)</f>
        <v/>
      </c>
    </row>
    <row r="681">
      <c r="A681" s="17" t="inlineStr">
        <is>
          <t>Basket4ballers</t>
        </is>
      </c>
      <c r="B681" s="17" t="inlineStr">
        <is>
          <t>Live</t>
        </is>
      </c>
      <c r="C681" s="17" t="inlineStr">
        <is>
          <t>Basket4ballers</t>
        </is>
      </c>
      <c r="D681" s="17" t="inlineStr">
        <is>
          <t>Protections et manchons</t>
        </is>
      </c>
      <c r="E681" s="18" t="inlineStr">
        <is>
          <t>Chaussettes Jordan Ultimate Flight Quarter 2.0 Basketball</t>
        </is>
      </c>
      <c r="F681" s="17" t="inlineStr">
        <is>
          <t>Jordan Ultimate Flight Quarter 2.0 Basketball Socks ZONED COOLING. SWEAT WICKING. TARGETED CUSHIONING. The Jordan Ultimate Flight Quarter 2.0 Basketball Socks feature a plush</t>
        </is>
      </c>
      <c r="G681" s="19" t="inlineStr">
        <is>
          <t>https://www.basket4ballers.com/fr/jordan-basketball/16920-chaussettes-jordan-ultimate-flight-quarter-20-basketball-socks-black-white-sx5855-011.html?utm_source=lemrock&amp;utm_medium=cpc&amp;utm_campaign=lemrock#/128-tailles-34_38</t>
        </is>
      </c>
      <c r="H681" s="20" t="n">
        <v>3166</v>
      </c>
      <c r="I681" s="20" t="n">
        <v>16</v>
      </c>
      <c r="J681" s="21">
        <f>IF(H681=0,0,I681/H681)</f>
        <v/>
      </c>
    </row>
    <row r="682">
      <c r="A682" s="17" t="inlineStr">
        <is>
          <t>Basket4ballers</t>
        </is>
      </c>
      <c r="B682" s="17" t="inlineStr">
        <is>
          <t>Live</t>
        </is>
      </c>
      <c r="C682" s="17" t="inlineStr">
        <is>
          <t>Basket4ballers</t>
        </is>
      </c>
      <c r="D682" s="17" t="inlineStr">
        <is>
          <t>Protections et manchons</t>
        </is>
      </c>
      <c r="E682" s="18" t="inlineStr">
        <is>
          <t>Sweat Jordan enfant Jumpman Logo Fleece Po grey</t>
        </is>
      </c>
      <c r="F682" s="17" t="inlineStr">
        <is>
          <t>Jdb jumpman logo fleece po</t>
        </is>
      </c>
      <c r="G682" s="19" t="inlineStr">
        <is>
          <t>https://www.basket4ballers.com/fr/vetements-lifestyle/20868-jdb-jumpman-logo-fleece-po-956326-geh.html#/397-tailles-8_10_ans</t>
        </is>
      </c>
      <c r="H682" s="20" t="n">
        <v>3157</v>
      </c>
      <c r="I682" s="20" t="n">
        <v>18</v>
      </c>
      <c r="J682" s="21">
        <f>IF(H682=0,0,I682/H682)</f>
        <v/>
      </c>
    </row>
    <row r="683">
      <c r="A683" s="17" t="inlineStr">
        <is>
          <t>Basket4ballers</t>
        </is>
      </c>
      <c r="B683" s="17" t="inlineStr">
        <is>
          <t>Live</t>
        </is>
      </c>
      <c r="C683" s="17" t="inlineStr">
        <is>
          <t>Basket4ballers</t>
        </is>
      </c>
      <c r="D683" s="17" t="inlineStr">
        <is>
          <t>eCommerce</t>
        </is>
      </c>
      <c r="E683" s="18" t="inlineStr">
        <is>
          <t>Ensemble T-shirt short enfant Jordan Sticker grey</t>
        </is>
      </c>
      <c r="F683" s="17" t="inlineStr">
        <is>
          <t>Jdb mjss crew ss tee short set</t>
        </is>
      </c>
      <c r="G683" s="19" t="inlineStr">
        <is>
          <t>https://www.basket4ballers.com/fr/vetements-lifestyle/21440-t-shirt-jdb-mjss-crew-ss-tee-short-set-656955-g6p.html?utm_source=lemrock&amp;utm_medium=cpc&amp;utm_campaign=lemrock#/391-tailles-12_mois</t>
        </is>
      </c>
      <c r="H683" s="20" t="n">
        <v>3094</v>
      </c>
      <c r="I683" s="20" t="n">
        <v>14</v>
      </c>
      <c r="J683" s="21">
        <f>IF(H683=0,0,I683/H683)</f>
        <v/>
      </c>
    </row>
    <row r="684">
      <c r="A684" s="17" t="inlineStr">
        <is>
          <t>Basket4ballers</t>
        </is>
      </c>
      <c r="B684" s="17" t="inlineStr">
        <is>
          <t>Live</t>
        </is>
      </c>
      <c r="C684" s="17" t="inlineStr">
        <is>
          <t>Basket4ballers</t>
        </is>
      </c>
      <c r="D684" s="17" t="inlineStr">
        <is>
          <t>Protections et manchons</t>
        </is>
      </c>
      <c r="E684" s="18" t="inlineStr">
        <is>
          <t>T-shirt Nike NBA Logo Dri-fit white</t>
        </is>
      </c>
      <c r="F684" s="17" t="inlineStr">
        <is>
          <t>HOMMAGE À VOTRE LIGUE PRÉFÉRÉE. Rendez hommage au partenariat entre Nike et la NBA avec le tee-shirt Nike NBA Dri-FIT pour Homme, confectionné dans un tissu doux</t>
        </is>
      </c>
      <c r="G684" s="19" t="inlineStr">
        <is>
          <t>https://www.basket4ballers.com/fr/t-shirts/20044-t-shirt-nike-dri-fit-white-at0515-100.html#/72-tailles-xxl</t>
        </is>
      </c>
      <c r="H684" s="20" t="n">
        <v>3066</v>
      </c>
      <c r="I684" s="20" t="n">
        <v>19</v>
      </c>
      <c r="J684" s="21">
        <f>IF(H684=0,0,I684/H684)</f>
        <v/>
      </c>
    </row>
    <row r="685">
      <c r="A685" s="17" t="inlineStr">
        <is>
          <t>Basket4ballers</t>
        </is>
      </c>
      <c r="B685" s="17" t="inlineStr">
        <is>
          <t>Live</t>
        </is>
      </c>
      <c r="C685" s="17" t="inlineStr">
        <is>
          <t>Basket4ballers</t>
        </is>
      </c>
      <c r="D685" s="17" t="inlineStr">
        <is>
          <t>Protections et manchons</t>
        </is>
      </c>
      <c r="E685" s="18" t="inlineStr">
        <is>
          <t>Short NBA Philadelphia 76ers 1996-97 Swingman Mitchell&amp;Ness</t>
        </is>
      </c>
      <c r="F685" s="17" t="inlineStr">
        <is>
          <t>Short NBA Retro par la marque Mitchell and Ness</t>
        </is>
      </c>
      <c r="G685" s="19" t="inlineStr">
        <is>
          <t>https://www.basket4ballers.com/fr/philadelphia-76ers/15728-short-nba-philadelphia-76ers-swingman-mitchellness-red.html?utm_source=lemrock&amp;utm_medium=cpc&amp;utm_campaign=lemrock#/68-tailles-s</t>
        </is>
      </c>
      <c r="H685" s="20" t="n">
        <v>3045</v>
      </c>
      <c r="I685" s="20" t="n">
        <v>14</v>
      </c>
      <c r="J685" s="21">
        <f>IF(H685=0,0,I685/H685)</f>
        <v/>
      </c>
    </row>
    <row r="686">
      <c r="A686" s="17" t="inlineStr">
        <is>
          <t>Basket4ballers</t>
        </is>
      </c>
      <c r="B686" s="17" t="inlineStr">
        <is>
          <t>Live</t>
        </is>
      </c>
      <c r="C686" s="17" t="inlineStr">
        <is>
          <t>Basket4ballers</t>
        </is>
      </c>
      <c r="D686" s="17" t="inlineStr">
        <is>
          <t>Maillots NBA, équipes et joueurs</t>
        </is>
      </c>
      <c r="E686" s="18" t="inlineStr">
        <is>
          <t>A’Two et maillots WNBA A’ja Wilson prix bas | Basket4Ballers</t>
        </is>
      </c>
      <c r="F686" s="17" t="inlineStr">
        <is>
          <t>Chaussures de basket d’A’ja Wilson, Nike A’Two et A’One, avec ses maillots WNBA aux Las Vegas Aces, dans une boutique spécialisée livrant en 72 h max.</t>
        </is>
      </c>
      <c r="G686" s="19" t="inlineStr">
        <is>
          <t>https://www.basket4ballers.com/fr/469-a-ja-wilson</t>
        </is>
      </c>
      <c r="H686" s="20" t="n">
        <v>3042</v>
      </c>
      <c r="I686" s="20" t="n">
        <v>10</v>
      </c>
      <c r="J686" s="21">
        <f>IF(H686=0,0,I686/H686)</f>
        <v/>
      </c>
    </row>
    <row r="687">
      <c r="A687" s="17" t="inlineStr">
        <is>
          <t>Basket4ballers</t>
        </is>
      </c>
      <c r="B687" s="17" t="inlineStr">
        <is>
          <t>Live</t>
        </is>
      </c>
      <c r="C687" s="17" t="inlineStr">
        <is>
          <t>Basket4ballers</t>
        </is>
      </c>
      <c r="D687" s="17" t="inlineStr">
        <is>
          <t>Protections et manchons</t>
        </is>
      </c>
      <c r="E687" s="18" t="inlineStr">
        <is>
          <t>Survêtement Jordan Enfant Diamond Fleece black</t>
        </is>
      </c>
      <c r="F687" s="17" t="inlineStr">
        <is>
          <t>Ensemble Jordan Enfant Diamond Fleece black</t>
        </is>
      </c>
      <c r="G687" s="19" t="inlineStr">
        <is>
          <t>https://www.basket4ballers.com/fr/vetements-lifestyle/18397-ensemble-jordan-enfant-diamond-fleece-black.html?utm_source=lemrock&amp;utm_medium=cpc&amp;utm_campaign=lemrock#/417-tailles-6_mois</t>
        </is>
      </c>
      <c r="H687" s="20" t="n">
        <v>2998</v>
      </c>
      <c r="I687" s="20" t="n">
        <v>6</v>
      </c>
      <c r="J687" s="21">
        <f>IF(H687=0,0,I687/H687)</f>
        <v/>
      </c>
    </row>
    <row r="688">
      <c r="A688" s="17" t="inlineStr">
        <is>
          <t>Basket4ballers</t>
        </is>
      </c>
      <c r="B688" s="17" t="inlineStr">
        <is>
          <t>Live</t>
        </is>
      </c>
      <c r="C688" s="17" t="inlineStr">
        <is>
          <t>Basket4ballers</t>
        </is>
      </c>
      <c r="D688" s="17" t="inlineStr">
        <is>
          <t>eCommerce</t>
        </is>
      </c>
      <c r="E688" s="18" t="inlineStr">
        <is>
          <t>Bandeau Jordan Jumpman blanc - Basket4Ballers</t>
        </is>
      </c>
      <c r="F688" s="17" t="inlineStr">
        <is>
          <t>Bandeau Jordan Jumpman white</t>
        </is>
      </c>
      <c r="G688" s="19" t="inlineStr">
        <is>
          <t>https://www.basket4ballers.com/fr/jordan-basketball/13461-jordan-jumpman-headband-white-black-jkn00101os.html?utm_source=lemrock&amp;utm_medium=cpc&amp;utm_campaign=lemrock#/91-tailles-taille_unique</t>
        </is>
      </c>
      <c r="H688" s="20" t="n">
        <v>2990</v>
      </c>
      <c r="I688" s="20" t="n">
        <v>13</v>
      </c>
      <c r="J688" s="21">
        <f>IF(H688=0,0,I688/H688)</f>
        <v/>
      </c>
    </row>
    <row r="689">
      <c r="A689" s="17" t="inlineStr">
        <is>
          <t>Basket4ballers</t>
        </is>
      </c>
      <c r="B689" s="17" t="inlineStr">
        <is>
          <t>Live</t>
        </is>
      </c>
      <c r="C689" s="17" t="inlineStr">
        <is>
          <t>Basket4ballers</t>
        </is>
      </c>
      <c r="D689" s="17" t="inlineStr">
        <is>
          <t>Protections et manchons</t>
        </is>
      </c>
      <c r="E689" s="18" t="inlineStr">
        <is>
          <t>Nike Air Force 1 '07 Wheat - Basket4Ballers</t>
        </is>
      </c>
      <c r="F689" s="17" t="inlineStr">
        <is>
          <t>Sneakers Nike AF1 coloris Timberland</t>
        </is>
      </c>
      <c r="G689" s="19" t="inlineStr">
        <is>
          <t>https://www.basket4ballers.com/fr/basket-sneakers/21504-nike-air-force-1-07-wheat-cj9179-200.html?utm_source=lemrock&amp;utm_medium=cpc&amp;utm_campaign=lemrock#/97-tailles-405</t>
        </is>
      </c>
      <c r="H689" s="20" t="n">
        <v>2984</v>
      </c>
      <c r="I689" s="20" t="n">
        <v>7</v>
      </c>
      <c r="J689" s="21">
        <f>IF(H689=0,0,I689/H689)</f>
        <v/>
      </c>
    </row>
    <row r="690">
      <c r="A690" s="17" t="inlineStr">
        <is>
          <t>Basket4ballers</t>
        </is>
      </c>
      <c r="B690" s="17" t="inlineStr">
        <is>
          <t>Live</t>
        </is>
      </c>
      <c r="C690" s="17" t="inlineStr">
        <is>
          <t>Basket4ballers</t>
        </is>
      </c>
      <c r="D690" s="17" t="inlineStr">
        <is>
          <t>Protections et manchons</t>
        </is>
      </c>
      <c r="E690" s="18" t="inlineStr">
        <is>
          <t>Nike Air Max Infuriate II Premium white - Basket4Ballers</t>
        </is>
      </c>
      <c r="F690" s="17" t="inlineStr">
        <is>
          <t>SPEED AND POWER, LOCKED IN. The anticipated sequel to one of Nike Basketball's newest offerings, Nike Air Max Infuriate II Premium Men's Basketball Shoe locks you in with a</t>
        </is>
      </c>
      <c r="G690" s="19" t="inlineStr">
        <is>
          <t>https://www.basket4ballers.com/fr/basketball/17121-nike-air-max-infuriate-ii-premium-white-vast-grey-night-purple-aj1933-140.html?utm_source=lemrock&amp;utm_medium=cpc&amp;utm_campaign=lemrock#/129-tailles-385</t>
        </is>
      </c>
      <c r="H690" s="20" t="n">
        <v>2972</v>
      </c>
      <c r="I690" s="20" t="n">
        <v>11</v>
      </c>
      <c r="J690" s="21">
        <f>IF(H690=0,0,I690/H690)</f>
        <v/>
      </c>
    </row>
    <row r="691">
      <c r="A691" s="17" t="inlineStr">
        <is>
          <t>Basket4ballers</t>
        </is>
      </c>
      <c r="B691" s="17" t="inlineStr">
        <is>
          <t>Live</t>
        </is>
      </c>
      <c r="C691" s="17" t="inlineStr">
        <is>
          <t>Basket4ballers</t>
        </is>
      </c>
      <c r="D691" s="17" t="inlineStr">
        <is>
          <t>Accessoires et petits équipements</t>
        </is>
      </c>
      <c r="E691" s="18" t="inlineStr">
        <is>
          <t>Coudière Nike Pro Elite Sleeve 2.0 black - Basket4Ballers</t>
        </is>
      </c>
      <c r="F691" s="17" t="inlineStr">
        <is>
          <t>Manchon Nike Basket noir vendu à l'unité</t>
        </is>
      </c>
      <c r="G691" s="19" t="inlineStr">
        <is>
          <t>https://www.basket4ballers.com/fr/coudieres-et-genouilleres/20553-nike-pro-elite-sleeve-20-nike-pro-elite-sleeve-20-blawhi-n0003146027.html?utm_source=lemrock&amp;utm_medium=cpc&amp;utm_campaign=lemrock#/250-tailles-l_xl</t>
        </is>
      </c>
      <c r="H691" s="20" t="n">
        <v>2968</v>
      </c>
      <c r="I691" s="20" t="n">
        <v>17</v>
      </c>
      <c r="J691" s="21">
        <f>IF(H691=0,0,I691/H691)</f>
        <v/>
      </c>
    </row>
    <row r="692">
      <c r="A692" s="17" t="inlineStr">
        <is>
          <t>Basket4ballers</t>
        </is>
      </c>
      <c r="B692" s="17" t="inlineStr">
        <is>
          <t>Live</t>
        </is>
      </c>
      <c r="C692" s="17" t="inlineStr">
        <is>
          <t>Basket4ballers</t>
        </is>
      </c>
      <c r="D692" s="17" t="inlineStr">
        <is>
          <t>eCommerce</t>
        </is>
      </c>
      <c r="E692" s="18" t="inlineStr">
        <is>
          <t>Pack de 2 coudières Jordan Shooter black - Basket4Ballers</t>
        </is>
      </c>
      <c r="F692" s="17" t="inlineStr">
        <is>
          <t>Pack de 2 coudières Jordan Shooter black</t>
        </is>
      </c>
      <c r="G692" s="19" t="inlineStr">
        <is>
          <t>https://www.basket4ballers.com/fr/jordan-basketball/13464-jordan-shooter-sleeves-black-white-jks04010.html?utm_source=lemrock&amp;utm_medium=cpc&amp;utm_campaign=lemrock#/250-tailles-l_xl</t>
        </is>
      </c>
      <c r="H692" s="20" t="n">
        <v>2964</v>
      </c>
      <c r="I692" s="20" t="n">
        <v>11</v>
      </c>
      <c r="J692" s="21">
        <f>IF(H692=0,0,I692/H692)</f>
        <v/>
      </c>
    </row>
    <row r="693">
      <c r="A693" s="17" t="inlineStr">
        <is>
          <t>Basket4ballers</t>
        </is>
      </c>
      <c r="B693" s="17" t="inlineStr">
        <is>
          <t>Live</t>
        </is>
      </c>
      <c r="C693" s="17" t="inlineStr">
        <is>
          <t>Basket4ballers</t>
        </is>
      </c>
      <c r="D693" s="17" t="inlineStr">
        <is>
          <t>Protections et manchons</t>
        </is>
      </c>
      <c r="E693" s="18" t="inlineStr">
        <is>
          <t>Short NBA Philadelphia 76ers 1996-97 Swingman Mitchell&amp;Ness</t>
        </is>
      </c>
      <c r="F693" s="17" t="inlineStr">
        <is>
          <t>Short NBA Retro par la marque Mitchell and Ness</t>
        </is>
      </c>
      <c r="G693" s="19" t="inlineStr">
        <is>
          <t>https://www.basket4ballers.com/fr/philadelphia-76ers/15728-short-nba-philadelphia-76ers-swingman-mitchellness-red.html#/68-tailles-s</t>
        </is>
      </c>
      <c r="H693" s="20" t="n">
        <v>2961</v>
      </c>
      <c r="I693" s="20" t="n">
        <v>16</v>
      </c>
      <c r="J693" s="21">
        <f>IF(H693=0,0,I693/H693)</f>
        <v/>
      </c>
    </row>
    <row r="694">
      <c r="A694" s="17" t="inlineStr">
        <is>
          <t>Basket4ballers</t>
        </is>
      </c>
      <c r="B694" s="17" t="inlineStr">
        <is>
          <t>Live</t>
        </is>
      </c>
      <c r="C694" s="17" t="inlineStr">
        <is>
          <t>Basket4ballers</t>
        </is>
      </c>
      <c r="D694" s="17" t="inlineStr">
        <is>
          <t>Protections et manchons</t>
        </is>
      </c>
      <c r="E694" s="18" t="inlineStr">
        <is>
          <t>Maillot Michael Jordan Dream Team 92 USA Authentic</t>
        </is>
      </c>
      <c r="F694" s="17" t="inlineStr">
        <is>
          <t>Maillot NBA Michael Jordan Dream Team Authentic Mitchell&amp;Ness 100% Polyester. Authentic Jersey.</t>
        </is>
      </c>
      <c r="G694" s="19" t="inlineStr">
        <is>
          <t>https://www.basket4ballers.com/fr/equipe-nationale-americaine-de-basket-team-usa/20713-authentic-jersey-nba-michael-jordan-ajy4gs18414-usanavy92mjo-xs-ajy4gs18414-usanavy92mjo.html?utm_source=lemrock&amp;utm_medium=cpc&amp;utm_campaign=lemrock#/68-tailles-s</t>
        </is>
      </c>
      <c r="H694" s="20" t="n">
        <v>2937</v>
      </c>
      <c r="I694" s="20" t="n">
        <v>8</v>
      </c>
      <c r="J694" s="21">
        <f>IF(H694=0,0,I694/H694)</f>
        <v/>
      </c>
    </row>
    <row r="695">
      <c r="A695" s="17" t="inlineStr">
        <is>
          <t>Basket4ballers</t>
        </is>
      </c>
      <c r="B695" s="17" t="inlineStr">
        <is>
          <t>Live</t>
        </is>
      </c>
      <c r="C695" s="17" t="inlineStr">
        <is>
          <t>Basket4ballers</t>
        </is>
      </c>
      <c r="D695" s="17" t="inlineStr">
        <is>
          <t>Protections et manchons</t>
        </is>
      </c>
      <c r="E695" s="18" t="inlineStr">
        <is>
          <t>Sac Air Jordan Pivot Duffle Red - Basket4Ballers</t>
        </is>
      </c>
      <c r="F695" s="17" t="inlineStr">
        <is>
          <t>Achetez sur la boutique en ligne Basket4Ballers, le Sac Air Jordan Pivot Duffle Red ! Textile Air Jordan également disponible.</t>
        </is>
      </c>
      <c r="G695" s="19" t="inlineStr">
        <is>
          <t>https://www.basket4ballers.com/fr/accessoires-basketball/18697-sac-air-jordan-pivot-duffle-red.html?utm_source=lemrock&amp;utm_medium=cpc&amp;utm_campaign=lemrock#/91-tailles-taille_unique</t>
        </is>
      </c>
      <c r="H695" s="20" t="n">
        <v>2936</v>
      </c>
      <c r="I695" s="20" t="n">
        <v>14</v>
      </c>
      <c r="J695" s="21">
        <f>IF(H695=0,0,I695/H695)</f>
        <v/>
      </c>
    </row>
    <row r="696">
      <c r="A696" s="17" t="inlineStr">
        <is>
          <t>Basket4ballers</t>
        </is>
      </c>
      <c r="B696" s="17" t="inlineStr">
        <is>
          <t>Live</t>
        </is>
      </c>
      <c r="C696" s="17" t="inlineStr">
        <is>
          <t>Basket4ballers</t>
        </is>
      </c>
      <c r="D696" s="17" t="inlineStr">
        <is>
          <t>eCommerce</t>
        </is>
      </c>
      <c r="E696" s="18" t="inlineStr">
        <is>
          <t>adidas Yung-1 Legend Ivy - Basket4Ballers</t>
        </is>
      </c>
      <c r="F696" s="17" t="inlineStr">
        <is>
          <t>Parcourez les rues de votre ville avec la paire lifestyle signée adidas, la adidas Yung-1 Legend Ivy, disponible sur la boutique en ligne spécialisée dans les sneakers</t>
        </is>
      </c>
      <c r="G696" s="19" t="inlineStr">
        <is>
          <t>https://www.basket4ballers.com/fr/basket-sneakers/19376-adidas-yung-1-legend-ivy.html?utm_source=lemrock&amp;utm_medium=cpc&amp;utm_campaign=lemrock#/74-tailles-38</t>
        </is>
      </c>
      <c r="H696" s="20" t="n">
        <v>2936</v>
      </c>
      <c r="I696" s="20" t="n">
        <v>7</v>
      </c>
      <c r="J696" s="21">
        <f>IF(H696=0,0,I696/H696)</f>
        <v/>
      </c>
    </row>
    <row r="697">
      <c r="A697" s="17" t="inlineStr">
        <is>
          <t>Basket4ballers</t>
        </is>
      </c>
      <c r="B697" s="17" t="inlineStr">
        <is>
          <t>Live</t>
        </is>
      </c>
      <c r="C697" s="17" t="inlineStr">
        <is>
          <t>Basket4ballers</t>
        </is>
      </c>
      <c r="D697" s="17" t="inlineStr">
        <is>
          <t>Vêtements et tenues de basket</t>
        </is>
      </c>
      <c r="E697" s="18" t="inlineStr">
        <is>
          <t>Vêtements de basket enfant pas chers | Basket4Ballers</t>
        </is>
      </c>
      <c r="F697" s="17" t="inlineStr">
        <is>
          <t>Vêtements pour enfant adaptés à la pratique du basket : t-shirts, shorts, sweats et maillots NBA en tailles junior, livrés en 72 h max.</t>
        </is>
      </c>
      <c r="G697" s="19" t="inlineStr">
        <is>
          <t>https://www.basket4ballers.com/fr/385-enfant</t>
        </is>
      </c>
      <c r="H697" s="20" t="n">
        <v>2935</v>
      </c>
      <c r="I697" s="20" t="n">
        <v>9</v>
      </c>
      <c r="J697" s="21">
        <f>IF(H697=0,0,I697/H697)</f>
        <v/>
      </c>
    </row>
    <row r="698">
      <c r="A698" s="17" t="inlineStr">
        <is>
          <t>Basket4ballers</t>
        </is>
      </c>
      <c r="B698" s="17" t="inlineStr">
        <is>
          <t>Live</t>
        </is>
      </c>
      <c r="C698" s="17" t="inlineStr">
        <is>
          <t>Basket4ballers</t>
        </is>
      </c>
      <c r="D698" s="17" t="inlineStr">
        <is>
          <t>Vêtements et textile</t>
        </is>
      </c>
      <c r="E698" s="18" t="inlineStr">
        <is>
          <t>Ensemble T-shirt short enfant Jordan Sticker grey</t>
        </is>
      </c>
      <c r="F698" s="17" t="inlineStr">
        <is>
          <t>Jdb mjss crew ss tee short set</t>
        </is>
      </c>
      <c r="G698" s="19" t="inlineStr">
        <is>
          <t>https://www.basket4ballers.com/fr/vetements-lifestyle/21440-t-shirt-jdb-mjss-crew-ss-tee-short-set-656955-g6p.html?utm_source=lemrock&amp;utm_medium=cpc&amp;utm_campaign=lemrock#/391-tailles-12_mois</t>
        </is>
      </c>
      <c r="H698" s="20" t="n">
        <v>2898</v>
      </c>
      <c r="I698" s="20" t="n">
        <v>15</v>
      </c>
      <c r="J698" s="21">
        <f>IF(H698=0,0,I698/H698)</f>
        <v/>
      </c>
    </row>
    <row r="699">
      <c r="A699" s="17" t="inlineStr">
        <is>
          <t>Basket4ballers</t>
        </is>
      </c>
      <c r="B699" s="17" t="inlineStr">
        <is>
          <t>Live</t>
        </is>
      </c>
      <c r="C699" s="17" t="inlineStr">
        <is>
          <t>Basket4ballers</t>
        </is>
      </c>
      <c r="D699" s="17" t="inlineStr">
        <is>
          <t>eCommerce</t>
        </is>
      </c>
      <c r="E699" s="18" t="inlineStr">
        <is>
          <t>Maillot NBA Enfant Swingman Icon Philadelphia 76ers Joel</t>
        </is>
      </c>
      <c r="F699" s="17" t="inlineStr">
        <is>
          <t>Achetez le Maillot NBA x Nike Enfant Swingman Icon Philadelphia 76ers de Joel Embiid Nike sur la boutique en ligne Basket4Ballers !</t>
        </is>
      </c>
      <c r="G699" s="19" t="inlineStr">
        <is>
          <t>https://www.basket4ballers.com/fr/kids/17260-maillot-nba-enfant-swingman-icon-philadelphia-76ers-joel-embiid-nike.html?utm_source=lemrock&amp;utm_medium=cpc&amp;utm_campaign=lemrock#/411-tailles-xl_enfant_1m65_a_1m80</t>
        </is>
      </c>
      <c r="H699" s="20" t="n">
        <v>2897</v>
      </c>
      <c r="I699" s="20" t="n">
        <v>17</v>
      </c>
      <c r="J699" s="21">
        <f>IF(H699=0,0,I699/H699)</f>
        <v/>
      </c>
    </row>
    <row r="700">
      <c r="A700" s="17" t="inlineStr">
        <is>
          <t>Basket4ballers</t>
        </is>
      </c>
      <c r="B700" s="17" t="inlineStr">
        <is>
          <t>Live</t>
        </is>
      </c>
      <c r="C700" s="17" t="inlineStr">
        <is>
          <t>Basket4ballers</t>
        </is>
      </c>
      <c r="D700" s="17" t="inlineStr">
        <is>
          <t>Vêtements et textile</t>
        </is>
      </c>
      <c r="E700" s="18" t="inlineStr">
        <is>
          <t>Short de protection Mc David Hex Short Black</t>
        </is>
      </c>
      <c r="F700" s="17" t="inlineStr">
        <is>
          <t>Caractéristiques et avantages Technologie Hex™ de 9 mm légère, respirante et flexible Développé pour protéger des impacts reçus au niveau des crêtes iliaques, de la cuisse et du</t>
        </is>
      </c>
      <c r="G700" s="19" t="inlineStr">
        <is>
          <t>https://www.basket4ballers.com/fr/vetements/16867-short-de-protection-mc-david-hex-short-black.html?utm_source=lemrock&amp;utm_medium=cpc&amp;utm_campaign=lemrock#/69-tailles-m</t>
        </is>
      </c>
      <c r="H700" s="20" t="n">
        <v>2891</v>
      </c>
      <c r="I700" s="20" t="n">
        <v>17</v>
      </c>
      <c r="J700" s="21">
        <f>IF(H700=0,0,I700/H700)</f>
        <v/>
      </c>
    </row>
    <row r="701">
      <c r="A701" s="17" t="inlineStr">
        <is>
          <t>Basket4ballers</t>
        </is>
      </c>
      <c r="B701" s="17" t="inlineStr">
        <is>
          <t>Live</t>
        </is>
      </c>
      <c r="C701" s="17" t="inlineStr">
        <is>
          <t>Basket4ballers</t>
        </is>
      </c>
      <c r="D701" s="17" t="inlineStr">
        <is>
          <t>eCommerce</t>
        </is>
      </c>
      <c r="E701" s="18" t="inlineStr">
        <is>
          <t>Nike Air Force 1 '07 Wheat - Basket4Ballers</t>
        </is>
      </c>
      <c r="F701" s="17" t="inlineStr">
        <is>
          <t>Sneakers Nike AF1 coloris Timberland</t>
        </is>
      </c>
      <c r="G701" s="19" t="inlineStr">
        <is>
          <t>https://www.basket4ballers.com/fr/basket-sneakers/21504-nike-air-force-1-07-wheat-cj9179-200.html?utm_source=lemrock&amp;utm_medium=cpc&amp;utm_campaign=lemrock#/97-tailles-405</t>
        </is>
      </c>
      <c r="H701" s="20" t="n">
        <v>2877</v>
      </c>
      <c r="I701" s="20" t="n">
        <v>16</v>
      </c>
      <c r="J701" s="21">
        <f>IF(H701=0,0,I701/H701)</f>
        <v/>
      </c>
    </row>
    <row r="702">
      <c r="A702" s="17" t="inlineStr">
        <is>
          <t>Basket4ballers</t>
        </is>
      </c>
      <c r="B702" s="17" t="inlineStr">
        <is>
          <t>Live</t>
        </is>
      </c>
      <c r="C702" s="17" t="inlineStr">
        <is>
          <t>Basket4ballers</t>
        </is>
      </c>
      <c r="D702" s="17" t="inlineStr">
        <is>
          <t>Vêtements et textile</t>
        </is>
      </c>
      <c r="E702" s="18" t="inlineStr">
        <is>
          <t>Survêtement Jordan Enfant Diamond Fleece black</t>
        </is>
      </c>
      <c r="F702" s="17" t="inlineStr">
        <is>
          <t>Ensemble Jordan Enfant Diamond Fleece black</t>
        </is>
      </c>
      <c r="G702" s="19" t="inlineStr">
        <is>
          <t>https://www.basket4ballers.com/fr/vetements-lifestyle/18397-ensemble-jordan-enfant-diamond-fleece-black.html?utm_source=lemrock&amp;utm_medium=cpc&amp;utm_campaign=lemrock#/417-tailles-6_mois</t>
        </is>
      </c>
      <c r="H702" s="20" t="n">
        <v>2852</v>
      </c>
      <c r="I702" s="20" t="n">
        <v>15</v>
      </c>
      <c r="J702" s="21">
        <f>IF(H702=0,0,I702/H702)</f>
        <v/>
      </c>
    </row>
    <row r="703">
      <c r="A703" s="17" t="inlineStr">
        <is>
          <t>Basket4ballers</t>
        </is>
      </c>
      <c r="B703" s="17" t="inlineStr">
        <is>
          <t>Live</t>
        </is>
      </c>
      <c r="C703" s="17" t="inlineStr">
        <is>
          <t>Basket4ballers</t>
        </is>
      </c>
      <c r="D703" s="17" t="inlineStr">
        <is>
          <t>Vêtements et textile</t>
        </is>
      </c>
      <c r="E703" s="18" t="inlineStr">
        <is>
          <t>Short de Compression Mc David Black - Basket4Ballers</t>
        </is>
      </c>
      <c r="F703" s="17" t="inlineStr">
        <is>
          <t>Short de compression McDavid en nylon et élasthanne. Le tissu doté de la technologie hDc disperse et évacue rapidement la transpiration pour une fraîcheur optimale. Grâce à sa</t>
        </is>
      </c>
      <c r="G703" s="19" t="inlineStr">
        <is>
          <t>https://www.basket4ballers.com/fr/vetements/20025-short-de-compression.html?utm_source=lemrock&amp;utm_medium=cpc&amp;utm_campaign=lemrock#/68-tailles-s</t>
        </is>
      </c>
      <c r="H703" s="20" t="n">
        <v>2845</v>
      </c>
      <c r="I703" s="20" t="n">
        <v>9</v>
      </c>
      <c r="J703" s="21">
        <f>IF(H703=0,0,I703/H703)</f>
        <v/>
      </c>
    </row>
    <row r="704">
      <c r="A704" s="17" t="inlineStr">
        <is>
          <t>Basket4ballers</t>
        </is>
      </c>
      <c r="B704" s="17" t="inlineStr">
        <is>
          <t>Live</t>
        </is>
      </c>
      <c r="C704" s="17" t="inlineStr">
        <is>
          <t>Basket4ballers</t>
        </is>
      </c>
      <c r="D704" s="17" t="inlineStr">
        <is>
          <t>eCommerce</t>
        </is>
      </c>
      <c r="E704" s="18" t="inlineStr">
        <is>
          <t>Pantalon Jordan Petit Enfant Jdb Jumpman Logo Fleece Pant</t>
        </is>
      </c>
      <c r="F704" s="17" t="inlineStr">
        <is>
          <t>Pantalon Jordan Petit Enfant Jdb Jumpman Logo Fleece Pant</t>
        </is>
      </c>
      <c r="G704" s="19" t="inlineStr">
        <is>
          <t>https://www.basket4ballers.com/fr/vetements-lifestyle/20874-pantalon-jdb-jumpman-logo-fleece-pant-856327-geh.html?utm_source=lemrock&amp;utm_medium=cpc&amp;utm_campaign=lemrock#/396-tailles-6_7_ans_116_122_cm</t>
        </is>
      </c>
      <c r="H704" s="20" t="n">
        <v>2821</v>
      </c>
      <c r="I704" s="20" t="n">
        <v>14</v>
      </c>
      <c r="J704" s="21">
        <f>IF(H704=0,0,I704/H704)</f>
        <v/>
      </c>
    </row>
    <row r="705">
      <c r="A705" s="17" t="inlineStr">
        <is>
          <t>Basket4ballers</t>
        </is>
      </c>
      <c r="B705" s="17" t="inlineStr">
        <is>
          <t>Live</t>
        </is>
      </c>
      <c r="C705" s="17" t="inlineStr">
        <is>
          <t>Basket4ballers</t>
        </is>
      </c>
      <c r="D705" s="17" t="inlineStr">
        <is>
          <t>Protections et manchons</t>
        </is>
      </c>
      <c r="E705" s="18" t="inlineStr">
        <is>
          <t>Maillot NBA Enfant Swingman Icon Philadelphia 76ers Joel</t>
        </is>
      </c>
      <c r="F705" s="17" t="inlineStr">
        <is>
          <t>Achetez le Maillot NBA x Nike Enfant Swingman Icon Philadelphia 76ers de Joel Embiid Nike sur la boutique en ligne Basket4Ballers !</t>
        </is>
      </c>
      <c r="G705" s="19" t="inlineStr">
        <is>
          <t>https://www.basket4ballers.com/fr/kids/17260-maillot-nba-enfant-swingman-icon-philadelphia-76ers-joel-embiid-nike.html?utm_source=lemrock&amp;utm_medium=cpc&amp;utm_campaign=lemrock#/411-tailles-xl_enfant_1m65_a_1m80</t>
        </is>
      </c>
      <c r="H705" s="20" t="n">
        <v>2821</v>
      </c>
      <c r="I705" s="20" t="n">
        <v>12</v>
      </c>
      <c r="J705" s="21">
        <f>IF(H705=0,0,I705/H705)</f>
        <v/>
      </c>
    </row>
    <row r="706">
      <c r="A706" s="17" t="inlineStr">
        <is>
          <t>Basket4ballers</t>
        </is>
      </c>
      <c r="B706" s="17" t="inlineStr">
        <is>
          <t>Live</t>
        </is>
      </c>
      <c r="C706" s="17" t="inlineStr">
        <is>
          <t>Basket4ballers</t>
        </is>
      </c>
      <c r="D706" s="17" t="inlineStr">
        <is>
          <t>eCommerce</t>
        </is>
      </c>
      <c r="E706" s="18" t="inlineStr">
        <is>
          <t>Body Jordan bébé Hbr/dna Romper - Basket4Ballers</t>
        </is>
      </c>
      <c r="F706" s="17" t="inlineStr">
        <is>
          <t>Hbr/dna jrdn jersy romper</t>
        </is>
      </c>
      <c r="G706" s="19" t="inlineStr">
        <is>
          <t>https://www.basket4ballers.com/fr/jordan-enfant/22600-hbr-dna-jrdn-jersy-romper-556169-023.html?utm_source=lemrock&amp;utm_medium=cpc&amp;utm_campaign=lemrock#/420-tailles-3_mois</t>
        </is>
      </c>
      <c r="H706" s="20" t="n">
        <v>2816</v>
      </c>
      <c r="I706" s="20" t="n">
        <v>20</v>
      </c>
      <c r="J706" s="21">
        <f>IF(H706=0,0,I706/H706)</f>
        <v/>
      </c>
    </row>
    <row r="707">
      <c r="A707" s="17" t="inlineStr">
        <is>
          <t>Basket4ballers</t>
        </is>
      </c>
      <c r="B707" s="17" t="inlineStr">
        <is>
          <t>Live</t>
        </is>
      </c>
      <c r="C707" s="17" t="inlineStr">
        <is>
          <t>Basket4ballers</t>
        </is>
      </c>
      <c r="D707" s="17" t="inlineStr">
        <is>
          <t>Figurines POP!</t>
        </is>
      </c>
      <c r="E707" s="18" t="inlineStr">
        <is>
          <t>Figurines POP! NBA au meilleur prix | Basket4Ballers</t>
        </is>
      </c>
      <c r="F707" s="17" t="inlineStr">
        <is>
          <t>Figurines Funko POP! NBA des joueurs et légendes de la ligue, pour la collection ou le cadeau d’un fan, dans une boutique spécialisée livrant en 72 h max.</t>
        </is>
      </c>
      <c r="G707" s="19" t="inlineStr">
        <is>
          <t>https://www.basket4ballers.com/fr/99_pop</t>
        </is>
      </c>
      <c r="H707" s="20" t="n">
        <v>2811</v>
      </c>
      <c r="I707" s="20" t="n">
        <v>15</v>
      </c>
      <c r="J707" s="21">
        <f>IF(H707=0,0,I707/H707)</f>
        <v/>
      </c>
    </row>
    <row r="708">
      <c r="A708" s="17" t="inlineStr">
        <is>
          <t>Basket4ballers</t>
        </is>
      </c>
      <c r="B708" s="17" t="inlineStr">
        <is>
          <t>Live</t>
        </is>
      </c>
      <c r="C708" s="17" t="inlineStr">
        <is>
          <t>Basket4ballers</t>
        </is>
      </c>
      <c r="D708" s="17" t="inlineStr">
        <is>
          <t>Protections et manchons</t>
        </is>
      </c>
      <c r="E708" s="18" t="inlineStr">
        <is>
          <t>Baseball-Shirt MLB Chicago White Sox Nike Official Replica</t>
        </is>
      </c>
      <c r="F708" s="17" t="inlineStr">
        <is>
          <t>Chicago White Sox MLB Nike Official Replica Alternate JerseyPro Black</t>
        </is>
      </c>
      <c r="G708" s="19" t="inlineStr">
        <is>
          <t>https://www.basket4ballers.com/fr/chemises-baseball/22238-chicago-white-sox-mlb-nike-official-replica-alternate-jerseypro-black-t770rxbarxxva.html?utm_source=lemrock&amp;utm_medium=cpc&amp;utm_campaign=lemrock#/69-tailles-m</t>
        </is>
      </c>
      <c r="H708" s="20" t="n">
        <v>2809</v>
      </c>
      <c r="I708" s="20" t="n">
        <v>20</v>
      </c>
      <c r="J708" s="21">
        <f>IF(H708=0,0,I708/H708)</f>
        <v/>
      </c>
    </row>
    <row r="709">
      <c r="A709" s="17" t="inlineStr">
        <is>
          <t>Basket4ballers</t>
        </is>
      </c>
      <c r="B709" s="17" t="inlineStr">
        <is>
          <t>Live</t>
        </is>
      </c>
      <c r="C709" s="17" t="inlineStr">
        <is>
          <t>Basket4ballers</t>
        </is>
      </c>
      <c r="D709" s="17" t="inlineStr">
        <is>
          <t>Protections et manchons</t>
        </is>
      </c>
      <c r="E709" s="18" t="inlineStr">
        <is>
          <t>Maillot NBA Larry Johnson Charlotte Hornets 1992-93</t>
        </is>
      </c>
      <c r="F709" s="17" t="inlineStr">
        <is>
          <t>Maillot NBA Retro de la marque Mitchell&amp;Ness</t>
        </is>
      </c>
      <c r="G709" s="19" t="inlineStr">
        <is>
          <t>https://www.basket4ballers.com/fr/charlotte-hornets/12861-maillot-nba-larry-johnson-charlotte-hornets-1992-93-swingman-mitchellness.html?utm_source=lemrock&amp;utm_medium=cpc&amp;utm_campaign=lemrock#/100-tailles-xs</t>
        </is>
      </c>
      <c r="H709" s="20" t="n">
        <v>2805</v>
      </c>
      <c r="I709" s="20" t="n">
        <v>15</v>
      </c>
      <c r="J709" s="21">
        <f>IF(H709=0,0,I709/H709)</f>
        <v/>
      </c>
    </row>
    <row r="710">
      <c r="A710" s="17" t="inlineStr">
        <is>
          <t>Basket4ballers</t>
        </is>
      </c>
      <c r="B710" s="17" t="inlineStr">
        <is>
          <t>Live</t>
        </is>
      </c>
      <c r="C710" s="17" t="inlineStr">
        <is>
          <t>Basket4ballers</t>
        </is>
      </c>
      <c r="D710" s="17" t="inlineStr">
        <is>
          <t>Vêtements et textile</t>
        </is>
      </c>
      <c r="E710" s="18" t="inlineStr">
        <is>
          <t>Coudière Nike Pro Elite Sleeve 2.0 black - Basket4Ballers</t>
        </is>
      </c>
      <c r="F710" s="17" t="inlineStr">
        <is>
          <t>Manchon Nike Basket noir vendu à l'unité</t>
        </is>
      </c>
      <c r="G710" s="19" t="inlineStr">
        <is>
          <t>https://www.basket4ballers.com/fr/coudieres-et-genouilleres/20553-nike-pro-elite-sleeve-20-nike-pro-elite-sleeve-20-blawhi-n0003146027.html?utm_source=lemrock&amp;utm_medium=cpc&amp;utm_campaign=lemrock#/250-tailles-l_xl</t>
        </is>
      </c>
      <c r="H710" s="20" t="n">
        <v>2796</v>
      </c>
      <c r="I710" s="20" t="n">
        <v>15</v>
      </c>
      <c r="J710" s="21">
        <f>IF(H710=0,0,I710/H710)</f>
        <v/>
      </c>
    </row>
    <row r="711">
      <c r="A711" s="17" t="inlineStr">
        <is>
          <t>Basket4ballers</t>
        </is>
      </c>
      <c r="B711" s="17" t="inlineStr">
        <is>
          <t>Live</t>
        </is>
      </c>
      <c r="C711" s="17" t="inlineStr">
        <is>
          <t>Basket4ballers</t>
        </is>
      </c>
      <c r="D711" s="17" t="inlineStr">
        <is>
          <t>eCommerce</t>
        </is>
      </c>
      <c r="E711" s="18" t="inlineStr">
        <is>
          <t>Chaussettes Nike NBA Elite black - Basket4Ballers</t>
        </is>
      </c>
      <c r="F711" s="17" t="inlineStr">
        <is>
          <t>NBA Crew Socks</t>
        </is>
      </c>
      <c r="G711" s="19" t="inlineStr">
        <is>
          <t>https://www.basket4ballers.com/fr/chaussettes/17682-chaussettes-nike-elite-black-white-sx7587-010.html?utm_source=lemrock&amp;utm_medium=cpc&amp;utm_campaign=lemrock#/62-tailles-38_42</t>
        </is>
      </c>
      <c r="H711" s="20" t="n">
        <v>2756</v>
      </c>
      <c r="I711" s="20" t="n">
        <v>14</v>
      </c>
      <c r="J711" s="21">
        <f>IF(H711=0,0,I711/H711)</f>
        <v/>
      </c>
    </row>
    <row r="712">
      <c r="A712" s="17" t="inlineStr">
        <is>
          <t>Basket4ballers</t>
        </is>
      </c>
      <c r="B712" s="17" t="inlineStr">
        <is>
          <t>Live</t>
        </is>
      </c>
      <c r="C712" s="17" t="inlineStr">
        <is>
          <t>Basket4ballers</t>
        </is>
      </c>
      <c r="D712" s="17" t="inlineStr">
        <is>
          <t>eCommerce</t>
        </is>
      </c>
      <c r="E712" s="18" t="inlineStr">
        <is>
          <t>Warm Up NBA Chicago Bulls 1992-93 Mitchell&amp;Ness Authentic</t>
        </is>
      </c>
      <c r="F712" s="17" t="inlineStr">
        <is>
          <t>Warm Up NBA Chicago Bulls 1992-93 Mitchell&amp;Ness Authentic Red</t>
        </is>
      </c>
      <c r="G712" s="19" t="inlineStr">
        <is>
          <t>https://www.basket4ballers.com/fr/chicago-bulls/15766-warm-up-nba-chicago-bulls-1992-93-mitchellness-authentic-red.html#/69-tailles-m</t>
        </is>
      </c>
      <c r="H712" s="20" t="n">
        <v>2735</v>
      </c>
      <c r="I712" s="20" t="n">
        <v>13</v>
      </c>
      <c r="J712" s="21">
        <f>IF(H712=0,0,I712/H712)</f>
        <v/>
      </c>
    </row>
    <row r="713">
      <c r="A713" s="17" t="inlineStr">
        <is>
          <t>Basket4ballers</t>
        </is>
      </c>
      <c r="B713" s="17" t="inlineStr">
        <is>
          <t>Live</t>
        </is>
      </c>
      <c r="C713" s="17" t="inlineStr">
        <is>
          <t>Basket4ballers</t>
        </is>
      </c>
      <c r="D713" s="17" t="inlineStr">
        <is>
          <t>eCommerce</t>
        </is>
      </c>
      <c r="E713" s="18" t="inlineStr">
        <is>
          <t>Short de protection Mc David Hex Short Black</t>
        </is>
      </c>
      <c r="F713" s="17" t="inlineStr">
        <is>
          <t>Caractéristiques et avantages Technologie Hex™ de 9 mm légère, respirante et flexible Développé pour protéger des impacts reçus au niveau des crêtes iliaques, de la cuisse et du</t>
        </is>
      </c>
      <c r="G713" s="19" t="inlineStr">
        <is>
          <t>https://www.basket4ballers.com/fr/vetements/16867-short-de-protection-mc-david-hex-short-black.html?utm_source=lemrock&amp;utm_medium=cpc&amp;utm_campaign=lemrock#/69-tailles-m</t>
        </is>
      </c>
      <c r="H713" s="20" t="n">
        <v>2701</v>
      </c>
      <c r="I713" s="20" t="n">
        <v>19</v>
      </c>
      <c r="J713" s="21">
        <f>IF(H713=0,0,I713/H713)</f>
        <v/>
      </c>
    </row>
    <row r="714">
      <c r="A714" s="17" t="inlineStr">
        <is>
          <t>Basket4ballers</t>
        </is>
      </c>
      <c r="B714" s="17" t="inlineStr">
        <is>
          <t>Live</t>
        </is>
      </c>
      <c r="C714" s="17" t="inlineStr">
        <is>
          <t>Basket4ballers</t>
        </is>
      </c>
      <c r="D714" s="17" t="inlineStr">
        <is>
          <t>Vêtements et textile</t>
        </is>
      </c>
      <c r="E714" s="18" t="inlineStr">
        <is>
          <t>Maillot Michael Jordan Dream Team 92 USA Authentic</t>
        </is>
      </c>
      <c r="F714" s="17" t="inlineStr">
        <is>
          <t>Maillot NBA Michael Jordan Dream Team Authentic Mitchell&amp;Ness 100% Polyester. Authentic Jersey.</t>
        </is>
      </c>
      <c r="G714" s="19" t="inlineStr">
        <is>
          <t>https://www.basket4ballers.com/fr/equipe-nationale-americaine-de-basket-team-usa/20713-authentic-jersey-nba-michael-jordan-ajy4gs18414-usanavy92mjo-xs-ajy4gs18414-usanavy92mjo.html?utm_source=lemrock&amp;utm_medium=cpc&amp;utm_campaign=lemrock#/68-tailles-s</t>
        </is>
      </c>
      <c r="H714" s="20" t="n">
        <v>2701</v>
      </c>
      <c r="I714" s="20" t="n">
        <v>14</v>
      </c>
      <c r="J714" s="21">
        <f>IF(H714=0,0,I714/H714)</f>
        <v/>
      </c>
    </row>
    <row r="715">
      <c r="A715" s="17" t="inlineStr">
        <is>
          <t>Basket4ballers</t>
        </is>
      </c>
      <c r="B715" s="17" t="inlineStr">
        <is>
          <t>Live</t>
        </is>
      </c>
      <c r="C715" s="17" t="inlineStr">
        <is>
          <t>Basket4ballers</t>
        </is>
      </c>
      <c r="D715" s="17" t="inlineStr">
        <is>
          <t>eCommerce</t>
        </is>
      </c>
      <c r="E715" s="18" t="inlineStr">
        <is>
          <t>Sweat Jordan enfant Jumpman Logo Fleece Po grey</t>
        </is>
      </c>
      <c r="F715" s="17" t="inlineStr">
        <is>
          <t>Jdb jumpman logo fleece po</t>
        </is>
      </c>
      <c r="G715" s="19" t="inlineStr">
        <is>
          <t>https://www.basket4ballers.com/fr/vetements-lifestyle/20868-jdb-jumpman-logo-fleece-po-956326-geh.html#/397-tailles-8_10_ans</t>
        </is>
      </c>
      <c r="H715" s="20" t="n">
        <v>2679</v>
      </c>
      <c r="I715" s="20" t="n">
        <v>9</v>
      </c>
      <c r="J715" s="21">
        <f>IF(H715=0,0,I715/H715)</f>
        <v/>
      </c>
    </row>
    <row r="716">
      <c r="A716" s="17" t="inlineStr">
        <is>
          <t>Basket4ballers</t>
        </is>
      </c>
      <c r="B716" s="17" t="inlineStr">
        <is>
          <t>Live</t>
        </is>
      </c>
      <c r="C716" s="17" t="inlineStr">
        <is>
          <t>Basket4ballers</t>
        </is>
      </c>
      <c r="D716" s="17" t="inlineStr">
        <is>
          <t>eCommerce</t>
        </is>
      </c>
      <c r="E716" s="18" t="inlineStr">
        <is>
          <t>Casquette snapback NBA OKC Thunder The League New Era</t>
        </is>
      </c>
      <c r="F716" s="17" t="inlineStr">
        <is>
          <t>Casquette snapback NBA OKC Thunder The League New Era</t>
        </is>
      </c>
      <c r="G716" s="19" t="inlineStr">
        <is>
          <t>https://www.basket4ballers.com/fr/oklahoma-city-thunder/19727-casquette-snapback-nba-okc-thunder-the-league-new-era.html?utm_source=lemrock&amp;utm_medium=cpc&amp;utm_campaign=lemrock#/91-tailles-taille_unique</t>
        </is>
      </c>
      <c r="H716" s="20" t="n">
        <v>2656</v>
      </c>
      <c r="I716" s="20" t="n">
        <v>10</v>
      </c>
      <c r="J716" s="21">
        <f>IF(H716=0,0,I716/H716)</f>
        <v/>
      </c>
    </row>
    <row r="717">
      <c r="A717" s="17" t="inlineStr">
        <is>
          <t>Basket4ballers</t>
        </is>
      </c>
      <c r="B717" s="17" t="inlineStr">
        <is>
          <t>Live</t>
        </is>
      </c>
      <c r="C717" s="17" t="inlineStr">
        <is>
          <t>Basket4ballers</t>
        </is>
      </c>
      <c r="D717" s="17" t="inlineStr">
        <is>
          <t>eCommerce</t>
        </is>
      </c>
      <c r="E717" s="18" t="inlineStr">
        <is>
          <t>Warm Up NBA Chicago Bulls 1992-93 Mitchell&amp;Ness Authentic</t>
        </is>
      </c>
      <c r="F717" s="17" t="inlineStr">
        <is>
          <t>Warm Up NBA Chicago Bulls 1992-93 Mitchell&amp;Ness Authentic Red</t>
        </is>
      </c>
      <c r="G717" s="19" t="inlineStr">
        <is>
          <t>https://www.basket4ballers.com/fr/chicago-bulls/15766-warm-up-nba-chicago-bulls-1992-93-mitchellness-authentic-red.html?utm_source=lemrock&amp;utm_medium=cpc&amp;utm_campaign=lemrock#/69-tailles-m</t>
        </is>
      </c>
      <c r="H717" s="20" t="n">
        <v>2654</v>
      </c>
      <c r="I717" s="20" t="n">
        <v>9</v>
      </c>
      <c r="J717" s="21">
        <f>IF(H717=0,0,I717/H717)</f>
        <v/>
      </c>
    </row>
    <row r="718">
      <c r="A718" s="17" t="inlineStr">
        <is>
          <t>Basket4ballers</t>
        </is>
      </c>
      <c r="B718" s="17" t="inlineStr">
        <is>
          <t>Live</t>
        </is>
      </c>
      <c r="C718" s="17" t="inlineStr">
        <is>
          <t>Basket4ballers</t>
        </is>
      </c>
      <c r="D718" s="17" t="inlineStr">
        <is>
          <t>Protections et manchons</t>
        </is>
      </c>
      <c r="E718" s="18" t="inlineStr">
        <is>
          <t>Pantalon Jordan Petit Enfant Jdb Jumpman Logo Fleece Pant</t>
        </is>
      </c>
      <c r="F718" s="17" t="inlineStr">
        <is>
          <t>Pantalon Jordan Petit Enfant Jdb Jumpman Logo Fleece Pant</t>
        </is>
      </c>
      <c r="G718" s="19" t="inlineStr">
        <is>
          <t>https://www.basket4ballers.com/fr/vetements-lifestyle/20874-pantalon-jdb-jumpman-logo-fleece-pant-856327-geh.html?utm_source=lemrock&amp;utm_medium=cpc&amp;utm_campaign=lemrock#/396-tailles-6_7_ans_116_122_cm</t>
        </is>
      </c>
      <c r="H718" s="20" t="n">
        <v>2644</v>
      </c>
      <c r="I718" s="20" t="n">
        <v>13</v>
      </c>
      <c r="J718" s="21">
        <f>IF(H718=0,0,I718/H718)</f>
        <v/>
      </c>
    </row>
    <row r="719">
      <c r="A719" s="17" t="inlineStr">
        <is>
          <t>Basket4ballers</t>
        </is>
      </c>
      <c r="B719" s="17" t="inlineStr">
        <is>
          <t>Live</t>
        </is>
      </c>
      <c r="C719" s="17" t="inlineStr">
        <is>
          <t>Basket4ballers</t>
        </is>
      </c>
      <c r="D719" s="17" t="inlineStr">
        <is>
          <t>Vêtements et textile</t>
        </is>
      </c>
      <c r="E719" s="18" t="inlineStr">
        <is>
          <t>Poignets éponges Jordan Jumpman Gym Red - Basket4Ballers</t>
        </is>
      </c>
      <c r="F719" s="17" t="inlineStr">
        <is>
          <t>Vendus par paire</t>
        </is>
      </c>
      <c r="G719" s="19" t="inlineStr">
        <is>
          <t>https://www.basket4ballers.com/fr/jordan-basketball/13462-jordan-jumpman-wristband-gym-red-bla-jkn01605os.html?utm_source=lemrock&amp;utm_medium=cpc&amp;utm_campaign=lemrock#/91-tailles-taille_unique</t>
        </is>
      </c>
      <c r="H719" s="20" t="n">
        <v>2642</v>
      </c>
      <c r="I719" s="20" t="n">
        <v>11</v>
      </c>
      <c r="J719" s="21">
        <f>IF(H719=0,0,I719/H719)</f>
        <v/>
      </c>
    </row>
    <row r="720">
      <c r="A720" s="17" t="inlineStr">
        <is>
          <t>Basket4ballers</t>
        </is>
      </c>
      <c r="B720" s="17" t="inlineStr">
        <is>
          <t>Live</t>
        </is>
      </c>
      <c r="C720" s="17" t="inlineStr">
        <is>
          <t>Basket4ballers</t>
        </is>
      </c>
      <c r="D720" s="17" t="inlineStr">
        <is>
          <t>Vêtements et textile</t>
        </is>
      </c>
      <c r="E720" s="18" t="inlineStr">
        <is>
          <t>adidas Yung-1 Legend Ivy - Basket4Ballers</t>
        </is>
      </c>
      <c r="F720" s="17" t="inlineStr">
        <is>
          <t>Parcourez les rues de votre ville avec la paire lifestyle signée adidas, la adidas Yung-1 Legend Ivy, disponible sur la boutique en ligne spécialisée dans les sneakers</t>
        </is>
      </c>
      <c r="G720" s="19" t="inlineStr">
        <is>
          <t>https://www.basket4ballers.com/fr/basket-sneakers/19376-adidas-yung-1-legend-ivy.html?utm_source=lemrock&amp;utm_medium=cpc&amp;utm_campaign=lemrock#/74-tailles-38</t>
        </is>
      </c>
      <c r="H720" s="20" t="n">
        <v>2625</v>
      </c>
      <c r="I720" s="20" t="n">
        <v>15</v>
      </c>
      <c r="J720" s="21">
        <f>IF(H720=0,0,I720/H720)</f>
        <v/>
      </c>
    </row>
    <row r="721">
      <c r="A721" s="17" t="inlineStr">
        <is>
          <t>Basket4ballers</t>
        </is>
      </c>
      <c r="B721" s="17" t="inlineStr">
        <is>
          <t>Live</t>
        </is>
      </c>
      <c r="C721" s="17" t="inlineStr">
        <is>
          <t>Basket4ballers</t>
        </is>
      </c>
      <c r="D721" s="17" t="inlineStr">
        <is>
          <t>eCommerce</t>
        </is>
      </c>
      <c r="E721" s="18" t="inlineStr">
        <is>
          <t>Ballon basket enfant Nike Skills - Basket4Ballers</t>
        </is>
      </c>
      <c r="F721" s="17" t="inlineStr">
        <is>
          <t>Ballon basket enfant taille 3 Nike Skills</t>
        </is>
      </c>
      <c r="G721" s="19" t="inlineStr">
        <is>
          <t>https://www.basket4ballers.com/fr/accessoires-basketball/21904-nike-skills-nike-skills-orablawhi-nki08879.html?utm_source=lemrock&amp;utm_medium=cpc&amp;utm_campaign=lemrock#/205-tailles-taille_3</t>
        </is>
      </c>
      <c r="H721" s="20" t="n">
        <v>2606</v>
      </c>
      <c r="I721" s="20" t="n">
        <v>10</v>
      </c>
      <c r="J721" s="21">
        <f>IF(H721=0,0,I721/H721)</f>
        <v/>
      </c>
    </row>
    <row r="722">
      <c r="A722" s="17" t="inlineStr">
        <is>
          <t>Basket4ballers</t>
        </is>
      </c>
      <c r="B722" s="17" t="inlineStr">
        <is>
          <t>Live</t>
        </is>
      </c>
      <c r="C722" s="17" t="inlineStr">
        <is>
          <t>Basket4ballers</t>
        </is>
      </c>
      <c r="D722" s="17" t="inlineStr">
        <is>
          <t>Vêtements et textile</t>
        </is>
      </c>
      <c r="E722" s="18" t="inlineStr">
        <is>
          <t>Sac Air Jordan Pivot Duffle Red - Basket4Ballers</t>
        </is>
      </c>
      <c r="F722" s="17" t="inlineStr">
        <is>
          <t>Achetez sur la boutique en ligne Basket4Ballers, le Sac Air Jordan Pivot Duffle Red ! Textile Air Jordan également disponible.</t>
        </is>
      </c>
      <c r="G722" s="19" t="inlineStr">
        <is>
          <t>https://www.basket4ballers.com/fr/accessoires-basketball/18697-sac-air-jordan-pivot-duffle-red.html?utm_source=lemrock&amp;utm_medium=cpc&amp;utm_campaign=lemrock#/91-tailles-taille_unique</t>
        </is>
      </c>
      <c r="H722" s="20" t="n">
        <v>2593</v>
      </c>
      <c r="I722" s="20" t="n">
        <v>11</v>
      </c>
      <c r="J722" s="21">
        <f>IF(H722=0,0,I722/H722)</f>
        <v/>
      </c>
    </row>
    <row r="723">
      <c r="A723" s="17" t="inlineStr">
        <is>
          <t>Basket4ballers</t>
        </is>
      </c>
      <c r="B723" s="17" t="inlineStr">
        <is>
          <t>Live</t>
        </is>
      </c>
      <c r="C723" s="17" t="inlineStr">
        <is>
          <t>Basket4ballers</t>
        </is>
      </c>
      <c r="D723" s="17" t="inlineStr">
        <is>
          <t>Vêtements et textile</t>
        </is>
      </c>
      <c r="E723" s="18" t="inlineStr">
        <is>
          <t>Bandeau Jordan Jumpman blanc - Basket4Ballers</t>
        </is>
      </c>
      <c r="F723" s="17" t="inlineStr">
        <is>
          <t>Bandeau Jordan Jumpman white</t>
        </is>
      </c>
      <c r="G723" s="19" t="inlineStr">
        <is>
          <t>https://www.basket4ballers.com/fr/jordan-basketball/13461-jordan-jumpman-headband-white-black-jkn00101os.html?utm_source=lemrock&amp;utm_medium=cpc&amp;utm_campaign=lemrock#/91-tailles-taille_unique</t>
        </is>
      </c>
      <c r="H723" s="20" t="n">
        <v>2580</v>
      </c>
      <c r="I723" s="20" t="n">
        <v>6</v>
      </c>
      <c r="J723" s="21">
        <f>IF(H723=0,0,I723/H723)</f>
        <v/>
      </c>
    </row>
    <row r="724">
      <c r="A724" s="17" t="inlineStr">
        <is>
          <t>Basket4ballers</t>
        </is>
      </c>
      <c r="B724" s="17" t="inlineStr">
        <is>
          <t>Live</t>
        </is>
      </c>
      <c r="C724" s="17" t="inlineStr">
        <is>
          <t>Basket4ballers</t>
        </is>
      </c>
      <c r="D724" s="17" t="inlineStr">
        <is>
          <t>Vêtements et textile</t>
        </is>
      </c>
      <c r="E724" s="18" t="inlineStr">
        <is>
          <t>Nike Air Force 1 '07 Wheat - Basket4Ballers</t>
        </is>
      </c>
      <c r="F724" s="17" t="inlineStr">
        <is>
          <t>Sneakers Nike AF1 coloris Timberland</t>
        </is>
      </c>
      <c r="G724" s="19" t="inlineStr">
        <is>
          <t>https://www.basket4ballers.com/fr/basket-sneakers/21504-nike-air-force-1-07-wheat-cj9179-200.html?utm_source=lemrock&amp;utm_medium=cpc&amp;utm_campaign=lemrock#/97-tailles-405</t>
        </is>
      </c>
      <c r="H724" s="20" t="n">
        <v>2576</v>
      </c>
      <c r="I724" s="20" t="n">
        <v>11</v>
      </c>
      <c r="J724" s="21">
        <f>IF(H724=0,0,I724/H724)</f>
        <v/>
      </c>
    </row>
    <row r="725">
      <c r="A725" s="17" t="inlineStr">
        <is>
          <t>Basket4ballers</t>
        </is>
      </c>
      <c r="B725" s="17" t="inlineStr">
        <is>
          <t>Live</t>
        </is>
      </c>
      <c r="C725" s="17" t="inlineStr">
        <is>
          <t>Basket4ballers</t>
        </is>
      </c>
      <c r="D725" s="17" t="inlineStr">
        <is>
          <t>Accessoires et petits équipements</t>
        </is>
      </c>
      <c r="E725" s="18" t="inlineStr">
        <is>
          <t>Survêtement Jordan Enfant Diamond Fleece black</t>
        </is>
      </c>
      <c r="F725" s="17" t="inlineStr">
        <is>
          <t>Ensemble Jordan Enfant Diamond Fleece black</t>
        </is>
      </c>
      <c r="G725" s="19" t="inlineStr">
        <is>
          <t>https://www.basket4ballers.com/fr/vetements-lifestyle/18397-ensemble-jordan-enfant-diamond-fleece-black.html?utm_source=lemrock&amp;utm_medium=cpc&amp;utm_campaign=lemrock#/417-tailles-6_mois</t>
        </is>
      </c>
      <c r="H725" s="20" t="n">
        <v>2572</v>
      </c>
      <c r="I725" s="20" t="n">
        <v>14</v>
      </c>
      <c r="J725" s="21">
        <f>IF(H725=0,0,I725/H725)</f>
        <v/>
      </c>
    </row>
    <row r="726">
      <c r="A726" s="17" t="inlineStr">
        <is>
          <t>Basket4ballers</t>
        </is>
      </c>
      <c r="B726" s="17" t="inlineStr">
        <is>
          <t>Live</t>
        </is>
      </c>
      <c r="C726" s="17" t="inlineStr">
        <is>
          <t>Basket4ballers</t>
        </is>
      </c>
      <c r="D726" s="17" t="inlineStr">
        <is>
          <t>Vêtements et textile</t>
        </is>
      </c>
      <c r="E726" s="18" t="inlineStr">
        <is>
          <t>Pantalon Jordan Petit Enfant Jdb Jumpman Logo Fleece Pant</t>
        </is>
      </c>
      <c r="F726" s="17" t="inlineStr">
        <is>
          <t>Pantalon Jordan Petit Enfant Jdb Jumpman Logo Fleece Pant</t>
        </is>
      </c>
      <c r="G726" s="19" t="inlineStr">
        <is>
          <t>https://www.basket4ballers.com/fr/vetements-lifestyle/20874-pantalon-jdb-jumpman-logo-fleece-pant-856327-geh.html?utm_source=lemrock&amp;utm_medium=cpc&amp;utm_campaign=lemrock#/396-tailles-6_7_ans_116_122_cm</t>
        </is>
      </c>
      <c r="H726" s="20" t="n">
        <v>2571</v>
      </c>
      <c r="I726" s="20" t="n">
        <v>20</v>
      </c>
      <c r="J726" s="21">
        <f>IF(H726=0,0,I726/H726)</f>
        <v/>
      </c>
    </row>
    <row r="727">
      <c r="A727" s="17" t="inlineStr">
        <is>
          <t>Basket4ballers</t>
        </is>
      </c>
      <c r="B727" s="17" t="inlineStr">
        <is>
          <t>Live</t>
        </is>
      </c>
      <c r="C727" s="17" t="inlineStr">
        <is>
          <t>Basket4ballers</t>
        </is>
      </c>
      <c r="D727" s="17" t="inlineStr">
        <is>
          <t>Maillots NBA, équipes et joueurs</t>
        </is>
      </c>
      <c r="E727" s="18" t="inlineStr">
        <is>
          <t>Sabrina 4 et maillots WNBA Ionescu prix bas | Basket4Ballers</t>
        </is>
      </c>
      <c r="F727" s="17" t="inlineStr">
        <is>
          <t>Chaussures de basket de Sabrina Ionescu, Nike Sabrina 4 et Sabrina 3, avec ses maillots WNBA au New York Liberty, livrés en 72 h max.</t>
        </is>
      </c>
      <c r="G727" s="19" t="inlineStr">
        <is>
          <t>https://www.basket4ballers.com/fr/460-sabrina-ionescu</t>
        </is>
      </c>
      <c r="H727" s="20" t="n">
        <v>2569</v>
      </c>
      <c r="I727" s="20" t="n">
        <v>10</v>
      </c>
      <c r="J727" s="21">
        <f>IF(H727=0,0,I727/H727)</f>
        <v/>
      </c>
    </row>
    <row r="728">
      <c r="A728" s="17" t="inlineStr">
        <is>
          <t>Basket4ballers</t>
        </is>
      </c>
      <c r="B728" s="17" t="inlineStr">
        <is>
          <t>Live</t>
        </is>
      </c>
      <c r="C728" s="17" t="inlineStr">
        <is>
          <t>Basket4ballers</t>
        </is>
      </c>
      <c r="D728" s="17" t="inlineStr">
        <is>
          <t>Maillots NBA, équipes et joueurs</t>
        </is>
      </c>
      <c r="E728" s="18" t="inlineStr">
        <is>
          <t>Maillots et textile NBA en promo prix bas | Basket4Ballers</t>
        </is>
      </c>
      <c r="F728" s="17" t="inlineStr">
        <is>
          <t>Promotions sur les maillots et vêtements NBA : maillots officiels, t-shirts, shorts et sweats de franchises à prix réduit, livrés en 72 h max.</t>
        </is>
      </c>
      <c r="G728" s="19" t="inlineStr">
        <is>
          <t>https://www.basket4ballers.com/fr/281-promotions-maillots-et-vetements-nba</t>
        </is>
      </c>
      <c r="H728" s="20" t="n">
        <v>2567</v>
      </c>
      <c r="I728" s="20" t="n">
        <v>14</v>
      </c>
      <c r="J728" s="21">
        <f>IF(H728=0,0,I728/H728)</f>
        <v/>
      </c>
    </row>
    <row r="729">
      <c r="A729" s="17" t="inlineStr">
        <is>
          <t>Basket4ballers</t>
        </is>
      </c>
      <c r="B729" s="17" t="inlineStr">
        <is>
          <t>Live</t>
        </is>
      </c>
      <c r="C729" s="17" t="inlineStr">
        <is>
          <t>Basket4ballers</t>
        </is>
      </c>
      <c r="D729" s="17" t="inlineStr">
        <is>
          <t>Ballons, sacs et protections</t>
        </is>
      </c>
      <c r="E729" s="18" t="inlineStr">
        <is>
          <t>Protections et accessoires basket prix bas | Basket4Ballers</t>
        </is>
      </c>
      <c r="F729" s="17" t="inlineStr">
        <is>
          <t>Équipements de basket : ballons, sacs, coudières, genouillères, bandeaux, poignets et chaussettes, réunis dans une boutique spécialisée livrant en 72 h max.</t>
        </is>
      </c>
      <c r="G729" s="19" t="inlineStr">
        <is>
          <t>https://www.basket4ballers.com/fr/261-equipements</t>
        </is>
      </c>
      <c r="H729" s="20" t="n">
        <v>2566</v>
      </c>
      <c r="I729" s="20" t="n">
        <v>10</v>
      </c>
      <c r="J729" s="21">
        <f>IF(H729=0,0,I729/H729)</f>
        <v/>
      </c>
    </row>
    <row r="730">
      <c r="A730" s="17" t="inlineStr">
        <is>
          <t>Basket4ballers</t>
        </is>
      </c>
      <c r="B730" s="17" t="inlineStr">
        <is>
          <t>Live</t>
        </is>
      </c>
      <c r="C730" s="17" t="inlineStr">
        <is>
          <t>Basket4ballers</t>
        </is>
      </c>
      <c r="D730" s="17" t="inlineStr">
        <is>
          <t>eCommerce</t>
        </is>
      </c>
      <c r="E730" s="18" t="inlineStr">
        <is>
          <t>T-shirt Nike NBA Logo Dri-fit white - Basket4Ballers</t>
        </is>
      </c>
      <c r="F730" s="17" t="inlineStr">
        <is>
          <t>Men's Nike Dri-FIT NBA T-Shirt</t>
        </is>
      </c>
      <c r="G730" s="19" t="inlineStr">
        <is>
          <t>https://www.basket4ballers.com/fr/t-shirts/20044-t-shirt-nike-dri-fit-white-at0515-100.html?utm_source=lemrock&amp;utm_medium=cpc&amp;utm_campaign=lemrock#/72-tailles-xxl</t>
        </is>
      </c>
      <c r="H730" s="20" t="n">
        <v>2530</v>
      </c>
      <c r="I730" s="20" t="n">
        <v>16</v>
      </c>
      <c r="J730" s="21">
        <f>IF(H730=0,0,I730/H730)</f>
        <v/>
      </c>
    </row>
    <row r="731">
      <c r="A731" s="17" t="inlineStr">
        <is>
          <t>Basket4ballers</t>
        </is>
      </c>
      <c r="B731" s="17" t="inlineStr">
        <is>
          <t>Live</t>
        </is>
      </c>
      <c r="C731" s="17" t="inlineStr">
        <is>
          <t>Basket4ballers</t>
        </is>
      </c>
      <c r="D731" s="17" t="inlineStr">
        <is>
          <t>Vêtements et textile</t>
        </is>
      </c>
      <c r="E731" s="18" t="inlineStr">
        <is>
          <t>Bandeau Nike NBA black - Basket4Ballers</t>
        </is>
      </c>
      <c r="F731" s="17" t="inlineStr">
        <is>
          <t>Bandeau NBA Nike black Composition : 93% Nylon 7% caoutchouc</t>
        </is>
      </c>
      <c r="G731" s="19" t="inlineStr">
        <is>
          <t>https://www.basket4ballers.com/fr/accessoires-basketball/17433-nike-headband-nba-black-black-nkn02001os.html?utm_source=lemrock&amp;utm_medium=cpc&amp;utm_campaign=lemrock#/91-tailles-taille_unique</t>
        </is>
      </c>
      <c r="H731" s="20" t="n">
        <v>2526</v>
      </c>
      <c r="I731" s="20" t="n">
        <v>19</v>
      </c>
      <c r="J731" s="21">
        <f>IF(H731=0,0,I731/H731)</f>
        <v/>
      </c>
    </row>
    <row r="732">
      <c r="A732" s="17" t="inlineStr">
        <is>
          <t>Basket4ballers</t>
        </is>
      </c>
      <c r="B732" s="17" t="inlineStr">
        <is>
          <t>Live</t>
        </is>
      </c>
      <c r="C732" s="17" t="inlineStr">
        <is>
          <t>Basket4ballers</t>
        </is>
      </c>
      <c r="D732" s="17" t="inlineStr">
        <is>
          <t>eCommerce</t>
        </is>
      </c>
      <c r="E732" s="18" t="inlineStr">
        <is>
          <t>Maillot Michael Jordan Dream Team 92 USA Authentic</t>
        </is>
      </c>
      <c r="F732" s="17" t="inlineStr">
        <is>
          <t>Maillot NBA Michael Jordan Dream Team Authentic Mitchell&amp;Ness 100% Polyester. Authentic Jersey.</t>
        </is>
      </c>
      <c r="G732" s="19" t="inlineStr">
        <is>
          <t>https://www.basket4ballers.com/fr/equipe-nationale-americaine-de-basket-team-usa/20713-authentic-jersey-nba-michael-jordan-ajy4gs18414-usanavy92mjo-xs-ajy4gs18414-usanavy92mjo.html?utm_source=lemrock&amp;utm_medium=cpc&amp;utm_campaign=lemrock#/68-tailles-s</t>
        </is>
      </c>
      <c r="H732" s="20" t="n">
        <v>2526</v>
      </c>
      <c r="I732" s="20" t="n">
        <v>14</v>
      </c>
      <c r="J732" s="21">
        <f>IF(H732=0,0,I732/H732)</f>
        <v/>
      </c>
    </row>
    <row r="733">
      <c r="A733" s="17" t="inlineStr">
        <is>
          <t>Basket4ballers</t>
        </is>
      </c>
      <c r="B733" s="17" t="inlineStr">
        <is>
          <t>Live</t>
        </is>
      </c>
      <c r="C733" s="17" t="inlineStr">
        <is>
          <t>Basket4ballers</t>
        </is>
      </c>
      <c r="D733" s="17" t="inlineStr">
        <is>
          <t>Vêtements et textile</t>
        </is>
      </c>
      <c r="E733" s="18" t="inlineStr">
        <is>
          <t>Casquette snapback NBA OKC Thunder The League New Era</t>
        </is>
      </c>
      <c r="F733" s="17" t="inlineStr">
        <is>
          <t>Casquette snapback NBA OKC Thunder The League New Era</t>
        </is>
      </c>
      <c r="G733" s="19" t="inlineStr">
        <is>
          <t>https://www.basket4ballers.com/fr/oklahoma-city-thunder/19727-casquette-snapback-nba-okc-thunder-the-league-new-era.html?utm_source=lemrock&amp;utm_medium=cpc&amp;utm_campaign=lemrock#/91-tailles-taille_unique</t>
        </is>
      </c>
      <c r="H733" s="20" t="n">
        <v>2503</v>
      </c>
      <c r="I733" s="20" t="n">
        <v>8</v>
      </c>
      <c r="J733" s="21">
        <f>IF(H733=0,0,I733/H733)</f>
        <v/>
      </c>
    </row>
    <row r="734">
      <c r="A734" s="17" t="inlineStr">
        <is>
          <t>Basket4ballers</t>
        </is>
      </c>
      <c r="B734" s="17" t="inlineStr">
        <is>
          <t>Live</t>
        </is>
      </c>
      <c r="C734" s="17" t="inlineStr">
        <is>
          <t>Basket4ballers</t>
        </is>
      </c>
      <c r="D734" s="17" t="inlineStr">
        <is>
          <t>eCommerce</t>
        </is>
      </c>
      <c r="E734" s="18" t="inlineStr">
        <is>
          <t>Bandeau Nike NBA black - Basket4Ballers</t>
        </is>
      </c>
      <c r="F734" s="17" t="inlineStr">
        <is>
          <t>Bandeau NBA Nike black Composition : 93% Nylon 7% caoutchouc</t>
        </is>
      </c>
      <c r="G734" s="19" t="inlineStr">
        <is>
          <t>https://www.basket4ballers.com/fr/accessoires-basketball/17433-nike-headband-nba-black-black-nkn02001os.html?utm_source=lemrock&amp;utm_medium=cpc&amp;utm_campaign=lemrock#/91-tailles-taille_unique</t>
        </is>
      </c>
      <c r="H734" s="20" t="n">
        <v>2495</v>
      </c>
      <c r="I734" s="20" t="n">
        <v>11</v>
      </c>
      <c r="J734" s="21">
        <f>IF(H734=0,0,I734/H734)</f>
        <v/>
      </c>
    </row>
    <row r="735">
      <c r="A735" s="17" t="inlineStr">
        <is>
          <t>Basket4ballers</t>
        </is>
      </c>
      <c r="B735" s="17" t="inlineStr">
        <is>
          <t>Live</t>
        </is>
      </c>
      <c r="C735" s="17" t="inlineStr">
        <is>
          <t>Basket4ballers</t>
        </is>
      </c>
      <c r="D735" s="17" t="inlineStr">
        <is>
          <t>Vêtements et textile</t>
        </is>
      </c>
      <c r="E735" s="18" t="inlineStr">
        <is>
          <t>Body Jordan bébé Hbr/dna Romper - Basket4Ballers</t>
        </is>
      </c>
      <c r="F735" s="17" t="inlineStr">
        <is>
          <t>Hbr/dna jrdn jersy romper</t>
        </is>
      </c>
      <c r="G735" s="19" t="inlineStr">
        <is>
          <t>https://www.basket4ballers.com/fr/jordan-enfant/22600-hbr-dna-jrdn-jersy-romper-556169-023.html?utm_source=lemrock&amp;utm_medium=cpc&amp;utm_campaign=lemrock#/420-tailles-3_mois</t>
        </is>
      </c>
      <c r="H735" s="20" t="n">
        <v>2477</v>
      </c>
      <c r="I735" s="20" t="n">
        <v>9</v>
      </c>
      <c r="J735" s="21">
        <f>IF(H735=0,0,I735/H735)</f>
        <v/>
      </c>
    </row>
    <row r="736">
      <c r="A736" s="17" t="inlineStr">
        <is>
          <t>Basket4ballers</t>
        </is>
      </c>
      <c r="B736" s="17" t="inlineStr">
        <is>
          <t>Live</t>
        </is>
      </c>
      <c r="C736" s="17" t="inlineStr">
        <is>
          <t>Basket4ballers</t>
        </is>
      </c>
      <c r="D736" s="17" t="inlineStr">
        <is>
          <t>Vêtements et textile</t>
        </is>
      </c>
      <c r="E736" s="18" t="inlineStr">
        <is>
          <t>Chaussettes Jordan Ultimate Flight Quarter 2.0 Basketball</t>
        </is>
      </c>
      <c r="F736" s="17" t="inlineStr">
        <is>
          <t>Jordan Ultimate Flight Quarter 2.0 Basketball Socks ZONED COOLING. SWEAT WICKING. TARGETED CUSHIONING. The Jordan Ultimate Flight Quarter 2.0 Basketball Socks feature a plush</t>
        </is>
      </c>
      <c r="G736" s="19" t="inlineStr">
        <is>
          <t>https://www.basket4ballers.com/fr/jordan-basketball/16920-chaussettes-jordan-ultimate-flight-quarter-20-basketball-socks-black-white-sx5855-011.html?utm_source=lemrock&amp;utm_medium=cpc&amp;utm_campaign=lemrock#/128-tailles-34_38</t>
        </is>
      </c>
      <c r="H736" s="20" t="n">
        <v>2476</v>
      </c>
      <c r="I736" s="20" t="n">
        <v>18</v>
      </c>
      <c r="J736" s="21">
        <f>IF(H736=0,0,I736/H736)</f>
        <v/>
      </c>
    </row>
    <row r="737">
      <c r="A737" s="17" t="inlineStr">
        <is>
          <t>Basket4ballers</t>
        </is>
      </c>
      <c r="B737" s="17" t="inlineStr">
        <is>
          <t>Live</t>
        </is>
      </c>
      <c r="C737" s="17" t="inlineStr">
        <is>
          <t>Basket4ballers</t>
        </is>
      </c>
      <c r="D737" s="17" t="inlineStr">
        <is>
          <t>Accessoires et petits équipements</t>
        </is>
      </c>
      <c r="E737" s="18" t="inlineStr">
        <is>
          <t>Ensemble T-shirt short enfant Jordan Sticker grey</t>
        </is>
      </c>
      <c r="F737" s="17" t="inlineStr">
        <is>
          <t>Jdb mjss crew ss tee short set</t>
        </is>
      </c>
      <c r="G737" s="19" t="inlineStr">
        <is>
          <t>https://www.basket4ballers.com/fr/vetements-lifestyle/21440-t-shirt-jdb-mjss-crew-ss-tee-short-set-656955-g6p.html?utm_source=lemrock&amp;utm_medium=cpc&amp;utm_campaign=lemrock#/391-tailles-12_mois</t>
        </is>
      </c>
      <c r="H737" s="20" t="n">
        <v>2472</v>
      </c>
      <c r="I737" s="20" t="n">
        <v>13</v>
      </c>
      <c r="J737" s="21">
        <f>IF(H737=0,0,I737/H737)</f>
        <v/>
      </c>
    </row>
    <row r="738">
      <c r="A738" s="17" t="inlineStr">
        <is>
          <t>Basket4ballers</t>
        </is>
      </c>
      <c r="B738" s="17" t="inlineStr">
        <is>
          <t>Live</t>
        </is>
      </c>
      <c r="C738" s="17" t="inlineStr">
        <is>
          <t>Basket4ballers</t>
        </is>
      </c>
      <c r="D738" s="17" t="inlineStr">
        <is>
          <t>eCommerce</t>
        </is>
      </c>
      <c r="E738" s="18" t="inlineStr">
        <is>
          <t>Sweat Jordan enfant Jumpman Logo Fleece Po grey</t>
        </is>
      </c>
      <c r="F738" s="17" t="inlineStr">
        <is>
          <t>Jdb jumpman logo fleece po</t>
        </is>
      </c>
      <c r="G738" s="19" t="inlineStr">
        <is>
          <t>https://www.basket4ballers.com/fr/vetements-lifestyle/20868-jdb-jumpman-logo-fleece-po-956326-geh.html?utm_source=lemrock&amp;utm_medium=cpc&amp;utm_campaign=lemrock#/397-tailles-8_10_ans</t>
        </is>
      </c>
      <c r="H738" s="20" t="n">
        <v>2461</v>
      </c>
      <c r="I738" s="20" t="n">
        <v>13</v>
      </c>
      <c r="J738" s="21">
        <f>IF(H738=0,0,I738/H738)</f>
        <v/>
      </c>
    </row>
    <row r="739">
      <c r="A739" s="17" t="inlineStr">
        <is>
          <t>Basket4ballers</t>
        </is>
      </c>
      <c r="B739" s="17" t="inlineStr">
        <is>
          <t>Live</t>
        </is>
      </c>
      <c r="C739" s="17" t="inlineStr">
        <is>
          <t>Basket4ballers</t>
        </is>
      </c>
      <c r="D739" s="17" t="inlineStr">
        <is>
          <t>eCommerce</t>
        </is>
      </c>
      <c r="E739" s="18" t="inlineStr">
        <is>
          <t>Chaussettes Jordan Ultimate Flight Quarter 2.0 Basketball</t>
        </is>
      </c>
      <c r="F739" s="17" t="inlineStr">
        <is>
          <t>Jordan Ultimate Flight Quarter 2.0 Basketball Socks ZONED COOLING. SWEAT WICKING. TARGETED CUSHIONING. The Jordan Ultimate Flight Quarter 2.0 Basketball Socks feature a plush</t>
        </is>
      </c>
      <c r="G739" s="19" t="inlineStr">
        <is>
          <t>https://www.basket4ballers.com/fr/jordan-basketball/16920-chaussettes-jordan-ultimate-flight-quarter-20-basketball-socks-black-white-sx5855-011.html?utm_source=lemrock&amp;utm_medium=cpc&amp;utm_campaign=lemrock#/128-tailles-34_38</t>
        </is>
      </c>
      <c r="H739" s="20" t="n">
        <v>2451</v>
      </c>
      <c r="I739" s="20" t="n">
        <v>5</v>
      </c>
      <c r="J739" s="21">
        <f>IF(H739=0,0,I739/H739)</f>
        <v/>
      </c>
    </row>
    <row r="740">
      <c r="A740" s="17" t="inlineStr">
        <is>
          <t>Basket4ballers</t>
        </is>
      </c>
      <c r="B740" s="17" t="inlineStr">
        <is>
          <t>Live</t>
        </is>
      </c>
      <c r="C740" s="17" t="inlineStr">
        <is>
          <t>Basket4ballers</t>
        </is>
      </c>
      <c r="D740" s="17" t="inlineStr">
        <is>
          <t>eCommerce</t>
        </is>
      </c>
      <c r="E740" s="18" t="inlineStr">
        <is>
          <t>Nike Air Max Infuriate II Premium white - Basket4Ballers</t>
        </is>
      </c>
      <c r="F740" s="17" t="inlineStr">
        <is>
          <t>SPEED AND POWER, LOCKED IN. The anticipated sequel to one of Nike Basketball's newest offerings, Nike Air Max Infuriate II Premium Men's Basketball Shoe locks you in with a</t>
        </is>
      </c>
      <c r="G740" s="19" t="inlineStr">
        <is>
          <t>https://www.basket4ballers.com/fr/basketball/17121-nike-air-max-infuriate-ii-premium-white-vast-grey-night-purple-aj1933-140.html?utm_source=lemrock&amp;utm_medium=cpc&amp;utm_campaign=lemrock#/129-tailles-385</t>
        </is>
      </c>
      <c r="H740" s="20" t="n">
        <v>2437</v>
      </c>
      <c r="I740" s="20" t="n">
        <v>15</v>
      </c>
      <c r="J740" s="21">
        <f>IF(H740=0,0,I740/H740)</f>
        <v/>
      </c>
    </row>
    <row r="741">
      <c r="A741" s="17" t="inlineStr">
        <is>
          <t>Basket4ballers</t>
        </is>
      </c>
      <c r="B741" s="17" t="inlineStr">
        <is>
          <t>Live</t>
        </is>
      </c>
      <c r="C741" s="17" t="inlineStr">
        <is>
          <t>Basket4ballers</t>
        </is>
      </c>
      <c r="D741" s="17" t="inlineStr">
        <is>
          <t>Maillots NBA, équipes et joueurs</t>
        </is>
      </c>
      <c r="E741" s="18" t="inlineStr">
        <is>
          <t>Maillots rétro Mitchell &amp; Ness pas chers | Basket4Ballers</t>
        </is>
      </c>
      <c r="F741" s="17" t="inlineStr">
        <is>
          <t>Maillots rétro authentiques, jerseys, shorts, t-shirts et casquettes basketball vintage Mitchell &amp; Ness, en plusieurs tailles, livrés en 72 h max.</t>
        </is>
      </c>
      <c r="G741" s="19" t="inlineStr">
        <is>
          <t>https://www.basket4ballers.com/fr/7_mitchell-ness</t>
        </is>
      </c>
      <c r="H741" s="20" t="n">
        <v>2430</v>
      </c>
      <c r="I741" s="20" t="n">
        <v>11</v>
      </c>
      <c r="J741" s="21">
        <f>IF(H741=0,0,I741/H741)</f>
        <v/>
      </c>
    </row>
    <row r="742">
      <c r="A742" s="17" t="inlineStr">
        <is>
          <t>Basket4ballers</t>
        </is>
      </c>
      <c r="B742" s="17" t="inlineStr">
        <is>
          <t>Live</t>
        </is>
      </c>
      <c r="C742" s="17" t="inlineStr">
        <is>
          <t>Basket4ballers</t>
        </is>
      </c>
      <c r="D742" s="17" t="inlineStr">
        <is>
          <t>Vêtements et textile</t>
        </is>
      </c>
      <c r="E742" s="18" t="inlineStr">
        <is>
          <t>Nike Air Max Infuriate II Premium white - Basket4Ballers</t>
        </is>
      </c>
      <c r="F742" s="17" t="inlineStr">
        <is>
          <t>SPEED AND POWER, LOCKED IN. The anticipated sequel to one of Nike Basketball's newest offerings, Nike Air Max Infuriate II Premium Men's Basketball Shoe locks you in with a</t>
        </is>
      </c>
      <c r="G742" s="19" t="inlineStr">
        <is>
          <t>https://www.basket4ballers.com/fr/basketball/17121-nike-air-max-infuriate-ii-premium-white-vast-grey-night-purple-aj1933-140.html?utm_source=lemrock&amp;utm_medium=cpc&amp;utm_campaign=lemrock#/129-tailles-385</t>
        </is>
      </c>
      <c r="H742" s="20" t="n">
        <v>2426</v>
      </c>
      <c r="I742" s="20" t="n">
        <v>12</v>
      </c>
      <c r="J742" s="21">
        <f>IF(H742=0,0,I742/H742)</f>
        <v/>
      </c>
    </row>
    <row r="743">
      <c r="A743" s="17" t="inlineStr">
        <is>
          <t>Basket4ballers</t>
        </is>
      </c>
      <c r="B743" s="17" t="inlineStr">
        <is>
          <t>Live</t>
        </is>
      </c>
      <c r="C743" s="17" t="inlineStr">
        <is>
          <t>Basket4ballers</t>
        </is>
      </c>
      <c r="D743" s="17" t="inlineStr">
        <is>
          <t>Vêtements et textile</t>
        </is>
      </c>
      <c r="E743" s="18" t="inlineStr">
        <is>
          <t>Ballon basket enfant Nike Skills - Basket4Ballers</t>
        </is>
      </c>
      <c r="F743" s="17" t="inlineStr">
        <is>
          <t>Ballon basket enfant taille 3 Nike Skills</t>
        </is>
      </c>
      <c r="G743" s="19" t="inlineStr">
        <is>
          <t>https://www.basket4ballers.com/fr/accessoires-basketball/21904-nike-skills-nike-skills-orablawhi-nki08879.html?utm_source=lemrock&amp;utm_medium=cpc&amp;utm_campaign=lemrock#/205-tailles-taille_3</t>
        </is>
      </c>
      <c r="H743" s="20" t="n">
        <v>2420</v>
      </c>
      <c r="I743" s="20" t="n">
        <v>12</v>
      </c>
      <c r="J743" s="21">
        <f>IF(H743=0,0,I743/H743)</f>
        <v/>
      </c>
    </row>
    <row r="744">
      <c r="A744" s="17" t="inlineStr">
        <is>
          <t>Basket4ballers</t>
        </is>
      </c>
      <c r="B744" s="17" t="inlineStr">
        <is>
          <t>Live</t>
        </is>
      </c>
      <c r="C744" s="17" t="inlineStr">
        <is>
          <t>Basket4ballers</t>
        </is>
      </c>
      <c r="D744" s="17" t="inlineStr">
        <is>
          <t>Accessoires et petits équipements</t>
        </is>
      </c>
      <c r="E744" s="18" t="inlineStr">
        <is>
          <t>Nike Air Max Infuriate II Premium white - Basket4Ballers</t>
        </is>
      </c>
      <c r="F744" s="17" t="inlineStr">
        <is>
          <t>SPEED AND POWER, LOCKED IN. The anticipated sequel to one of Nike Basketball's newest offerings, Nike Air Max Infuriate II Premium Men's Basketball Shoe locks you in with a</t>
        </is>
      </c>
      <c r="G744" s="19" t="inlineStr">
        <is>
          <t>https://www.basket4ballers.com/fr/basketball/17121-nike-air-max-infuriate-ii-premium-white-vast-grey-night-purple-aj1933-140.html?utm_source=lemrock&amp;utm_medium=cpc&amp;utm_campaign=lemrock#/129-tailles-385</t>
        </is>
      </c>
      <c r="H744" s="20" t="n">
        <v>2416</v>
      </c>
      <c r="I744" s="20" t="n">
        <v>9</v>
      </c>
      <c r="J744" s="21">
        <f>IF(H744=0,0,I744/H744)</f>
        <v/>
      </c>
    </row>
    <row r="745">
      <c r="A745" s="17" t="inlineStr">
        <is>
          <t>Basket4ballers</t>
        </is>
      </c>
      <c r="B745" s="17" t="inlineStr">
        <is>
          <t>Live</t>
        </is>
      </c>
      <c r="C745" s="17" t="inlineStr">
        <is>
          <t>Basket4ballers</t>
        </is>
      </c>
      <c r="D745" s="17" t="inlineStr">
        <is>
          <t>eCommerce</t>
        </is>
      </c>
      <c r="E745" s="18" t="inlineStr">
        <is>
          <t>T-shirt Nike NBA Logo Dri-fit white</t>
        </is>
      </c>
      <c r="F745" s="17" t="inlineStr">
        <is>
          <t>HOMMAGE À VOTRE LIGUE PRÉFÉRÉE. Rendez hommage au partenariat entre Nike et la NBA avec le tee-shirt Nike NBA Dri-FIT pour Homme, confectionné dans un tissu doux</t>
        </is>
      </c>
      <c r="G745" s="19" t="inlineStr">
        <is>
          <t>https://www.basket4ballers.com/fr/t-shirts/20044-t-shirt-nike-dri-fit-white-at0515-100.html#/72-tailles-xxl</t>
        </is>
      </c>
      <c r="H745" s="20" t="n">
        <v>2416</v>
      </c>
      <c r="I745" s="20" t="n">
        <v>7</v>
      </c>
      <c r="J745" s="21">
        <f>IF(H745=0,0,I745/H745)</f>
        <v/>
      </c>
    </row>
    <row r="746">
      <c r="A746" s="17" t="inlineStr">
        <is>
          <t>Basket4ballers</t>
        </is>
      </c>
      <c r="B746" s="17" t="inlineStr">
        <is>
          <t>Live</t>
        </is>
      </c>
      <c r="C746" s="17" t="inlineStr">
        <is>
          <t>Basket4ballers</t>
        </is>
      </c>
      <c r="D746" s="17" t="inlineStr">
        <is>
          <t>Vêtements et textile</t>
        </is>
      </c>
      <c r="E746" s="18" t="inlineStr">
        <is>
          <t>Pack de 2 coudières Jordan Shooter black - Basket4Ballers</t>
        </is>
      </c>
      <c r="F746" s="17" t="inlineStr">
        <is>
          <t>Pack de 2 coudières Jordan Shooter black</t>
        </is>
      </c>
      <c r="G746" s="19" t="inlineStr">
        <is>
          <t>https://www.basket4ballers.com/fr/jordan-basketball/13464-jordan-shooter-sleeves-black-white-jks04010.html?utm_source=lemrock&amp;utm_medium=cpc&amp;utm_campaign=lemrock#/250-tailles-l_xl</t>
        </is>
      </c>
      <c r="H746" s="20" t="n">
        <v>2416</v>
      </c>
      <c r="I746" s="20" t="n">
        <v>7</v>
      </c>
      <c r="J746" s="21">
        <f>IF(H746=0,0,I746/H746)</f>
        <v/>
      </c>
    </row>
    <row r="747">
      <c r="A747" s="17" t="inlineStr">
        <is>
          <t>Basket4ballers</t>
        </is>
      </c>
      <c r="B747" s="17" t="inlineStr">
        <is>
          <t>Live</t>
        </is>
      </c>
      <c r="C747" s="17" t="inlineStr">
        <is>
          <t>Basket4ballers</t>
        </is>
      </c>
      <c r="D747" s="17" t="inlineStr">
        <is>
          <t>eCommerce</t>
        </is>
      </c>
      <c r="E747" s="18" t="inlineStr">
        <is>
          <t>Short NBA Philadelphia 76ers 1996-97 Swingman Mitchell&amp;Ness</t>
        </is>
      </c>
      <c r="F747" s="17" t="inlineStr">
        <is>
          <t>Short NBA Retro par la marque Mitchell and Ness</t>
        </is>
      </c>
      <c r="G747" s="19" t="inlineStr">
        <is>
          <t>https://www.basket4ballers.com/fr/philadelphia-76ers/15728-short-nba-philadelphia-76ers-swingman-mitchellness-red.html#/68-tailles-s</t>
        </is>
      </c>
      <c r="H747" s="20" t="n">
        <v>2415</v>
      </c>
      <c r="I747" s="20" t="n">
        <v>17</v>
      </c>
      <c r="J747" s="21">
        <f>IF(H747=0,0,I747/H747)</f>
        <v/>
      </c>
    </row>
    <row r="748">
      <c r="A748" s="17" t="inlineStr">
        <is>
          <t>Basket4ballers</t>
        </is>
      </c>
      <c r="B748" s="17" t="inlineStr">
        <is>
          <t>Live</t>
        </is>
      </c>
      <c r="C748" s="17" t="inlineStr">
        <is>
          <t>Basket4ballers</t>
        </is>
      </c>
      <c r="D748" s="17" t="inlineStr">
        <is>
          <t>Accessoires et petits équipements</t>
        </is>
      </c>
      <c r="E748" s="18" t="inlineStr">
        <is>
          <t>Maillot NBA Larry Johnson Charlotte Hornets 1992-93</t>
        </is>
      </c>
      <c r="F748" s="17" t="inlineStr">
        <is>
          <t>Maillot NBA Retro de la marque Mitchell&amp;Ness</t>
        </is>
      </c>
      <c r="G748" s="19" t="inlineStr">
        <is>
          <t>https://www.basket4ballers.com/fr/charlotte-hornets/12861-maillot-nba-larry-johnson-charlotte-hornets-1992-93-swingman-mitchellness.html?utm_source=lemrock&amp;utm_medium=cpc&amp;utm_campaign=lemrock#/100-tailles-xs</t>
        </is>
      </c>
      <c r="H748" s="20" t="n">
        <v>2376</v>
      </c>
      <c r="I748" s="20" t="n">
        <v>10</v>
      </c>
      <c r="J748" s="21">
        <f>IF(H748=0,0,I748/H748)</f>
        <v/>
      </c>
    </row>
    <row r="749">
      <c r="A749" s="17" t="inlineStr">
        <is>
          <t>Basket4ballers</t>
        </is>
      </c>
      <c r="B749" s="17" t="inlineStr">
        <is>
          <t>Live</t>
        </is>
      </c>
      <c r="C749" s="17" t="inlineStr">
        <is>
          <t>Basket4ballers</t>
        </is>
      </c>
      <c r="D749" s="17" t="inlineStr">
        <is>
          <t>Accessoires et petits équipements</t>
        </is>
      </c>
      <c r="E749" s="18" t="inlineStr">
        <is>
          <t>Short NBA Philadelphia 76ers 1996-97 Swingman Mitchell&amp;Ness</t>
        </is>
      </c>
      <c r="F749" s="17" t="inlineStr">
        <is>
          <t>Short NBA Retro par la marque Mitchell and Ness</t>
        </is>
      </c>
      <c r="G749" s="19" t="inlineStr">
        <is>
          <t>https://www.basket4ballers.com/fr/philadelphia-76ers/15728-short-nba-philadelphia-76ers-swingman-mitchellness-red.html?utm_source=lemrock&amp;utm_medium=cpc&amp;utm_campaign=lemrock#/68-tailles-s</t>
        </is>
      </c>
      <c r="H749" s="20" t="n">
        <v>2373</v>
      </c>
      <c r="I749" s="20" t="n">
        <v>21</v>
      </c>
      <c r="J749" s="21">
        <f>IF(H749=0,0,I749/H749)</f>
        <v/>
      </c>
    </row>
    <row r="750">
      <c r="A750" s="17" t="inlineStr">
        <is>
          <t>Basket4ballers</t>
        </is>
      </c>
      <c r="B750" s="17" t="inlineStr">
        <is>
          <t>Live</t>
        </is>
      </c>
      <c r="C750" s="17" t="inlineStr">
        <is>
          <t>Basket4ballers</t>
        </is>
      </c>
      <c r="D750" s="17" t="inlineStr">
        <is>
          <t>Accessoires et petits équipements</t>
        </is>
      </c>
      <c r="E750" s="18" t="inlineStr">
        <is>
          <t>Warm Up NBA Chicago Bulls 1992-93 Mitchell&amp;Ness Authentic</t>
        </is>
      </c>
      <c r="F750" s="17" t="inlineStr">
        <is>
          <t>Warm Up NBA Chicago Bulls 1992-93 Mitchell&amp;Ness Authentic Red</t>
        </is>
      </c>
      <c r="G750" s="19" t="inlineStr">
        <is>
          <t>https://www.basket4ballers.com/fr/chicago-bulls/15766-warm-up-nba-chicago-bulls-1992-93-mitchellness-authentic-red.html?utm_source=lemrock&amp;utm_medium=cpc&amp;utm_campaign=lemrock#/69-tailles-m</t>
        </is>
      </c>
      <c r="H750" s="20" t="n">
        <v>2372</v>
      </c>
      <c r="I750" s="20" t="n">
        <v>16</v>
      </c>
      <c r="J750" s="21">
        <f>IF(H750=0,0,I750/H750)</f>
        <v/>
      </c>
    </row>
    <row r="751">
      <c r="A751" s="17" t="inlineStr">
        <is>
          <t>Basket4ballers</t>
        </is>
      </c>
      <c r="B751" s="17" t="inlineStr">
        <is>
          <t>Live</t>
        </is>
      </c>
      <c r="C751" s="17" t="inlineStr">
        <is>
          <t>Basket4ballers</t>
        </is>
      </c>
      <c r="D751" s="17" t="inlineStr">
        <is>
          <t>Vêtements et textile</t>
        </is>
      </c>
      <c r="E751" s="18" t="inlineStr">
        <is>
          <t>Maillot NBA Larry Johnson Charlotte Hornets 1992-93</t>
        </is>
      </c>
      <c r="F751" s="17" t="inlineStr">
        <is>
          <t>Maillot NBA Retro de la marque Mitchell&amp;Ness</t>
        </is>
      </c>
      <c r="G751" s="19" t="inlineStr">
        <is>
          <t>https://www.basket4ballers.com/fr/charlotte-hornets/12861-maillot-nba-larry-johnson-charlotte-hornets-1992-93-swingman-mitchellness.html?utm_source=lemrock&amp;utm_medium=cpc&amp;utm_campaign=lemrock#/100-tailles-xs</t>
        </is>
      </c>
      <c r="H751" s="20" t="n">
        <v>2365</v>
      </c>
      <c r="I751" s="20" t="n">
        <v>15</v>
      </c>
      <c r="J751" s="21">
        <f>IF(H751=0,0,I751/H751)</f>
        <v/>
      </c>
    </row>
    <row r="752">
      <c r="A752" s="17" t="inlineStr">
        <is>
          <t>Basket4ballers</t>
        </is>
      </c>
      <c r="B752" s="17" t="inlineStr">
        <is>
          <t>Live</t>
        </is>
      </c>
      <c r="C752" s="17" t="inlineStr">
        <is>
          <t>Basket4ballers</t>
        </is>
      </c>
      <c r="D752" s="17" t="inlineStr">
        <is>
          <t>Accessoires et petits équipements</t>
        </is>
      </c>
      <c r="E752" s="18" t="inlineStr">
        <is>
          <t>Sweat Jordan enfant Jumpman Logo Fleece Po grey</t>
        </is>
      </c>
      <c r="F752" s="17" t="inlineStr">
        <is>
          <t>Jdb jumpman logo fleece po</t>
        </is>
      </c>
      <c r="G752" s="19" t="inlineStr">
        <is>
          <t>https://www.basket4ballers.com/fr/vetements-lifestyle/20868-jdb-jumpman-logo-fleece-po-956326-geh.html#/397-tailles-8_10_ans</t>
        </is>
      </c>
      <c r="H752" s="20" t="n">
        <v>2362</v>
      </c>
      <c r="I752" s="20" t="n">
        <v>8</v>
      </c>
      <c r="J752" s="21">
        <f>IF(H752=0,0,I752/H752)</f>
        <v/>
      </c>
    </row>
    <row r="753">
      <c r="A753" s="17" t="inlineStr">
        <is>
          <t>Basket4ballers</t>
        </is>
      </c>
      <c r="B753" s="17" t="inlineStr">
        <is>
          <t>Live</t>
        </is>
      </c>
      <c r="C753" s="17" t="inlineStr">
        <is>
          <t>Basket4ballers</t>
        </is>
      </c>
      <c r="D753" s="17" t="inlineStr">
        <is>
          <t>Vêtements et textile</t>
        </is>
      </c>
      <c r="E753" s="18" t="inlineStr">
        <is>
          <t>Baseball-Shirt MLB Chicago White Sox Nike Official Replica</t>
        </is>
      </c>
      <c r="F753" s="17" t="inlineStr">
        <is>
          <t>Chicago White Sox MLB Nike Official Replica Alternate JerseyPro Black</t>
        </is>
      </c>
      <c r="G753" s="19" t="inlineStr">
        <is>
          <t>https://www.basket4ballers.com/fr/chemises-baseball/22238-chicago-white-sox-mlb-nike-official-replica-alternate-jerseypro-black-t770rxbarxxva.html?utm_source=lemrock&amp;utm_medium=cpc&amp;utm_campaign=lemrock#/69-tailles-m</t>
        </is>
      </c>
      <c r="H753" s="20" t="n">
        <v>2358</v>
      </c>
      <c r="I753" s="20" t="n">
        <v>10</v>
      </c>
      <c r="J753" s="21">
        <f>IF(H753=0,0,I753/H753)</f>
        <v/>
      </c>
    </row>
    <row r="754">
      <c r="A754" s="17" t="inlineStr">
        <is>
          <t>Basket4ballers</t>
        </is>
      </c>
      <c r="B754" s="17" t="inlineStr">
        <is>
          <t>Live</t>
        </is>
      </c>
      <c r="C754" s="17" t="inlineStr">
        <is>
          <t>Basket4ballers</t>
        </is>
      </c>
      <c r="D754" s="17" t="inlineStr">
        <is>
          <t>eCommerce</t>
        </is>
      </c>
      <c r="E754" s="18" t="inlineStr">
        <is>
          <t>Short NBA Philadelphia 76ers 1996-97 Swingman Mitchell&amp;Ness</t>
        </is>
      </c>
      <c r="F754" s="17" t="inlineStr">
        <is>
          <t>Short NBA Retro par la marque Mitchell and Ness</t>
        </is>
      </c>
      <c r="G754" s="19" t="inlineStr">
        <is>
          <t>https://www.basket4ballers.com/fr/philadelphia-76ers/15728-short-nba-philadelphia-76ers-swingman-mitchellness-red.html?utm_source=lemrock&amp;utm_medium=cpc&amp;utm_campaign=lemrock#/68-tailles-s</t>
        </is>
      </c>
      <c r="H754" s="20" t="n">
        <v>2355</v>
      </c>
      <c r="I754" s="20" t="n">
        <v>8</v>
      </c>
      <c r="J754" s="21">
        <f>IF(H754=0,0,I754/H754)</f>
        <v/>
      </c>
    </row>
    <row r="755">
      <c r="A755" s="17" t="inlineStr">
        <is>
          <t>Basket4ballers</t>
        </is>
      </c>
      <c r="B755" s="17" t="inlineStr">
        <is>
          <t>Live</t>
        </is>
      </c>
      <c r="C755" s="17" t="inlineStr">
        <is>
          <t>Basket4ballers</t>
        </is>
      </c>
      <c r="D755" s="17" t="inlineStr">
        <is>
          <t>Vêtements et textile</t>
        </is>
      </c>
      <c r="E755" s="18" t="inlineStr">
        <is>
          <t>Chaussettes Nike NBA Elite black - Basket4Ballers</t>
        </is>
      </c>
      <c r="F755" s="17" t="inlineStr">
        <is>
          <t>NBA Crew Socks</t>
        </is>
      </c>
      <c r="G755" s="19" t="inlineStr">
        <is>
          <t>https://www.basket4ballers.com/fr/chaussettes/17682-chaussettes-nike-elite-black-white-sx7587-010.html?utm_source=lemrock&amp;utm_medium=cpc&amp;utm_campaign=lemrock#/62-tailles-38_42</t>
        </is>
      </c>
      <c r="H755" s="20" t="n">
        <v>2354</v>
      </c>
      <c r="I755" s="20" t="n">
        <v>9</v>
      </c>
      <c r="J755" s="21">
        <f>IF(H755=0,0,I755/H755)</f>
        <v/>
      </c>
    </row>
    <row r="756">
      <c r="A756" s="17" t="inlineStr">
        <is>
          <t>Basket4ballers</t>
        </is>
      </c>
      <c r="B756" s="17" t="inlineStr">
        <is>
          <t>Live</t>
        </is>
      </c>
      <c r="C756" s="17" t="inlineStr">
        <is>
          <t>Basket4ballers</t>
        </is>
      </c>
      <c r="D756" s="17" t="inlineStr">
        <is>
          <t>Accessoires et petits équipements</t>
        </is>
      </c>
      <c r="E756" s="18" t="inlineStr">
        <is>
          <t>Puma Platform Elements</t>
        </is>
      </c>
      <c r="F756" s="17" t="inlineStr">
        <is>
          <t>Commander une Puma by Rihanna Creeper chez basket4ballers.</t>
        </is>
      </c>
      <c r="G756" s="19" t="inlineStr">
        <is>
          <t>https://www.basket4ballers.com/fr/basket-sneakers/11188-puma-platform-elements.html?utm_source=lemrock&amp;utm_medium=cpc&amp;utm_campaign=lemrock#/158-tailles-37</t>
        </is>
      </c>
      <c r="H756" s="20" t="n">
        <v>2348</v>
      </c>
      <c r="I756" s="20" t="n">
        <v>8</v>
      </c>
      <c r="J756" s="21">
        <f>IF(H756=0,0,I756/H756)</f>
        <v/>
      </c>
    </row>
    <row r="757">
      <c r="A757" s="17" t="inlineStr">
        <is>
          <t>Basket4ballers</t>
        </is>
      </c>
      <c r="B757" s="17" t="inlineStr">
        <is>
          <t>Live</t>
        </is>
      </c>
      <c r="C757" s="17" t="inlineStr">
        <is>
          <t>Basket4ballers</t>
        </is>
      </c>
      <c r="D757" s="17" t="inlineStr">
        <is>
          <t>Accessoires et petits équipements</t>
        </is>
      </c>
      <c r="E757" s="18" t="inlineStr">
        <is>
          <t>Nike Air Force 1 '07 Wheat - Basket4Ballers</t>
        </is>
      </c>
      <c r="F757" s="17" t="inlineStr">
        <is>
          <t>Sneakers Nike AF1 coloris Timberland</t>
        </is>
      </c>
      <c r="G757" s="19" t="inlineStr">
        <is>
          <t>https://www.basket4ballers.com/fr/basket-sneakers/21504-nike-air-force-1-07-wheat-cj9179-200.html?utm_source=lemrock&amp;utm_medium=cpc&amp;utm_campaign=lemrock#/97-tailles-405</t>
        </is>
      </c>
      <c r="H757" s="20" t="n">
        <v>2347</v>
      </c>
      <c r="I757" s="20" t="n">
        <v>10</v>
      </c>
      <c r="J757" s="21">
        <f>IF(H757=0,0,I757/H757)</f>
        <v/>
      </c>
    </row>
    <row r="758">
      <c r="A758" s="17" t="inlineStr">
        <is>
          <t>Basket4ballers</t>
        </is>
      </c>
      <c r="B758" s="17" t="inlineStr">
        <is>
          <t>Live</t>
        </is>
      </c>
      <c r="C758" s="17" t="inlineStr">
        <is>
          <t>Basket4ballers</t>
        </is>
      </c>
      <c r="D758" s="17" t="inlineStr">
        <is>
          <t>Accessoires et petits équipements</t>
        </is>
      </c>
      <c r="E758" s="18" t="inlineStr">
        <is>
          <t>Sweat Jordan enfant Jumpman Logo Fleece Po grey</t>
        </is>
      </c>
      <c r="F758" s="17" t="inlineStr">
        <is>
          <t>Jdb jumpman logo fleece po</t>
        </is>
      </c>
      <c r="G758" s="19" t="inlineStr">
        <is>
          <t>https://www.basket4ballers.com/fr/vetements-lifestyle/20868-jdb-jumpman-logo-fleece-po-956326-geh.html?utm_source=lemrock&amp;utm_medium=cpc&amp;utm_campaign=lemrock#/397-tailles-8_10_ans</t>
        </is>
      </c>
      <c r="H758" s="20" t="n">
        <v>2340</v>
      </c>
      <c r="I758" s="20" t="n">
        <v>19</v>
      </c>
      <c r="J758" s="21">
        <f>IF(H758=0,0,I758/H758)</f>
        <v/>
      </c>
    </row>
    <row r="759">
      <c r="A759" s="17" t="inlineStr">
        <is>
          <t>Basket4ballers</t>
        </is>
      </c>
      <c r="B759" s="17" t="inlineStr">
        <is>
          <t>Live</t>
        </is>
      </c>
      <c r="C759" s="17" t="inlineStr">
        <is>
          <t>Basket4ballers</t>
        </is>
      </c>
      <c r="D759" s="17" t="inlineStr">
        <is>
          <t>Accessoires et petits équipements</t>
        </is>
      </c>
      <c r="E759" s="18" t="inlineStr">
        <is>
          <t>Pack de 2 coudières Jordan Shooter black - Basket4Ballers</t>
        </is>
      </c>
      <c r="F759" s="17" t="inlineStr">
        <is>
          <t>Pack de 2 coudières Jordan Shooter black</t>
        </is>
      </c>
      <c r="G759" s="19" t="inlineStr">
        <is>
          <t>https://www.basket4ballers.com/fr/jordan-basketball/13464-jordan-shooter-sleeves-black-white-jks04010.html?utm_source=lemrock&amp;utm_medium=cpc&amp;utm_campaign=lemrock#/250-tailles-l_xl</t>
        </is>
      </c>
      <c r="H759" s="20" t="n">
        <v>2338</v>
      </c>
      <c r="I759" s="20" t="n">
        <v>11</v>
      </c>
      <c r="J759" s="21">
        <f>IF(H759=0,0,I759/H759)</f>
        <v/>
      </c>
    </row>
    <row r="760">
      <c r="A760" s="17" t="inlineStr">
        <is>
          <t>Basket4ballers</t>
        </is>
      </c>
      <c r="B760" s="17" t="inlineStr">
        <is>
          <t>Live</t>
        </is>
      </c>
      <c r="C760" s="17" t="inlineStr">
        <is>
          <t>Basket4ballers</t>
        </is>
      </c>
      <c r="D760" s="17" t="inlineStr">
        <is>
          <t>Accessoires et petits équipements</t>
        </is>
      </c>
      <c r="E760" s="18" t="inlineStr">
        <is>
          <t>Maillot NBA Enfant Swingman Icon Philadelphia 76ers Joel</t>
        </is>
      </c>
      <c r="F760" s="17" t="inlineStr">
        <is>
          <t>Achetez le Maillot NBA x Nike Enfant Swingman Icon Philadelphia 76ers de Joel Embiid Nike sur la boutique en ligne Basket4Ballers !</t>
        </is>
      </c>
      <c r="G760" s="19" t="inlineStr">
        <is>
          <t>https://www.basket4ballers.com/fr/kids/17260-maillot-nba-enfant-swingman-icon-philadelphia-76ers-joel-embiid-nike.html?utm_source=lemrock&amp;utm_medium=cpc&amp;utm_campaign=lemrock#/411-tailles-xl_enfant_1m65_a_1m80</t>
        </is>
      </c>
      <c r="H760" s="20" t="n">
        <v>2327</v>
      </c>
      <c r="I760" s="20" t="n">
        <v>17</v>
      </c>
      <c r="J760" s="21">
        <f>IF(H760=0,0,I760/H760)</f>
        <v/>
      </c>
    </row>
    <row r="761">
      <c r="A761" s="17" t="inlineStr">
        <is>
          <t>Basket4ballers</t>
        </is>
      </c>
      <c r="B761" s="17" t="inlineStr">
        <is>
          <t>Live</t>
        </is>
      </c>
      <c r="C761" s="17" t="inlineStr">
        <is>
          <t>Basket4ballers</t>
        </is>
      </c>
      <c r="D761" s="17" t="inlineStr">
        <is>
          <t>Accessoires et petits équipements</t>
        </is>
      </c>
      <c r="E761" s="18" t="inlineStr">
        <is>
          <t>Pantalon Jordan Petit Enfant Jdb Jumpman Logo Fleece Pant</t>
        </is>
      </c>
      <c r="F761" s="17" t="inlineStr">
        <is>
          <t>Pantalon Jordan Petit Enfant Jdb Jumpman Logo Fleece Pant</t>
        </is>
      </c>
      <c r="G761" s="19" t="inlineStr">
        <is>
          <t>https://www.basket4ballers.com/fr/vetements-lifestyle/20874-pantalon-jdb-jumpman-logo-fleece-pant-856327-geh.html?utm_source=lemrock&amp;utm_medium=cpc&amp;utm_campaign=lemrock#/396-tailles-6_7_ans_116_122_cm</t>
        </is>
      </c>
      <c r="H761" s="20" t="n">
        <v>2326</v>
      </c>
      <c r="I761" s="20" t="n">
        <v>14</v>
      </c>
      <c r="J761" s="21">
        <f>IF(H761=0,0,I761/H761)</f>
        <v/>
      </c>
    </row>
    <row r="762">
      <c r="A762" s="17" t="inlineStr">
        <is>
          <t>Basket4ballers</t>
        </is>
      </c>
      <c r="B762" s="17" t="inlineStr">
        <is>
          <t>Live</t>
        </is>
      </c>
      <c r="C762" s="17" t="inlineStr">
        <is>
          <t>Basket4ballers</t>
        </is>
      </c>
      <c r="D762" s="17" t="inlineStr">
        <is>
          <t>Vêtements et textile</t>
        </is>
      </c>
      <c r="E762" s="18" t="inlineStr">
        <is>
          <t>Short NBA Philadelphia 76ers 1996-97 Swingman Mitchell&amp;Ness</t>
        </is>
      </c>
      <c r="F762" s="17" t="inlineStr">
        <is>
          <t>Short NBA Retro par la marque Mitchell and Ness</t>
        </is>
      </c>
      <c r="G762" s="19" t="inlineStr">
        <is>
          <t>https://www.basket4ballers.com/fr/philadelphia-76ers/15728-short-nba-philadelphia-76ers-swingman-mitchellness-red.html?utm_source=lemrock&amp;utm_medium=cpc&amp;utm_campaign=lemrock#/68-tailles-s</t>
        </is>
      </c>
      <c r="H762" s="20" t="n">
        <v>2318</v>
      </c>
      <c r="I762" s="20" t="n">
        <v>11</v>
      </c>
      <c r="J762" s="21">
        <f>IF(H762=0,0,I762/H762)</f>
        <v/>
      </c>
    </row>
    <row r="763">
      <c r="A763" s="17" t="inlineStr">
        <is>
          <t>Basket4ballers</t>
        </is>
      </c>
      <c r="B763" s="17" t="inlineStr">
        <is>
          <t>Live</t>
        </is>
      </c>
      <c r="C763" s="17" t="inlineStr">
        <is>
          <t>Basket4ballers</t>
        </is>
      </c>
      <c r="D763" s="17" t="inlineStr">
        <is>
          <t>Vêtements et textile</t>
        </is>
      </c>
      <c r="E763" s="18" t="inlineStr">
        <is>
          <t>Gourde Nike Big Mouth Bottle 2.0 22oz blue - Basket4Ballers</t>
        </is>
      </c>
      <c r="F763" s="17" t="inlineStr">
        <is>
          <t>Gourde Nike Big Mouth Bottle 2.0 22oz blue</t>
        </is>
      </c>
      <c r="G763" s="19" t="inlineStr">
        <is>
          <t>https://www.basket4ballers.com/fr/accessoires-basketball/19742-nike-big-mouth-bottle-20-22-oz-nike-big-mouth-bottle-20-blubluwhi-n0000042408.html?utm_source=lemrock&amp;utm_medium=cpc&amp;utm_campaign=lemrock#/91-tailles-taille_unique</t>
        </is>
      </c>
      <c r="H763" s="20" t="n">
        <v>2309</v>
      </c>
      <c r="I763" s="20" t="n">
        <v>19</v>
      </c>
      <c r="J763" s="21">
        <f>IF(H763=0,0,I763/H763)</f>
        <v/>
      </c>
    </row>
    <row r="764">
      <c r="A764" s="17" t="inlineStr">
        <is>
          <t>Basket4ballers</t>
        </is>
      </c>
      <c r="B764" s="17" t="inlineStr">
        <is>
          <t>Live</t>
        </is>
      </c>
      <c r="C764" s="17" t="inlineStr">
        <is>
          <t>Basket4ballers</t>
        </is>
      </c>
      <c r="D764" s="17" t="inlineStr">
        <is>
          <t>Vêtements et textile</t>
        </is>
      </c>
      <c r="E764" s="18" t="inlineStr">
        <is>
          <t>Sweat Jordan enfant Jumpman Logo Fleece Po grey</t>
        </is>
      </c>
      <c r="F764" s="17" t="inlineStr">
        <is>
          <t>Jdb jumpman logo fleece po</t>
        </is>
      </c>
      <c r="G764" s="19" t="inlineStr">
        <is>
          <t>https://www.basket4ballers.com/fr/vetements-lifestyle/20868-jdb-jumpman-logo-fleece-po-956326-geh.html?utm_source=lemrock&amp;utm_medium=cpc&amp;utm_campaign=lemrock#/397-tailles-8_10_ans</t>
        </is>
      </c>
      <c r="H764" s="20" t="n">
        <v>2308</v>
      </c>
      <c r="I764" s="20" t="n">
        <v>13</v>
      </c>
      <c r="J764" s="21">
        <f>IF(H764=0,0,I764/H764)</f>
        <v/>
      </c>
    </row>
    <row r="765">
      <c r="A765" s="17" t="inlineStr">
        <is>
          <t>Basket4ballers</t>
        </is>
      </c>
      <c r="B765" s="17" t="inlineStr">
        <is>
          <t>Live</t>
        </is>
      </c>
      <c r="C765" s="17" t="inlineStr">
        <is>
          <t>Basket4ballers</t>
        </is>
      </c>
      <c r="D765" s="17" t="inlineStr">
        <is>
          <t>Accessoires et petits équipements</t>
        </is>
      </c>
      <c r="E765" s="18" t="inlineStr">
        <is>
          <t>Warm Up NBA Chicago Bulls 1992-93 Mitchell&amp;Ness Authentic</t>
        </is>
      </c>
      <c r="F765" s="17" t="inlineStr">
        <is>
          <t>Warm Up NBA Chicago Bulls 1992-93 Mitchell&amp;Ness Authentic Red</t>
        </is>
      </c>
      <c r="G765" s="19" t="inlineStr">
        <is>
          <t>https://www.basket4ballers.com/fr/chicago-bulls/15766-warm-up-nba-chicago-bulls-1992-93-mitchellness-authentic-red.html#/69-tailles-m</t>
        </is>
      </c>
      <c r="H765" s="20" t="n">
        <v>2307</v>
      </c>
      <c r="I765" s="20" t="n">
        <v>7</v>
      </c>
      <c r="J765" s="21">
        <f>IF(H765=0,0,I765/H765)</f>
        <v/>
      </c>
    </row>
    <row r="766">
      <c r="A766" s="17" t="inlineStr">
        <is>
          <t>Basket4ballers</t>
        </is>
      </c>
      <c r="B766" s="17" t="inlineStr">
        <is>
          <t>Live</t>
        </is>
      </c>
      <c r="C766" s="17" t="inlineStr">
        <is>
          <t>Basket4ballers</t>
        </is>
      </c>
      <c r="D766" s="17" t="inlineStr">
        <is>
          <t>Accessoires et petits équipements</t>
        </is>
      </c>
      <c r="E766" s="18" t="inlineStr">
        <is>
          <t>Short NBA Philadelphia 76ers 1996-97 Swingman Mitchell&amp;Ness</t>
        </is>
      </c>
      <c r="F766" s="17" t="inlineStr">
        <is>
          <t>Short NBA Retro par la marque Mitchell and Ness</t>
        </is>
      </c>
      <c r="G766" s="19" t="inlineStr">
        <is>
          <t>https://www.basket4ballers.com/fr/philadelphia-76ers/15728-short-nba-philadelphia-76ers-swingman-mitchellness-red.html#/68-tailles-s</t>
        </is>
      </c>
      <c r="H766" s="20" t="n">
        <v>2306</v>
      </c>
      <c r="I766" s="20" t="n">
        <v>14</v>
      </c>
      <c r="J766" s="21">
        <f>IF(H766=0,0,I766/H766)</f>
        <v/>
      </c>
    </row>
    <row r="767">
      <c r="A767" s="17" t="inlineStr">
        <is>
          <t>Basket4ballers</t>
        </is>
      </c>
      <c r="B767" s="17" t="inlineStr">
        <is>
          <t>Live</t>
        </is>
      </c>
      <c r="C767" s="17" t="inlineStr">
        <is>
          <t>Basket4ballers</t>
        </is>
      </c>
      <c r="D767" s="17" t="inlineStr">
        <is>
          <t>Accessoires et petits équipements</t>
        </is>
      </c>
      <c r="E767" s="18" t="inlineStr">
        <is>
          <t>T-shirt Nike NBA Logo Dri-fit white - Basket4Ballers</t>
        </is>
      </c>
      <c r="F767" s="17" t="inlineStr">
        <is>
          <t>Men's Nike Dri-FIT NBA T-Shirt</t>
        </is>
      </c>
      <c r="G767" s="19" t="inlineStr">
        <is>
          <t>https://www.basket4ballers.com/fr/t-shirts/20044-t-shirt-nike-dri-fit-white-at0515-100.html?utm_source=lemrock&amp;utm_medium=cpc&amp;utm_campaign=lemrock#/72-tailles-xxl</t>
        </is>
      </c>
      <c r="H767" s="20" t="n">
        <v>2288</v>
      </c>
      <c r="I767" s="20" t="n">
        <v>12</v>
      </c>
      <c r="J767" s="21">
        <f>IF(H767=0,0,I767/H767)</f>
        <v/>
      </c>
    </row>
    <row r="768">
      <c r="A768" s="17" t="inlineStr">
        <is>
          <t>Basket4ballers</t>
        </is>
      </c>
      <c r="B768" s="17" t="inlineStr">
        <is>
          <t>Live</t>
        </is>
      </c>
      <c r="C768" s="17" t="inlineStr">
        <is>
          <t>Basket4ballers</t>
        </is>
      </c>
      <c r="D768" s="17" t="inlineStr">
        <is>
          <t>eCommerce</t>
        </is>
      </c>
      <c r="E768" s="18" t="inlineStr">
        <is>
          <t>Maillot NBA Larry Johnson Charlotte Hornets 1992-93</t>
        </is>
      </c>
      <c r="F768" s="17" t="inlineStr">
        <is>
          <t>Maillot NBA Retro de la marque Mitchell&amp;Ness</t>
        </is>
      </c>
      <c r="G768" s="19" t="inlineStr">
        <is>
          <t>https://www.basket4ballers.com/fr/charlotte-hornets/12861-maillot-nba-larry-johnson-charlotte-hornets-1992-93-swingman-mitchellness.html?utm_source=lemrock&amp;utm_medium=cpc&amp;utm_campaign=lemrock#/100-tailles-xs</t>
        </is>
      </c>
      <c r="H768" s="20" t="n">
        <v>2285</v>
      </c>
      <c r="I768" s="20" t="n">
        <v>10</v>
      </c>
      <c r="J768" s="21">
        <f>IF(H768=0,0,I768/H768)</f>
        <v/>
      </c>
    </row>
    <row r="769">
      <c r="A769" s="17" t="inlineStr">
        <is>
          <t>Basket4ballers</t>
        </is>
      </c>
      <c r="B769" s="17" t="inlineStr">
        <is>
          <t>Live</t>
        </is>
      </c>
      <c r="C769" s="17" t="inlineStr">
        <is>
          <t>Basket4ballers</t>
        </is>
      </c>
      <c r="D769" s="17" t="inlineStr">
        <is>
          <t>Accessoires et petits équipements</t>
        </is>
      </c>
      <c r="E769" s="18" t="inlineStr">
        <is>
          <t>T-shirt Nike NBA Logo Dri-fit white</t>
        </is>
      </c>
      <c r="F769" s="17" t="inlineStr">
        <is>
          <t>HOMMAGE À VOTRE LIGUE PRÉFÉRÉE. Rendez hommage au partenariat entre Nike et la NBA avec le tee-shirt Nike NBA Dri-FIT pour Homme, confectionné dans un tissu doux</t>
        </is>
      </c>
      <c r="G769" s="19" t="inlineStr">
        <is>
          <t>https://www.basket4ballers.com/fr/t-shirts/20044-t-shirt-nike-dri-fit-white-at0515-100.html#/72-tailles-xxl</t>
        </is>
      </c>
      <c r="H769" s="20" t="n">
        <v>2282</v>
      </c>
      <c r="I769" s="20" t="n">
        <v>13</v>
      </c>
      <c r="J769" s="21">
        <f>IF(H769=0,0,I769/H769)</f>
        <v/>
      </c>
    </row>
    <row r="770">
      <c r="A770" s="17" t="inlineStr">
        <is>
          <t>Basket4ballers</t>
        </is>
      </c>
      <c r="B770" s="17" t="inlineStr">
        <is>
          <t>Live</t>
        </is>
      </c>
      <c r="C770" s="17" t="inlineStr">
        <is>
          <t>Basket4ballers</t>
        </is>
      </c>
      <c r="D770" s="17" t="inlineStr">
        <is>
          <t>Vêtements et textile</t>
        </is>
      </c>
      <c r="E770" s="18" t="inlineStr">
        <is>
          <t>Warm Up NBA Chicago Bulls 1992-93 Mitchell&amp;Ness Authentic</t>
        </is>
      </c>
      <c r="F770" s="17" t="inlineStr">
        <is>
          <t>Warm Up NBA Chicago Bulls 1992-93 Mitchell&amp;Ness Authentic Red</t>
        </is>
      </c>
      <c r="G770" s="19" t="inlineStr">
        <is>
          <t>https://www.basket4ballers.com/fr/chicago-bulls/15766-warm-up-nba-chicago-bulls-1992-93-mitchellness-authentic-red.html?utm_source=lemrock&amp;utm_medium=cpc&amp;utm_campaign=lemrock#/69-tailles-m</t>
        </is>
      </c>
      <c r="H770" s="20" t="n">
        <v>2278</v>
      </c>
      <c r="I770" s="20" t="n">
        <v>16</v>
      </c>
      <c r="J770" s="21">
        <f>IF(H770=0,0,I770/H770)</f>
        <v/>
      </c>
    </row>
    <row r="771">
      <c r="A771" s="17" t="inlineStr">
        <is>
          <t>Basket4ballers</t>
        </is>
      </c>
      <c r="B771" s="17" t="inlineStr">
        <is>
          <t>Live</t>
        </is>
      </c>
      <c r="C771" s="17" t="inlineStr">
        <is>
          <t>Basket4ballers</t>
        </is>
      </c>
      <c r="D771" s="17" t="inlineStr">
        <is>
          <t>Accessoires et petits équipements</t>
        </is>
      </c>
      <c r="E771" s="18" t="inlineStr">
        <is>
          <t>Body Jordan bébé Hbr/dna Romper - Basket4Ballers</t>
        </is>
      </c>
      <c r="F771" s="17" t="inlineStr">
        <is>
          <t>Hbr/dna jrdn jersy romper</t>
        </is>
      </c>
      <c r="G771" s="19" t="inlineStr">
        <is>
          <t>https://www.basket4ballers.com/fr/jordan-enfant/22600-hbr-dna-jrdn-jersy-romper-556169-023.html?utm_source=lemrock&amp;utm_medium=cpc&amp;utm_campaign=lemrock#/420-tailles-3_mois</t>
        </is>
      </c>
      <c r="H771" s="20" t="n">
        <v>2257</v>
      </c>
      <c r="I771" s="20" t="n">
        <v>17</v>
      </c>
      <c r="J771" s="21">
        <f>IF(H771=0,0,I771/H771)</f>
        <v/>
      </c>
    </row>
    <row r="772">
      <c r="A772" s="17" t="inlineStr">
        <is>
          <t>Basket4ballers</t>
        </is>
      </c>
      <c r="B772" s="17" t="inlineStr">
        <is>
          <t>Live</t>
        </is>
      </c>
      <c r="C772" s="17" t="inlineStr">
        <is>
          <t>Basket4ballers</t>
        </is>
      </c>
      <c r="D772" s="17" t="inlineStr">
        <is>
          <t>Vêtements et textile</t>
        </is>
      </c>
      <c r="E772" s="18" t="inlineStr">
        <is>
          <t>Maillot NBA Enfant Swingman Icon Philadelphia 76ers Joel</t>
        </is>
      </c>
      <c r="F772" s="17" t="inlineStr">
        <is>
          <t>Achetez le Maillot NBA x Nike Enfant Swingman Icon Philadelphia 76ers de Joel Embiid Nike sur la boutique en ligne Basket4Ballers !</t>
        </is>
      </c>
      <c r="G772" s="19" t="inlineStr">
        <is>
          <t>https://www.basket4ballers.com/fr/kids/17260-maillot-nba-enfant-swingman-icon-philadelphia-76ers-joel-embiid-nike.html?utm_source=lemrock&amp;utm_medium=cpc&amp;utm_campaign=lemrock#/411-tailles-xl_enfant_1m65_a_1m80</t>
        </is>
      </c>
      <c r="H772" s="20" t="n">
        <v>2249</v>
      </c>
      <c r="I772" s="20" t="n">
        <v>8</v>
      </c>
      <c r="J772" s="21">
        <f>IF(H772=0,0,I772/H772)</f>
        <v/>
      </c>
    </row>
    <row r="773">
      <c r="A773" s="17" t="inlineStr">
        <is>
          <t>Basket4ballers</t>
        </is>
      </c>
      <c r="B773" s="17" t="inlineStr">
        <is>
          <t>Live</t>
        </is>
      </c>
      <c r="C773" s="17" t="inlineStr">
        <is>
          <t>Basket4ballers</t>
        </is>
      </c>
      <c r="D773" s="17" t="inlineStr">
        <is>
          <t>Accessoires et petits équipements</t>
        </is>
      </c>
      <c r="E773" s="18" t="inlineStr">
        <is>
          <t>Maillot Michael Jordan Dream Team 92 USA Authentic</t>
        </is>
      </c>
      <c r="F773" s="17" t="inlineStr">
        <is>
          <t>Maillot NBA Michael Jordan Dream Team Authentic Mitchell&amp;Ness 100% Polyester. Authentic Jersey.</t>
        </is>
      </c>
      <c r="G773" s="19" t="inlineStr">
        <is>
          <t>https://www.basket4ballers.com/fr/equipe-nationale-americaine-de-basket-team-usa/20713-authentic-jersey-nba-michael-jordan-ajy4gs18414-usanavy92mjo-xs-ajy4gs18414-usanavy92mjo.html?utm_source=lemrock&amp;utm_medium=cpc&amp;utm_campaign=lemrock#/68-tailles-s</t>
        </is>
      </c>
      <c r="H773" s="20" t="n">
        <v>2236</v>
      </c>
      <c r="I773" s="20" t="n">
        <v>11</v>
      </c>
      <c r="J773" s="21">
        <f>IF(H773=0,0,I773/H773)</f>
        <v/>
      </c>
    </row>
    <row r="774">
      <c r="A774" s="17" t="inlineStr">
        <is>
          <t>Basket4ballers</t>
        </is>
      </c>
      <c r="B774" s="17" t="inlineStr">
        <is>
          <t>Live</t>
        </is>
      </c>
      <c r="C774" s="17" t="inlineStr">
        <is>
          <t>Basket4ballers</t>
        </is>
      </c>
      <c r="D774" s="17" t="inlineStr">
        <is>
          <t>Vêtements et textile</t>
        </is>
      </c>
      <c r="E774" s="18" t="inlineStr">
        <is>
          <t>T-shirt Nike NBA Logo Dri-fit white - Basket4Ballers</t>
        </is>
      </c>
      <c r="F774" s="17" t="inlineStr">
        <is>
          <t>Men's Nike Dri-FIT NBA T-Shirt</t>
        </is>
      </c>
      <c r="G774" s="19" t="inlineStr">
        <is>
          <t>https://www.basket4ballers.com/fr/t-shirts/20044-t-shirt-nike-dri-fit-white-at0515-100.html?utm_source=lemrock&amp;utm_medium=cpc&amp;utm_campaign=lemrock#/72-tailles-xxl</t>
        </is>
      </c>
      <c r="H774" s="20" t="n">
        <v>2233</v>
      </c>
      <c r="I774" s="20" t="n">
        <v>11</v>
      </c>
      <c r="J774" s="21">
        <f>IF(H774=0,0,I774/H774)</f>
        <v/>
      </c>
    </row>
    <row r="775">
      <c r="A775" s="17" t="inlineStr">
        <is>
          <t>Basket4ballers</t>
        </is>
      </c>
      <c r="B775" s="17" t="inlineStr">
        <is>
          <t>Live</t>
        </is>
      </c>
      <c r="C775" s="17" t="inlineStr">
        <is>
          <t>Basket4ballers</t>
        </is>
      </c>
      <c r="D775" s="17" t="inlineStr">
        <is>
          <t>Accessoires et petits équipements</t>
        </is>
      </c>
      <c r="E775" s="18" t="inlineStr">
        <is>
          <t>Baseball-Shirt MLB Chicago White Sox Nike Official Replica</t>
        </is>
      </c>
      <c r="F775" s="17" t="inlineStr">
        <is>
          <t>Chicago White Sox MLB Nike Official Replica Alternate JerseyPro Black</t>
        </is>
      </c>
      <c r="G775" s="19" t="inlineStr">
        <is>
          <t>https://www.basket4ballers.com/fr/chemises-baseball/22238-chicago-white-sox-mlb-nike-official-replica-alternate-jerseypro-black-t770rxbarxxva.html?utm_source=lemrock&amp;utm_medium=cpc&amp;utm_campaign=lemrock#/69-tailles-m</t>
        </is>
      </c>
      <c r="H775" s="20" t="n">
        <v>2223</v>
      </c>
      <c r="I775" s="20" t="n">
        <v>18</v>
      </c>
      <c r="J775" s="21">
        <f>IF(H775=0,0,I775/H775)</f>
        <v/>
      </c>
    </row>
    <row r="776">
      <c r="A776" s="17" t="inlineStr">
        <is>
          <t>Basket4ballers</t>
        </is>
      </c>
      <c r="B776" s="17" t="inlineStr">
        <is>
          <t>Live</t>
        </is>
      </c>
      <c r="C776" s="17" t="inlineStr">
        <is>
          <t>Basket4ballers</t>
        </is>
      </c>
      <c r="D776" s="17" t="inlineStr">
        <is>
          <t>Maillots NBA, équipes et joueurs</t>
        </is>
      </c>
      <c r="E776" s="18" t="inlineStr">
        <is>
          <t>Maillots et textile NBA au meilleur prix | Basket4Ballers</t>
        </is>
      </c>
      <c r="F776" s="17" t="inlineStr">
        <is>
          <t>Boutique NBA spécialisée : maillots officiels, vêtements et accessoires des 30 franchises, en plusieurs tailles, livrés en 72 h max.</t>
        </is>
      </c>
      <c r="G776" s="19" t="inlineStr">
        <is>
          <t>https://www.basket4ballers.com/fr/212-nba</t>
        </is>
      </c>
      <c r="H776" s="20" t="n">
        <v>2110</v>
      </c>
      <c r="I776" s="20" t="n">
        <v>12</v>
      </c>
      <c r="J776" s="21">
        <f>IF(H776=0,0,I776/H776)</f>
        <v/>
      </c>
    </row>
    <row r="777">
      <c r="A777" s="17" t="inlineStr">
        <is>
          <t>Basket4ballers</t>
        </is>
      </c>
      <c r="B777" s="17" t="inlineStr">
        <is>
          <t>Live</t>
        </is>
      </c>
      <c r="C777" s="17" t="inlineStr">
        <is>
          <t>Basket4ballers</t>
        </is>
      </c>
      <c r="D777" s="17" t="inlineStr">
        <is>
          <t>Sweats, t-shirts et vestes</t>
        </is>
      </c>
      <c r="E777" s="18" t="inlineStr">
        <is>
          <t>Sweats et hoodies de basket pas chers | Basket4Ballers</t>
        </is>
      </c>
      <c r="F777" s="17" t="inlineStr">
        <is>
          <t>Sweats et hoodies de basket Nike, Jordan, Adidas et Puma, avec les sweats NBA des franchises, en plusieurs tailles, livrés en 72 h max.</t>
        </is>
      </c>
      <c r="G777" s="19" t="inlineStr">
        <is>
          <t>https://www.basket4ballers.com/fr/196-sweats</t>
        </is>
      </c>
      <c r="H777" s="20" t="n">
        <v>2026</v>
      </c>
      <c r="I777" s="20" t="n">
        <v>9</v>
      </c>
      <c r="J777" s="21">
        <f>IF(H777=0,0,I777/H777)</f>
        <v/>
      </c>
    </row>
    <row r="778">
      <c r="A778" s="17" t="inlineStr">
        <is>
          <t>Basket4ballers</t>
        </is>
      </c>
      <c r="B778" s="17" t="inlineStr">
        <is>
          <t>Live</t>
        </is>
      </c>
      <c r="C778" s="17" t="inlineStr">
        <is>
          <t>Basket4ballers</t>
        </is>
      </c>
      <c r="D778" s="17" t="inlineStr">
        <is>
          <t>Sweats, t-shirts et vestes</t>
        </is>
      </c>
      <c r="E778" s="18" t="inlineStr">
        <is>
          <t>Chemises baseball MLB pas chères | Basket4Ballers</t>
        </is>
      </c>
      <c r="F778" s="17" t="inlineStr">
        <is>
          <t>Chemises et maillots de baseball officiels MLB aux couleurs de vos équipes préférées, en plusieurs tailles, dans une boutique spécialisée livrant en 72 h max.</t>
        </is>
      </c>
      <c r="G778" s="19" t="inlineStr">
        <is>
          <t>https://www.basket4ballers.com/fr/282-chemises-baseball</t>
        </is>
      </c>
      <c r="H778" s="20" t="n">
        <v>1984</v>
      </c>
      <c r="I778" s="20" t="n">
        <v>4</v>
      </c>
      <c r="J778" s="21">
        <f>IF(H778=0,0,I778/H778)</f>
        <v/>
      </c>
    </row>
    <row r="779">
      <c r="A779" s="17" t="inlineStr">
        <is>
          <t>Basket4ballers</t>
        </is>
      </c>
      <c r="B779" s="17" t="inlineStr">
        <is>
          <t>Live</t>
        </is>
      </c>
      <c r="C779" s="17" t="inlineStr">
        <is>
          <t>Basket4ballers</t>
        </is>
      </c>
      <c r="D779" s="17" t="inlineStr">
        <is>
          <t>Maillots NBA, équipes et joueurs</t>
        </is>
      </c>
      <c r="E779" s="18" t="inlineStr">
        <is>
          <t>KD 19 et maillots Kevin Durant prix bas | Basket4Ballers</t>
        </is>
      </c>
      <c r="F779" s="17" t="inlineStr">
        <is>
          <t>Chaussures signature de Kevin Durant, Nike KD 19 et KD 18, avec maillot NBA et t-shirts aux Phoenix Suns, dans une boutique spécialisée livrant en 72 h max.</t>
        </is>
      </c>
      <c r="G779" s="19" t="inlineStr">
        <is>
          <t>https://www.basket4ballers.com/fr/121-kevin-durant</t>
        </is>
      </c>
      <c r="H779" s="20" t="n">
        <v>1737</v>
      </c>
      <c r="I779" s="20" t="n">
        <v>5</v>
      </c>
      <c r="J779" s="21">
        <f>IF(H779=0,0,I779/H779)</f>
        <v/>
      </c>
    </row>
    <row r="780">
      <c r="A780" s="17" t="inlineStr">
        <is>
          <t>Basket4ballers</t>
        </is>
      </c>
      <c r="B780" s="17" t="inlineStr">
        <is>
          <t>Live</t>
        </is>
      </c>
      <c r="C780" s="17" t="inlineStr">
        <is>
          <t>Basket4ballers</t>
        </is>
      </c>
      <c r="D780" s="17" t="inlineStr">
        <is>
          <t>Sweats, t-shirts et vestes</t>
        </is>
      </c>
      <c r="E780" s="18" t="inlineStr">
        <is>
          <t>T-shirts de basket et NBA pas chers | Basket4Ballers</t>
        </is>
      </c>
      <c r="F780" s="17" t="inlineStr">
        <is>
          <t>T-shirts de basket Nike, Jordan, Adidas et Puma et t-shirts NBA des franchises, en plusieurs tailles, dans une boutique spécialisée livrant en 72 h max.</t>
        </is>
      </c>
      <c r="G780" s="19" t="inlineStr">
        <is>
          <t>https://www.basket4ballers.com/fr/197-t-shirts</t>
        </is>
      </c>
      <c r="H780" s="20" t="n">
        <v>1661</v>
      </c>
      <c r="I780" s="20" t="n">
        <v>14</v>
      </c>
      <c r="J780" s="21">
        <f>IF(H780=0,0,I780/H780)</f>
        <v/>
      </c>
    </row>
    <row r="781">
      <c r="A781" s="17" t="inlineStr">
        <is>
          <t>Basket4ballers</t>
        </is>
      </c>
      <c r="B781" s="17" t="inlineStr">
        <is>
          <t>Live</t>
        </is>
      </c>
      <c r="C781" s="17" t="inlineStr">
        <is>
          <t>Basket4ballers</t>
        </is>
      </c>
      <c r="D781" s="17" t="inlineStr">
        <is>
          <t>Chaussures de basket et sneakers</t>
        </is>
      </c>
      <c r="E781" s="18" t="inlineStr">
        <is>
          <t>Collection Air Jordan Quai 54 prix bas | Basket4Ballers</t>
        </is>
      </c>
      <c r="F781" s="17" t="inlineStr">
        <is>
          <t>Collection Air Jordan aux couleurs du Quai 54, le tournoi de streetball parisien : chaussures et textile en édition limitée, livrés en 72 h max.</t>
        </is>
      </c>
      <c r="G781" s="19" t="inlineStr">
        <is>
          <t>https://www.basket4ballers.com/fr/268-quai-54</t>
        </is>
      </c>
      <c r="H781" s="20" t="n">
        <v>1499</v>
      </c>
      <c r="I781" s="20" t="n">
        <v>2</v>
      </c>
      <c r="J781" s="21">
        <f>IF(H781=0,0,I781/H781)</f>
        <v/>
      </c>
    </row>
    <row r="782">
      <c r="A782" s="17" t="inlineStr">
        <is>
          <t>Basket4ballers</t>
        </is>
      </c>
      <c r="B782" s="17" t="inlineStr">
        <is>
          <t>Live</t>
        </is>
      </c>
      <c r="C782" s="17" t="inlineStr">
        <is>
          <t>Basket4ballers</t>
        </is>
      </c>
      <c r="D782" s="17" t="inlineStr">
        <is>
          <t>Ballons, sacs et protections</t>
        </is>
      </c>
      <c r="E782" s="18" t="inlineStr">
        <is>
          <t>Ballons de basket tailles 3 à 7 pas chers | Basket4Ballers</t>
        </is>
      </c>
      <c r="F782" s="17" t="inlineStr">
        <is>
          <t>Ballons de basket Wilson et Nike de la taille 3 à la taille 7, pour l’intérieur ou l’extérieur, aux couleurs de la NBA et de ses franchises, livrés en 72 h max.</t>
        </is>
      </c>
      <c r="G782" s="19" t="inlineStr">
        <is>
          <t>https://www.basket4ballers.com/fr/206-ballons-de-basket-tailles-wilson-nike</t>
        </is>
      </c>
      <c r="H782" s="20" t="n">
        <v>1438</v>
      </c>
      <c r="I782" s="20" t="n">
        <v>8</v>
      </c>
      <c r="J782" s="21">
        <f>IF(H782=0,0,I782/H782)</f>
        <v/>
      </c>
    </row>
    <row r="783">
      <c r="A783" s="17" t="inlineStr">
        <is>
          <t>Basket4ballers</t>
        </is>
      </c>
      <c r="B783" s="17" t="inlineStr">
        <is>
          <t>Live</t>
        </is>
      </c>
      <c r="C783" s="17" t="inlineStr">
        <is>
          <t>Basket4ballers</t>
        </is>
      </c>
      <c r="D783" s="17" t="inlineStr">
        <is>
          <t>Sweats, t-shirts et vestes</t>
        </is>
      </c>
      <c r="E783" s="18" t="inlineStr">
        <is>
          <t>Vestes et coupe-vent de basket prix bas | Basket4Ballers</t>
        </is>
      </c>
      <c r="F783" s="17" t="inlineStr">
        <is>
          <t>Vestes de basket Nike, Jordan, Adidas et Puma, coupe-vent et vestes de survêtement, en plusieurs tailles, dans une boutique spécialisée livrant en 72 h max.</t>
        </is>
      </c>
      <c r="G783" s="19" t="inlineStr">
        <is>
          <t>https://www.basket4ballers.com/fr/195-vestes</t>
        </is>
      </c>
      <c r="H783" s="20" t="n">
        <v>1406</v>
      </c>
      <c r="I783" s="20" t="n">
        <v>10</v>
      </c>
      <c r="J783" s="21">
        <f>IF(H783=0,0,I783/H783)</f>
        <v/>
      </c>
    </row>
    <row r="784">
      <c r="A784" s="17" t="inlineStr">
        <is>
          <t>Basket4ballers</t>
        </is>
      </c>
      <c r="B784" s="17" t="inlineStr">
        <is>
          <t>Live</t>
        </is>
      </c>
      <c r="C784" s="17" t="inlineStr">
        <is>
          <t>Basket4ballers</t>
        </is>
      </c>
      <c r="D784" s="17" t="inlineStr">
        <is>
          <t>Maillots et tenues sportives</t>
        </is>
      </c>
      <c r="E784" s="18" t="inlineStr">
        <is>
          <t>Warm Up NBA Chicago Bulls 1992-93 Mitchell&amp;Ness Authentic</t>
        </is>
      </c>
      <c r="F784" s="17" t="inlineStr">
        <is>
          <t>Warm Up NBA Chicago Bulls 1992-93 Mitchell&amp;Ness Authentic Red</t>
        </is>
      </c>
      <c r="G784" s="19" t="inlineStr">
        <is>
          <t>https://www.basket4ballers.com/fr/chicago-bulls/15766-warm-up-nba-chicago-bulls-1992-93-mitchellness-authentic-red.html?utm_source=lemrock&amp;utm_medium=cpc&amp;utm_campaign=lemrock#/69-tailles-m</t>
        </is>
      </c>
      <c r="H784" s="20" t="n">
        <v>1376</v>
      </c>
      <c r="I784" s="20" t="n">
        <v>8</v>
      </c>
      <c r="J784" s="21">
        <f>IF(H784=0,0,I784/H784)</f>
        <v/>
      </c>
    </row>
    <row r="785">
      <c r="A785" s="17" t="inlineStr">
        <is>
          <t>Basket4ballers</t>
        </is>
      </c>
      <c r="B785" s="17" t="inlineStr">
        <is>
          <t>Live</t>
        </is>
      </c>
      <c r="C785" s="17" t="inlineStr">
        <is>
          <t>Basket4ballers</t>
        </is>
      </c>
      <c r="D785" s="17" t="inlineStr">
        <is>
          <t>Maillots et tenues sportives</t>
        </is>
      </c>
      <c r="E785" s="18" t="inlineStr">
        <is>
          <t>Maillot Michael Jordan Dream Team 92 USA Authentic</t>
        </is>
      </c>
      <c r="F785" s="17" t="inlineStr">
        <is>
          <t>Maillot NBA Michael Jordan Dream Team Authentic Mitchell&amp;Ness 100% Polyester. Authentic Jersey.</t>
        </is>
      </c>
      <c r="G785" s="19" t="inlineStr">
        <is>
          <t>https://www.basket4ballers.com/fr/equipe-nationale-americaine-de-basket-team-usa/20713-authentic-jersey-nba-michael-jordan-ajy4gs18414-usanavy92mjo-xs-ajy4gs18414-usanavy92mjo.html?utm_source=lemrock&amp;utm_medium=cpc&amp;utm_campaign=lemrock#/68-tailles-s</t>
        </is>
      </c>
      <c r="H785" s="20" t="n">
        <v>1363</v>
      </c>
      <c r="I785" s="20" t="n">
        <v>5</v>
      </c>
      <c r="J785" s="21">
        <f>IF(H785=0,0,I785/H785)</f>
        <v/>
      </c>
    </row>
    <row r="786">
      <c r="A786" s="17" t="inlineStr">
        <is>
          <t>Basket4ballers</t>
        </is>
      </c>
      <c r="B786" s="17" t="inlineStr">
        <is>
          <t>Live</t>
        </is>
      </c>
      <c r="C786" s="17" t="inlineStr">
        <is>
          <t>Basket4ballers</t>
        </is>
      </c>
      <c r="D786" s="17" t="inlineStr">
        <is>
          <t>Maillots et tenues sportives</t>
        </is>
      </c>
      <c r="E786" s="18" t="inlineStr">
        <is>
          <t>Short NBA Philadelphia 76ers 1996-97 Swingman Mitchell&amp;Ness</t>
        </is>
      </c>
      <c r="F786" s="17" t="inlineStr">
        <is>
          <t>Short NBA Retro par la marque Mitchell and Ness</t>
        </is>
      </c>
      <c r="G786" s="19" t="inlineStr">
        <is>
          <t>https://www.basket4ballers.com/fr/philadelphia-76ers/15728-short-nba-philadelphia-76ers-swingman-mitchellness-red.html?utm_source=lemrock&amp;utm_medium=cpc&amp;utm_campaign=lemrock#/68-tailles-s</t>
        </is>
      </c>
      <c r="H786" s="20" t="n">
        <v>1335</v>
      </c>
      <c r="I786" s="20" t="n">
        <v>15</v>
      </c>
      <c r="J786" s="21">
        <f>IF(H786=0,0,I786/H786)</f>
        <v/>
      </c>
    </row>
    <row r="787">
      <c r="A787" s="17" t="inlineStr">
        <is>
          <t>Basket4ballers</t>
        </is>
      </c>
      <c r="B787" s="17" t="inlineStr">
        <is>
          <t>Live</t>
        </is>
      </c>
      <c r="C787" s="17" t="inlineStr">
        <is>
          <t>Basket4ballers</t>
        </is>
      </c>
      <c r="D787" s="17" t="inlineStr">
        <is>
          <t>Ballons, sacs et protections</t>
        </is>
      </c>
      <c r="E787" s="18" t="inlineStr">
        <is>
          <t>Sacs à dos de basket au meilleur prix | Basket4Ballers</t>
        </is>
      </c>
      <c r="F787" s="17" t="inlineStr">
        <is>
          <t>Sacs à dos de basket Nike et Jordan, assez grands pour emporter tenue, chaussures et ballon au terrain ou au lycée, livrés en 72 h max.</t>
        </is>
      </c>
      <c r="G787" s="19" t="inlineStr">
        <is>
          <t>https://www.basket4ballers.com/fr/208-sacs</t>
        </is>
      </c>
      <c r="H787" s="20" t="n">
        <v>1334</v>
      </c>
      <c r="I787" s="20" t="n">
        <v>8</v>
      </c>
      <c r="J787" s="21">
        <f>IF(H787=0,0,I787/H787)</f>
        <v/>
      </c>
    </row>
    <row r="788">
      <c r="A788" s="17" t="inlineStr">
        <is>
          <t>Basket4ballers</t>
        </is>
      </c>
      <c r="B788" s="17" t="inlineStr">
        <is>
          <t>Live</t>
        </is>
      </c>
      <c r="C788" s="17" t="inlineStr">
        <is>
          <t>Basket4ballers</t>
        </is>
      </c>
      <c r="D788" s="17" t="inlineStr">
        <is>
          <t>Maillots et tenues sportives</t>
        </is>
      </c>
      <c r="E788" s="18" t="inlineStr">
        <is>
          <t>Baseball-Shirt MLB Chicago White Sox Nike Official Replica</t>
        </is>
      </c>
      <c r="F788" s="17" t="inlineStr">
        <is>
          <t>Chicago White Sox MLB Nike Official Replica Alternate JerseyPro Black</t>
        </is>
      </c>
      <c r="G788" s="19" t="inlineStr">
        <is>
          <t>https://www.basket4ballers.com/fr/chemises-baseball/22238-chicago-white-sox-mlb-nike-official-replica-alternate-jerseypro-black-t770rxbarxxva.html?utm_source=lemrock&amp;utm_medium=cpc&amp;utm_campaign=lemrock#/69-tailles-m</t>
        </is>
      </c>
      <c r="H788" s="20" t="n">
        <v>1328</v>
      </c>
      <c r="I788" s="20" t="n">
        <v>11</v>
      </c>
      <c r="J788" s="21">
        <f>IF(H788=0,0,I788/H788)</f>
        <v/>
      </c>
    </row>
    <row r="789">
      <c r="A789" s="17" t="inlineStr">
        <is>
          <t>Basket4ballers</t>
        </is>
      </c>
      <c r="B789" s="17" t="inlineStr">
        <is>
          <t>Live</t>
        </is>
      </c>
      <c r="C789" s="17" t="inlineStr">
        <is>
          <t>Basket4ballers</t>
        </is>
      </c>
      <c r="D789" s="17" t="inlineStr">
        <is>
          <t>Maillots et tenues sportives</t>
        </is>
      </c>
      <c r="E789" s="18" t="inlineStr">
        <is>
          <t>Maillot NBA Larry Johnson Charlotte Hornets 1992-93</t>
        </is>
      </c>
      <c r="F789" s="17" t="inlineStr">
        <is>
          <t>Maillot NBA Retro de la marque Mitchell&amp;Ness</t>
        </is>
      </c>
      <c r="G789" s="19" t="inlineStr">
        <is>
          <t>https://www.basket4ballers.com/fr/charlotte-hornets/12861-maillot-nba-larry-johnson-charlotte-hornets-1992-93-swingman-mitchellness.html?utm_source=lemrock&amp;utm_medium=cpc&amp;utm_campaign=lemrock#/100-tailles-xs</t>
        </is>
      </c>
      <c r="H789" s="20" t="n">
        <v>1326</v>
      </c>
      <c r="I789" s="20" t="n">
        <v>9</v>
      </c>
      <c r="J789" s="21">
        <f>IF(H789=0,0,I789/H789)</f>
        <v/>
      </c>
    </row>
    <row r="790">
      <c r="A790" s="17" t="inlineStr">
        <is>
          <t>Basket4ballers</t>
        </is>
      </c>
      <c r="B790" s="17" t="inlineStr">
        <is>
          <t>Live</t>
        </is>
      </c>
      <c r="C790" s="17" t="inlineStr">
        <is>
          <t>Basket4ballers</t>
        </is>
      </c>
      <c r="D790" s="17" t="inlineStr">
        <is>
          <t>Maillots NBA, équipes et joueurs</t>
        </is>
      </c>
      <c r="E790" s="18" t="inlineStr">
        <is>
          <t>Maillots NBA Victor Wembanyama prix bas | Basket4Ballers</t>
        </is>
      </c>
      <c r="F790" s="17" t="inlineStr">
        <is>
          <t>Maillots NBA de Victor Wembanyama aux San Antonio Spurs et collection textile de l’athlète Nike, en plusieurs tailles, livrés en 72 h max.</t>
        </is>
      </c>
      <c r="G790" s="19" t="inlineStr">
        <is>
          <t>https://www.basket4ballers.com/fr/431-victor-wembanyama</t>
        </is>
      </c>
      <c r="H790" s="20" t="n">
        <v>1308</v>
      </c>
      <c r="I790" s="20" t="n">
        <v>13</v>
      </c>
      <c r="J790" s="21">
        <f>IF(H790=0,0,I790/H790)</f>
        <v/>
      </c>
    </row>
    <row r="791">
      <c r="A791" s="17" t="inlineStr">
        <is>
          <t>Basket4ballers</t>
        </is>
      </c>
      <c r="B791" s="17" t="inlineStr">
        <is>
          <t>Live</t>
        </is>
      </c>
      <c r="C791" s="17" t="inlineStr">
        <is>
          <t>Basket4ballers</t>
        </is>
      </c>
      <c r="D791" s="17" t="inlineStr">
        <is>
          <t>Maillots et tenues sportives</t>
        </is>
      </c>
      <c r="E791" s="18" t="inlineStr">
        <is>
          <t>Maillot NBA Enfant Swingman Icon Philadelphia 76ers Joel</t>
        </is>
      </c>
      <c r="F791" s="17" t="inlineStr">
        <is>
          <t>Achetez le Maillot NBA x Nike Enfant Swingman Icon Philadelphia 76ers de Joel Embiid Nike sur la boutique en ligne Basket4Ballers !</t>
        </is>
      </c>
      <c r="G791" s="19" t="inlineStr">
        <is>
          <t>https://www.basket4ballers.com/fr/kids/17260-maillot-nba-enfant-swingman-icon-philadelphia-76ers-joel-embiid-nike.html?utm_source=lemrock&amp;utm_medium=cpc&amp;utm_campaign=lemrock#/411-tailles-xl_enfant_1m65_a_1m80</t>
        </is>
      </c>
      <c r="H791" s="20" t="n">
        <v>1255</v>
      </c>
      <c r="I791" s="20" t="n">
        <v>3</v>
      </c>
      <c r="J791" s="21">
        <f>IF(H791=0,0,I791/H791)</f>
        <v/>
      </c>
    </row>
    <row r="792">
      <c r="A792" s="17" t="inlineStr">
        <is>
          <t>Basket4ballers</t>
        </is>
      </c>
      <c r="B792" s="17" t="inlineStr">
        <is>
          <t>Live</t>
        </is>
      </c>
      <c r="C792" s="17" t="inlineStr">
        <is>
          <t>Basket4ballers</t>
        </is>
      </c>
      <c r="D792" s="17" t="inlineStr">
        <is>
          <t>Chaussures de basket et sneakers</t>
        </is>
      </c>
      <c r="E792" s="18" t="inlineStr">
        <is>
          <t>Chaussures de basket Rigorer pas chères | Basket4Ballers</t>
        </is>
      </c>
      <c r="F792" s="17" t="inlineStr">
        <is>
          <t>Chaussures performance et équipements Rigorer pour le basket, la marque chinoise des joueurs pros, disponible en boutique spécialisée en France.</t>
        </is>
      </c>
      <c r="G792" s="19" t="inlineStr">
        <is>
          <t>https://www.basket4ballers.com/fr/73_rigorer</t>
        </is>
      </c>
      <c r="H792" s="20" t="n">
        <v>1183</v>
      </c>
      <c r="I792" s="20" t="n">
        <v>5</v>
      </c>
      <c r="J792" s="21">
        <f>IF(H792=0,0,I792/H792)</f>
        <v/>
      </c>
    </row>
    <row r="793">
      <c r="A793" s="17" t="inlineStr">
        <is>
          <t>Basket4ballers</t>
        </is>
      </c>
      <c r="B793" s="17" t="inlineStr">
        <is>
          <t>Live</t>
        </is>
      </c>
      <c r="C793" s="17" t="inlineStr">
        <is>
          <t>Basket4ballers</t>
        </is>
      </c>
      <c r="D793" s="17" t="inlineStr">
        <is>
          <t>Chaussures de basket et sneakers</t>
        </is>
      </c>
      <c r="E793" s="18" t="inlineStr">
        <is>
          <t>Claquettes Jordan, Nike et Adidas prix bas | Basket4Ballers</t>
        </is>
      </c>
      <c r="F793" s="17" t="inlineStr">
        <is>
          <t>Large sélection de claquettes Jordan, Nike et Adidas pour sortir du vestiaire ou passer l’été, en plusieurs tailles, livrées en 72 h max.</t>
        </is>
      </c>
      <c r="G793" s="19" t="inlineStr">
        <is>
          <t>https://www.basket4ballers.com/fr/423-claquettes</t>
        </is>
      </c>
      <c r="H793" s="20" t="n">
        <v>1131</v>
      </c>
      <c r="I793" s="20" t="n">
        <v>6</v>
      </c>
      <c r="J793" s="21">
        <f>IF(H793=0,0,I793/H793)</f>
        <v/>
      </c>
    </row>
    <row r="794">
      <c r="A794" s="17" t="inlineStr">
        <is>
          <t>Basket4ballers</t>
        </is>
      </c>
      <c r="B794" s="17" t="inlineStr">
        <is>
          <t>Live</t>
        </is>
      </c>
      <c r="C794" s="17" t="inlineStr">
        <is>
          <t>Basket4ballers</t>
        </is>
      </c>
      <c r="D794" s="17" t="inlineStr">
        <is>
          <t>Maillots NBA, équipes et joueurs</t>
        </is>
      </c>
      <c r="E794" s="18" t="inlineStr">
        <is>
          <t>Kai 2 et maillots Kyrie Irving prix bas | Basket4Ballers</t>
        </is>
      </c>
      <c r="F794" s="17" t="inlineStr">
        <is>
          <t>Chaussures signature de Kyrie Irving, Anta Kai 2 et Kai 1, avec maillot NBA, t-shirt et sweat aux Dallas Mavericks, livrés en 72 h max.</t>
        </is>
      </c>
      <c r="G794" s="19" t="inlineStr">
        <is>
          <t>https://www.basket4ballers.com/fr/142-kyrie-irving</t>
        </is>
      </c>
      <c r="H794" s="20" t="n">
        <v>1095</v>
      </c>
      <c r="I794" s="20" t="n">
        <v>6</v>
      </c>
      <c r="J794" s="21">
        <f>IF(H794=0,0,I794/H794)</f>
        <v/>
      </c>
    </row>
    <row r="795">
      <c r="A795" s="17" t="inlineStr">
        <is>
          <t>Basket4ballers</t>
        </is>
      </c>
      <c r="B795" s="17" t="inlineStr">
        <is>
          <t>Live</t>
        </is>
      </c>
      <c r="C795" s="17" t="inlineStr">
        <is>
          <t>Basket4ballers</t>
        </is>
      </c>
      <c r="D795" s="17" t="inlineStr">
        <is>
          <t>Chaussures de basket et sneakers</t>
        </is>
      </c>
      <c r="E795" s="18" t="inlineStr">
        <is>
          <t>Chaussures de basket tous styles pas chères | Basket4Ballers</t>
        </is>
      </c>
      <c r="F795" s="17" t="inlineStr">
        <is>
          <t>Toutes les chaussures de basket performance et lifestyle pour homme, femme et enfant, dans une boutique spécialisée qui expédie en 72 h max.</t>
        </is>
      </c>
      <c r="G795" s="19" t="inlineStr">
        <is>
          <t>https://www.basket4ballers.com/fr/152-chaussure-basket</t>
        </is>
      </c>
      <c r="H795" s="20" t="n">
        <v>1075</v>
      </c>
      <c r="I795" s="20" t="n">
        <v>9</v>
      </c>
      <c r="J795" s="21">
        <f>IF(H795=0,0,I795/H795)</f>
        <v/>
      </c>
    </row>
    <row r="796">
      <c r="A796" s="17" t="inlineStr">
        <is>
          <t>Basket4ballers</t>
        </is>
      </c>
      <c r="B796" s="17" t="inlineStr">
        <is>
          <t>Live</t>
        </is>
      </c>
      <c r="C796" s="17" t="inlineStr">
        <is>
          <t>Basket4ballers</t>
        </is>
      </c>
      <c r="D796" s="17" t="inlineStr">
        <is>
          <t>Maillots NBA, équipes et joueurs</t>
        </is>
      </c>
      <c r="E796" s="18" t="inlineStr">
        <is>
          <t>Maillots Minnesota Timberwolves prix bas | Basket4Ballers</t>
        </is>
      </c>
      <c r="F796" s="17" t="inlineStr">
        <is>
          <t>Maillots NBA officiels des Minnesota Timberwolves en versions City Edition, Icon, Association et Statement, avec t-shirts, shorts, sweats et casquettes.</t>
        </is>
      </c>
      <c r="G796" s="19" t="inlineStr">
        <is>
          <t>https://www.basket4ballers.com/fr/236-minnesota-timberwolves</t>
        </is>
      </c>
      <c r="H796" s="20" t="n">
        <v>1063</v>
      </c>
      <c r="I796" s="20" t="n">
        <v>8</v>
      </c>
      <c r="J796" s="21">
        <f>IF(H796=0,0,I796/H796)</f>
        <v/>
      </c>
    </row>
    <row r="797">
      <c r="A797" s="17" t="inlineStr">
        <is>
          <t>Basket4ballers</t>
        </is>
      </c>
      <c r="B797" s="17" t="inlineStr">
        <is>
          <t>Live</t>
        </is>
      </c>
      <c r="C797" s="17" t="inlineStr">
        <is>
          <t>Basket4ballers</t>
        </is>
      </c>
      <c r="D797" s="17" t="inlineStr">
        <is>
          <t>Shorts et pantalons</t>
        </is>
      </c>
      <c r="E797" s="18" t="inlineStr">
        <is>
          <t>Pantalons de basket au meilleur prix | Basket4Ballers</t>
        </is>
      </c>
      <c r="F797" s="17" t="inlineStr">
        <is>
          <t>Pantalons de basket et de survêtement Nike, Jordan, Adidas et Puma, coupes larges ou ajustées, en plusieurs tailles, livrés en 72 h max.</t>
        </is>
      </c>
      <c r="G797" s="19" t="inlineStr">
        <is>
          <t>https://www.basket4ballers.com/fr/199-pantalons</t>
        </is>
      </c>
      <c r="H797" s="20" t="n">
        <v>1040</v>
      </c>
      <c r="I797" s="20" t="n">
        <v>3</v>
      </c>
      <c r="J797" s="21">
        <f>IF(H797=0,0,I797/H797)</f>
        <v/>
      </c>
    </row>
    <row r="798">
      <c r="A798" s="17" t="inlineStr">
        <is>
          <t>Basket4ballers</t>
        </is>
      </c>
      <c r="B798" s="17" t="inlineStr">
        <is>
          <t>Live</t>
        </is>
      </c>
      <c r="C798" s="17" t="inlineStr">
        <is>
          <t>Basket4ballers</t>
        </is>
      </c>
      <c r="D798" s="17" t="inlineStr">
        <is>
          <t>Maillots NBA, équipes et joueurs</t>
        </is>
      </c>
      <c r="E798" s="18" t="inlineStr">
        <is>
          <t>Maillots NBA Philadelphia 76ers prix bas | Basket4Ballers</t>
        </is>
      </c>
      <c r="F798" s="17" t="inlineStr">
        <is>
          <t>Maillots NBA officiels des Philadelphia 76ers en versions City Edition, Icon, Association et Statement, avec t-shirts, shorts, sweats et casquettes.</t>
        </is>
      </c>
      <c r="G798" s="19" t="inlineStr">
        <is>
          <t>https://www.basket4ballers.com/fr/241-philadelphia-76ers</t>
        </is>
      </c>
      <c r="H798" s="20" t="n">
        <v>1021</v>
      </c>
      <c r="I798" s="20" t="n">
        <v>4</v>
      </c>
      <c r="J798" s="21">
        <f>IF(H798=0,0,I798/H798)</f>
        <v/>
      </c>
    </row>
    <row r="799">
      <c r="A799" s="17" t="inlineStr">
        <is>
          <t>Basket4ballers</t>
        </is>
      </c>
      <c r="B799" s="17" t="inlineStr">
        <is>
          <t>Live</t>
        </is>
      </c>
      <c r="C799" s="17" t="inlineStr">
        <is>
          <t>Basket4ballers</t>
        </is>
      </c>
      <c r="D799" s="17" t="inlineStr">
        <is>
          <t>Maillots NBA, équipes et joueurs</t>
        </is>
      </c>
      <c r="E799" s="18" t="inlineStr">
        <is>
          <t>Maillots NBA Boston Celtics prix bas | Basket4Ballers</t>
        </is>
      </c>
      <c r="F799" s="17" t="inlineStr">
        <is>
          <t>Maillots NBA officiels des Boston Celtics en versions City Edition, Icon, Association et Statement, avec t-shirts, shorts, sweats et casquettes de Boston.</t>
        </is>
      </c>
      <c r="G799" s="19" t="inlineStr">
        <is>
          <t>https://www.basket4ballers.com/fr/220-boston-celtics</t>
        </is>
      </c>
      <c r="H799" s="20" t="n">
        <v>1016</v>
      </c>
      <c r="I799" s="20" t="n">
        <v>3</v>
      </c>
      <c r="J799" s="21">
        <f>IF(H799=0,0,I799/H799)</f>
        <v/>
      </c>
    </row>
    <row r="800">
      <c r="A800" s="17" t="inlineStr">
        <is>
          <t>Basket4ballers</t>
        </is>
      </c>
      <c r="B800" s="17" t="inlineStr">
        <is>
          <t>Live</t>
        </is>
      </c>
      <c r="C800" s="17" t="inlineStr">
        <is>
          <t>Basket4ballers</t>
        </is>
      </c>
      <c r="D800" s="17" t="inlineStr">
        <is>
          <t>Chaussures de basket et sneakers</t>
        </is>
      </c>
      <c r="E800" s="18" t="inlineStr">
        <is>
          <t>Chaussures Jordan Triangle pas chères | Basket4Ballers</t>
        </is>
      </c>
      <c r="F800" s="17" t="inlineStr">
        <is>
          <t>Chaussures Jordan Triangle, paire de basket performance de la gamme Jordan, en plusieurs pointures, dans une boutique spécialisée qui livre en 72 h max.</t>
        </is>
      </c>
      <c r="G800" s="19" t="inlineStr">
        <is>
          <t>https://www.basket4ballers.com/fr/3150-chaussures-jordan-triangle</t>
        </is>
      </c>
      <c r="H800" s="20" t="n">
        <v>1005</v>
      </c>
      <c r="I800" s="20" t="n">
        <v>5</v>
      </c>
      <c r="J800" s="21">
        <f>IF(H800=0,0,I800/H800)</f>
        <v/>
      </c>
    </row>
    <row r="801">
      <c r="A801" s="17" t="inlineStr">
        <is>
          <t>Basket4ballers</t>
        </is>
      </c>
      <c r="B801" s="17" t="inlineStr">
        <is>
          <t>Live</t>
        </is>
      </c>
      <c r="C801" s="17" t="inlineStr">
        <is>
          <t>Basket4ballers</t>
        </is>
      </c>
      <c r="D801" s="17" t="inlineStr">
        <is>
          <t>Chaussures de basket et sneakers</t>
        </is>
      </c>
      <c r="E801" s="18" t="inlineStr">
        <is>
          <t>Chaussures Nike Sabrina 3 pas chères | Basket4Ballers</t>
        </is>
      </c>
      <c r="F801" s="17" t="inlineStr">
        <is>
          <t>Chaussures Nike Sabrina 3, troisième modèle signature de Sabrina Ionescu, en plusieurs pointures, dans une boutique spécialisée qui livre en 72 h max.</t>
        </is>
      </c>
      <c r="G801" s="19" t="inlineStr">
        <is>
          <t>https://www.basket4ballers.com/fr/1653-chaussures-nike-sabrina-3</t>
        </is>
      </c>
      <c r="H801" s="20" t="n">
        <v>1000</v>
      </c>
      <c r="I801" s="20" t="n">
        <v>5</v>
      </c>
      <c r="J801" s="21">
        <f>IF(H801=0,0,I801/H801)</f>
        <v/>
      </c>
    </row>
    <row r="802">
      <c r="A802" s="17" t="inlineStr">
        <is>
          <t>Basket4ballers</t>
        </is>
      </c>
      <c r="B802" s="17" t="inlineStr">
        <is>
          <t>Live</t>
        </is>
      </c>
      <c r="C802" s="17" t="inlineStr">
        <is>
          <t>Basket4ballers</t>
        </is>
      </c>
      <c r="D802" s="17" t="inlineStr">
        <is>
          <t>Chaussures de basket et sneakers</t>
        </is>
      </c>
      <c r="E802" s="18" t="inlineStr">
        <is>
          <t>Chaussures de basket enfant pas chères | Basket4Ballers</t>
        </is>
      </c>
      <c r="F802" s="17" t="inlineStr">
        <is>
          <t>Chaussures de basket pour ado, enfant et bébé signées Nike, Jordan, Puma ou Adidas, avec livraison et retours gratuits sur toute la sélection.</t>
        </is>
      </c>
      <c r="G802" s="19" t="inlineStr">
        <is>
          <t>https://www.basket4ballers.com/fr/348-chaussure-basket-enfant</t>
        </is>
      </c>
      <c r="H802" s="20" t="n">
        <v>997</v>
      </c>
      <c r="I802" s="20" t="n">
        <v>5</v>
      </c>
      <c r="J802" s="21">
        <f>IF(H802=0,0,I802/H802)</f>
        <v/>
      </c>
    </row>
    <row r="803">
      <c r="A803" s="17" t="inlineStr">
        <is>
          <t>Basket4ballers</t>
        </is>
      </c>
      <c r="B803" s="17" t="inlineStr">
        <is>
          <t>Live</t>
        </is>
      </c>
      <c r="C803" s="17" t="inlineStr">
        <is>
          <t>Basket4ballers</t>
        </is>
      </c>
      <c r="D803" s="17" t="inlineStr">
        <is>
          <t>Ballons, sacs et protections</t>
        </is>
      </c>
      <c r="E803" s="18" t="inlineStr">
        <is>
          <t>Bandeaux et poignets éponge pas chers | Basket4Ballers</t>
        </is>
      </c>
      <c r="F803" s="17" t="inlineStr">
        <is>
          <t>Bandeaux et poignets éponge Nike, Jordan et NBA pour garder les mains et le front secs pendant le match, en plusieurs coloris, livrés en 72 h max.</t>
        </is>
      </c>
      <c r="G803" s="19" t="inlineStr">
        <is>
          <t>https://www.basket4ballers.com/fr/211-bandeaux-et-poignets-eponge</t>
        </is>
      </c>
      <c r="H803" s="20" t="n">
        <v>988</v>
      </c>
      <c r="I803" s="20" t="n">
        <v>3</v>
      </c>
      <c r="J803" s="21">
        <f>IF(H803=0,0,I803/H803)</f>
        <v/>
      </c>
    </row>
    <row r="804">
      <c r="A804" s="17" t="inlineStr">
        <is>
          <t>Basket4ballers</t>
        </is>
      </c>
      <c r="B804" s="17" t="inlineStr">
        <is>
          <t>Live</t>
        </is>
      </c>
      <c r="C804" s="17" t="inlineStr">
        <is>
          <t>Basket4ballers</t>
        </is>
      </c>
      <c r="D804" s="17" t="inlineStr">
        <is>
          <t>Maillots NBA, équipes et joueurs</t>
        </is>
      </c>
      <c r="E804" s="18" t="inlineStr">
        <is>
          <t>Maillots NBA Miami Heat pas chers | Basket4Ballers</t>
        </is>
      </c>
      <c r="F804" s="17" t="inlineStr">
        <is>
          <t>Maillots NBA officiels du Miami Heat en versions City Edition, Icon, Association et Statement, avec t-shirts, shorts, sweats et casquettes de Miami.</t>
        </is>
      </c>
      <c r="G804" s="19" t="inlineStr">
        <is>
          <t>https://www.basket4ballers.com/fr/234-miami-heat</t>
        </is>
      </c>
      <c r="H804" s="20" t="n">
        <v>986</v>
      </c>
      <c r="I804" s="20" t="n">
        <v>6</v>
      </c>
      <c r="J804" s="21">
        <f>IF(H804=0,0,I804/H804)</f>
        <v/>
      </c>
    </row>
    <row r="805">
      <c r="A805" s="17" t="inlineStr">
        <is>
          <t>Basket4ballers</t>
        </is>
      </c>
      <c r="B805" s="17" t="inlineStr">
        <is>
          <t>Live</t>
        </is>
      </c>
      <c r="C805" s="17" t="inlineStr">
        <is>
          <t>Basket4ballers</t>
        </is>
      </c>
      <c r="D805" s="17" t="inlineStr">
        <is>
          <t>Chaussures de basket et sneakers</t>
        </is>
      </c>
      <c r="E805" s="18" t="inlineStr">
        <is>
          <t>Chaussures Converse Shai 001 pas chères | Basket4Ballers</t>
        </is>
      </c>
      <c r="F805" s="17" t="inlineStr">
        <is>
          <t>Chaussures Converse Shai 001, premier modèle signature de Shai Gilgeous-Alexander, en plusieurs pointures, dans une boutique spécialisée livrant en 72 h max.</t>
        </is>
      </c>
      <c r="G805" s="19" t="inlineStr">
        <is>
          <t>https://www.basket4ballers.com/fr/1443-chaussures-converse-shai-001</t>
        </is>
      </c>
      <c r="H805" s="20" t="n">
        <v>958</v>
      </c>
      <c r="I805" s="20" t="n">
        <v>4</v>
      </c>
      <c r="J805" s="21">
        <f>IF(H805=0,0,I805/H805)</f>
        <v/>
      </c>
    </row>
    <row r="806">
      <c r="A806" s="17" t="inlineStr">
        <is>
          <t>Basket4ballers</t>
        </is>
      </c>
      <c r="B806" s="17" t="inlineStr">
        <is>
          <t>Live</t>
        </is>
      </c>
      <c r="C806" s="17" t="inlineStr">
        <is>
          <t>Basket4ballers</t>
        </is>
      </c>
      <c r="D806" s="17" t="inlineStr">
        <is>
          <t>Maillots NBA, équipes et joueurs</t>
        </is>
      </c>
      <c r="E806" s="18" t="inlineStr">
        <is>
          <t>LeBron 23 et maillots LeBron James prix bas | Basket4Ballers</t>
        </is>
      </c>
      <c r="F806" s="17" t="inlineStr">
        <is>
          <t>Chaussures signature de LeBron James, Nike LeBron 23 et NXXT Gen, avec maillot NBA, t-shirt et sweat aux Lakers et aux 76ers, livrés en 72 h max.</t>
        </is>
      </c>
      <c r="G806" s="19" t="inlineStr">
        <is>
          <t>https://www.basket4ballers.com/fr/120-lebron-james</t>
        </is>
      </c>
      <c r="H806" s="20" t="n">
        <v>939</v>
      </c>
      <c r="I806" s="20" t="n">
        <v>5</v>
      </c>
      <c r="J806" s="21">
        <f>IF(H806=0,0,I806/H806)</f>
        <v/>
      </c>
    </row>
    <row r="807">
      <c r="A807" s="17" t="inlineStr">
        <is>
          <t>Basket4ballers</t>
        </is>
      </c>
      <c r="B807" s="17" t="inlineStr">
        <is>
          <t>Live</t>
        </is>
      </c>
      <c r="C807" s="17" t="inlineStr">
        <is>
          <t>Basket4ballers</t>
        </is>
      </c>
      <c r="D807" s="17" t="inlineStr">
        <is>
          <t>Chaussures de basket et sneakers</t>
        </is>
      </c>
      <c r="E807" s="18" t="inlineStr">
        <is>
          <t>Adidas D.O.N. Issue 8 au meilleur prix | Basket4Ballers</t>
        </is>
      </c>
      <c r="F807" s="17" t="inlineStr">
        <is>
          <t>Chaussures Adidas D.O.N. Issue 8, huitième modèle signature de Donovan Mitchell, en plusieurs pointures, dans une boutique spécialisée livrant en 72 h max.</t>
        </is>
      </c>
      <c r="G807" s="19" t="inlineStr">
        <is>
          <t>https://www.basket4ballers.com/fr/3159-chaussures-adidas-don-issue-8</t>
        </is>
      </c>
      <c r="H807" s="20" t="n">
        <v>931</v>
      </c>
      <c r="I807" s="20" t="n">
        <v>6</v>
      </c>
      <c r="J807" s="21">
        <f>IF(H807=0,0,I807/H807)</f>
        <v/>
      </c>
    </row>
    <row r="808">
      <c r="A808" s="17" t="inlineStr">
        <is>
          <t>Basket4ballers</t>
        </is>
      </c>
      <c r="B808" s="17" t="inlineStr">
        <is>
          <t>Live</t>
        </is>
      </c>
      <c r="C808" s="17" t="inlineStr">
        <is>
          <t>Basket4ballers</t>
        </is>
      </c>
      <c r="D808" s="17" t="inlineStr">
        <is>
          <t>Maillots NBA, équipes et joueurs</t>
        </is>
      </c>
      <c r="E808" s="18" t="inlineStr">
        <is>
          <t>Chaussures et maillots Kobe Bryant prix bas | Basket4Ballers</t>
        </is>
      </c>
      <c r="F808" s="17" t="inlineStr">
        <is>
          <t>Chaussures Nike Kobe, maillots NBA des Lakers aux numéros 8 et 24 et textile hommage à Kobe Bryant, dans une boutique spécialisée livrant en 72 h max.</t>
        </is>
      </c>
      <c r="G808" s="19" t="inlineStr">
        <is>
          <t>https://www.basket4ballers.com/fr/122-kobe-bryant</t>
        </is>
      </c>
      <c r="H808" s="20" t="n">
        <v>910</v>
      </c>
      <c r="I808" s="20" t="n">
        <v>5</v>
      </c>
      <c r="J808" s="21">
        <f>IF(H808=0,0,I808/H808)</f>
        <v/>
      </c>
    </row>
    <row r="809">
      <c r="A809" s="17" t="inlineStr">
        <is>
          <t>Basket4ballers</t>
        </is>
      </c>
      <c r="B809" s="17" t="inlineStr">
        <is>
          <t>Live</t>
        </is>
      </c>
      <c r="C809" s="17" t="inlineStr">
        <is>
          <t>Basket4ballers</t>
        </is>
      </c>
      <c r="D809" s="17" t="inlineStr">
        <is>
          <t>Chaussures de basket et sneakers</t>
        </is>
      </c>
      <c r="E809" s="18" t="inlineStr">
        <is>
          <t>Chaussures Nike Sabrina 4 au meilleur prix | Basket4Ballers</t>
        </is>
      </c>
      <c r="F809" s="17" t="inlineStr">
        <is>
          <t>Chaussures Nike Sabrina 4, nouveau modèle signature de Sabrina Ionescu, en plusieurs pointures, à commander dans une boutique spécialisée livrant en 72 h max.</t>
        </is>
      </c>
      <c r="G809" s="19" t="inlineStr">
        <is>
          <t>https://www.basket4ballers.com/fr/3180-chaussures-nike-sabrina-4</t>
        </is>
      </c>
      <c r="H809" s="20" t="n">
        <v>908</v>
      </c>
      <c r="I809" s="20" t="n">
        <v>4</v>
      </c>
      <c r="J809" s="21">
        <f>IF(H809=0,0,I809/H809)</f>
        <v/>
      </c>
    </row>
    <row r="810">
      <c r="A810" s="17" t="inlineStr">
        <is>
          <t>Basket4ballers</t>
        </is>
      </c>
      <c r="B810" s="17" t="inlineStr">
        <is>
          <t>Live</t>
        </is>
      </c>
      <c r="C810" s="17" t="inlineStr">
        <is>
          <t>Basket4ballers</t>
        </is>
      </c>
      <c r="D810" s="17" t="inlineStr">
        <is>
          <t>Maillots NBA, équipes et joueurs</t>
        </is>
      </c>
      <c r="E810" s="18" t="inlineStr">
        <is>
          <t>Nike Ja 4 et maillots Ja Morant prix bas | Basket4Ballers</t>
        </is>
      </c>
      <c r="F810" s="17" t="inlineStr">
        <is>
          <t>Chaussures signature de Ja Morant, Nike Ja 4 et Ja 3, avec maillot NBA, t-shirt et sweat aux Memphis Grizzlies, dans une boutique spécialisée basket.</t>
        </is>
      </c>
      <c r="G810" s="19" t="inlineStr">
        <is>
          <t>https://www.basket4ballers.com/fr/409-ja-morant</t>
        </is>
      </c>
      <c r="H810" s="20" t="n">
        <v>902</v>
      </c>
      <c r="I810" s="20" t="n">
        <v>3</v>
      </c>
      <c r="J810" s="21">
        <f>IF(H810=0,0,I810/H810)</f>
        <v/>
      </c>
    </row>
    <row r="811">
      <c r="A811" s="17" t="inlineStr">
        <is>
          <t>Basket4ballers</t>
        </is>
      </c>
      <c r="B811" s="17" t="inlineStr">
        <is>
          <t>Live</t>
        </is>
      </c>
      <c r="C811" s="17" t="inlineStr">
        <is>
          <t>Basket4ballers</t>
        </is>
      </c>
      <c r="D811" s="17" t="inlineStr">
        <is>
          <t>Shorts et pantalons</t>
        </is>
      </c>
      <c r="E811" s="18" t="inlineStr">
        <is>
          <t>Shorts de basket pas chers | Basket4Ballers</t>
        </is>
      </c>
      <c r="F811" s="17" t="inlineStr">
        <is>
          <t>Shorts de basket Nike, Jordan, Adidas et Puma, avec les shorts NBA des franchises, en plusieurs tailles, dans une boutique spécialisée livrant en 72 h max.</t>
        </is>
      </c>
      <c r="G811" s="19" t="inlineStr">
        <is>
          <t>https://www.basket4ballers.com/fr/200-shorts</t>
        </is>
      </c>
      <c r="H811" s="20" t="n">
        <v>894</v>
      </c>
      <c r="I811" s="20" t="n">
        <v>4</v>
      </c>
      <c r="J811" s="21">
        <f>IF(H811=0,0,I811/H811)</f>
        <v/>
      </c>
    </row>
    <row r="812">
      <c r="A812" s="17" t="inlineStr">
        <is>
          <t>Basket4ballers</t>
        </is>
      </c>
      <c r="B812" s="17" t="inlineStr">
        <is>
          <t>Live</t>
        </is>
      </c>
      <c r="C812" s="17" t="inlineStr">
        <is>
          <t>Basket4ballers</t>
        </is>
      </c>
      <c r="D812" s="17" t="inlineStr">
        <is>
          <t>Ballons, sacs et protections</t>
        </is>
      </c>
      <c r="E812" s="18" t="inlineStr">
        <is>
          <t>Coudières et genouillères basket prix bas | Basket4Ballers</t>
        </is>
      </c>
      <c r="F812" s="17" t="inlineStr">
        <is>
          <t>Coudières et genouillères de basket, protections rembourrées ou manchons de compression pour encaisser les chutes au sol, livrées en 72 h max.</t>
        </is>
      </c>
      <c r="G812" s="19" t="inlineStr">
        <is>
          <t>https://www.basket4ballers.com/fr/209-coudieres-et-genouilleres</t>
        </is>
      </c>
      <c r="H812" s="20" t="n">
        <v>894</v>
      </c>
      <c r="I812" s="20" t="n">
        <v>3</v>
      </c>
      <c r="J812" s="21">
        <f>IF(H812=0,0,I812/H812)</f>
        <v/>
      </c>
    </row>
    <row r="813">
      <c r="A813" s="17" t="inlineStr">
        <is>
          <t>Basket4ballers</t>
        </is>
      </c>
      <c r="B813" s="17" t="inlineStr">
        <is>
          <t>Live</t>
        </is>
      </c>
      <c r="C813" s="17" t="inlineStr">
        <is>
          <t>Basket4ballers</t>
        </is>
      </c>
      <c r="D813" s="17" t="inlineStr">
        <is>
          <t>Maillots NBA, équipes et joueurs</t>
        </is>
      </c>
      <c r="E813" s="18" t="inlineStr">
        <is>
          <t>Maillots NBA Chicago Bulls au meilleur prix | Basket4Ballers</t>
        </is>
      </c>
      <c r="F813" s="17" t="inlineStr">
        <is>
          <t>Maillots NBA officiels des Chicago Bulls en versions City Edition, Icon, Association et Statement, avec t-shirts, shorts, sweats et casquettes de Chicago.</t>
        </is>
      </c>
      <c r="G813" s="19" t="inlineStr">
        <is>
          <t>https://www.basket4ballers.com/fr/223-chicago-bulls</t>
        </is>
      </c>
      <c r="H813" s="20" t="n">
        <v>876</v>
      </c>
      <c r="I813" s="20" t="n">
        <v>7</v>
      </c>
      <c r="J813" s="21">
        <f>IF(H813=0,0,I813/H813)</f>
        <v/>
      </c>
    </row>
    <row r="814">
      <c r="A814" s="17" t="inlineStr">
        <is>
          <t>Basket4ballers</t>
        </is>
      </c>
      <c r="B814" s="17" t="inlineStr">
        <is>
          <t>Live</t>
        </is>
      </c>
      <c r="C814" s="17" t="inlineStr">
        <is>
          <t>Basket4ballers</t>
        </is>
      </c>
      <c r="D814" s="17" t="inlineStr">
        <is>
          <t>Chaussures de basket et sneakers</t>
        </is>
      </c>
      <c r="E814" s="18" t="inlineStr">
        <is>
          <t>Chaussures Sabrina Ionescu prix bas | Basket4Ballers</t>
        </is>
      </c>
      <c r="F814" s="17" t="inlineStr">
        <is>
          <t>Chaussures de basket signature Sabrina Ionescu, Nike Sabrina 4 et Sabrina 3, en plusieurs pointures, dans une boutique spécialisée livrant en 72 h max.</t>
        </is>
      </c>
      <c r="G814" s="19" t="inlineStr">
        <is>
          <t>https://www.basket4ballers.com/fr/1260-chaussures-basketball-sabrina-ionescu</t>
        </is>
      </c>
      <c r="H814" s="20" t="n">
        <v>868</v>
      </c>
      <c r="I814" s="20" t="n">
        <v>6</v>
      </c>
      <c r="J814" s="21">
        <f>IF(H814=0,0,I814/H814)</f>
        <v/>
      </c>
    </row>
    <row r="815">
      <c r="A815" s="17" t="inlineStr">
        <is>
          <t>Basket4ballers</t>
        </is>
      </c>
      <c r="B815" s="17" t="inlineStr">
        <is>
          <t>Live</t>
        </is>
      </c>
      <c r="C815" s="17" t="inlineStr">
        <is>
          <t>Basket4ballers</t>
        </is>
      </c>
      <c r="D815" s="17" t="inlineStr">
        <is>
          <t>Chaussures de basket et sneakers</t>
        </is>
      </c>
      <c r="E815" s="18" t="inlineStr">
        <is>
          <t>Chaussures et textile Adidas prix bas | Basket4Ballers</t>
        </is>
      </c>
      <c r="F815" s="17" t="inlineStr">
        <is>
          <t>Chaussures performance signature Adidas, vêtements et accessoires Adidas Basketball, à commander dans une boutique spécialisée qui livre en 72 h max.</t>
        </is>
      </c>
      <c r="G815" s="19" t="inlineStr">
        <is>
          <t>https://www.basket4ballers.com/fr/25_adidas</t>
        </is>
      </c>
      <c r="H815" s="20" t="n">
        <v>863</v>
      </c>
      <c r="I815" s="20" t="n">
        <v>7</v>
      </c>
      <c r="J815" s="21">
        <f>IF(H815=0,0,I815/H815)</f>
        <v/>
      </c>
    </row>
    <row r="816">
      <c r="A816" s="17" t="inlineStr">
        <is>
          <t>Basket4ballers</t>
        </is>
      </c>
      <c r="B816" s="17" t="inlineStr">
        <is>
          <t>Live</t>
        </is>
      </c>
      <c r="C816" s="17" t="inlineStr">
        <is>
          <t>Basket4ballers</t>
        </is>
      </c>
      <c r="D816" s="17" t="inlineStr">
        <is>
          <t>Chaussures de basket et sneakers</t>
        </is>
      </c>
      <c r="E816" s="18" t="inlineStr">
        <is>
          <t>Sneakers lifestyle Jordan prix bas | Basket4Ballers</t>
        </is>
      </c>
      <c r="F816" s="17" t="inlineStr">
        <is>
          <t>Chaussures lifestyle Jordan, Air Jordan 1, 3, 4 et autres rétros portées en ville, en plusieurs pointures, dans une boutique spécialisée livrant en 72 h max.</t>
        </is>
      </c>
      <c r="G816" s="19" t="inlineStr">
        <is>
          <t>https://www.basket4ballers.com/fr/1095-chaussures-lifestyle-jordan</t>
        </is>
      </c>
      <c r="H816" s="20" t="n">
        <v>862</v>
      </c>
      <c r="I816" s="20" t="n">
        <v>4</v>
      </c>
      <c r="J816" s="21">
        <f>IF(H816=0,0,I816/H816)</f>
        <v/>
      </c>
    </row>
    <row r="817">
      <c r="A817" s="17" t="inlineStr">
        <is>
          <t>Basket4ballers</t>
        </is>
      </c>
      <c r="B817" s="17" t="inlineStr">
        <is>
          <t>Live</t>
        </is>
      </c>
      <c r="C817" s="17" t="inlineStr">
        <is>
          <t>Basket4ballers</t>
        </is>
      </c>
      <c r="D817" s="17" t="inlineStr">
        <is>
          <t>Chaussures de basket et sneakers</t>
        </is>
      </c>
      <c r="E817" s="18" t="inlineStr">
        <is>
          <t>Tenues et chaussures de basket prix bas | Basket4Ballers</t>
        </is>
      </c>
      <c r="F817" s="17" t="inlineStr">
        <is>
          <t>Promotions exclusives sur une sélection de chaussures, tenues et accessoires de basketball, avec livraison en 72 h max et retours possibles.</t>
        </is>
      </c>
      <c r="G817" s="19" t="inlineStr">
        <is>
          <t>https://www.basket4ballers.com/fr/7-promo</t>
        </is>
      </c>
      <c r="H817" s="20" t="n">
        <v>858</v>
      </c>
      <c r="I817" s="20" t="n">
        <v>7</v>
      </c>
      <c r="J817" s="21">
        <f>IF(H817=0,0,I817/H817)</f>
        <v/>
      </c>
    </row>
    <row r="818">
      <c r="A818" s="17" t="inlineStr">
        <is>
          <t>Basket4ballers</t>
        </is>
      </c>
      <c r="B818" s="17" t="inlineStr">
        <is>
          <t>Live</t>
        </is>
      </c>
      <c r="C818" s="17" t="inlineStr">
        <is>
          <t>Basket4ballers</t>
        </is>
      </c>
      <c r="D818" s="17" t="inlineStr">
        <is>
          <t>Maillots NBA, équipes et joueurs</t>
        </is>
      </c>
      <c r="E818" s="18" t="inlineStr">
        <is>
          <t>Maillots NBA San Antonio Spurs pas chers | Basket4Ballers</t>
        </is>
      </c>
      <c r="F818" s="17" t="inlineStr">
        <is>
          <t>Maillots NBA officiels des San Antonio Spurs en versions City Edition, Icon, Association et Statement, avec t-shirts, shorts, sweats et casquettes.</t>
        </is>
      </c>
      <c r="G818" s="19" t="inlineStr">
        <is>
          <t>https://www.basket4ballers.com/fr/245-san-antonio-spurs</t>
        </is>
      </c>
      <c r="H818" s="20" t="n">
        <v>849</v>
      </c>
      <c r="I818" s="20" t="n">
        <v>3</v>
      </c>
      <c r="J818" s="21">
        <f>IF(H818=0,0,I818/H818)</f>
        <v/>
      </c>
    </row>
    <row r="819">
      <c r="A819" s="17" t="inlineStr">
        <is>
          <t>Basket4ballers</t>
        </is>
      </c>
      <c r="B819" s="17" t="inlineStr">
        <is>
          <t>Live</t>
        </is>
      </c>
      <c r="C819" s="17" t="inlineStr">
        <is>
          <t>Basket4ballers</t>
        </is>
      </c>
      <c r="D819" s="17" t="inlineStr">
        <is>
          <t>Maillots NBA, équipes et joueurs</t>
        </is>
      </c>
      <c r="E819" s="18" t="inlineStr">
        <is>
          <t>Maillots NBA New York Knicks pas chers | Basket4Ballers</t>
        </is>
      </c>
      <c r="F819" s="17" t="inlineStr">
        <is>
          <t>Maillots NBA officiels des New York Knicks en versions City Edition, Icon, Association et Statement, avec t-shirts, shorts, sweats et casquettes de New York.</t>
        </is>
      </c>
      <c r="G819" s="19" t="inlineStr">
        <is>
          <t>https://www.basket4ballers.com/fr/238-new-york-knicks</t>
        </is>
      </c>
      <c r="H819" s="20" t="n">
        <v>831</v>
      </c>
      <c r="I819" s="20" t="n">
        <v>5</v>
      </c>
      <c r="J819" s="21">
        <f>IF(H819=0,0,I819/H819)</f>
        <v/>
      </c>
    </row>
    <row r="820">
      <c r="A820" s="17" t="inlineStr">
        <is>
          <t>Basket4ballers</t>
        </is>
      </c>
      <c r="B820" s="17" t="inlineStr">
        <is>
          <t>Live</t>
        </is>
      </c>
      <c r="C820" s="17" t="inlineStr">
        <is>
          <t>Basket4ballers</t>
        </is>
      </c>
      <c r="D820" s="17" t="inlineStr">
        <is>
          <t>Maillots NBA, équipes et joueurs</t>
        </is>
      </c>
      <c r="E820" s="18" t="inlineStr">
        <is>
          <t>Maillots NBA Los Angeles Lakers pas chers | Basket4Ballers</t>
        </is>
      </c>
      <c r="F820" s="17" t="inlineStr">
        <is>
          <t>Maillots NBA officiels des Los Angeles Lakers en versions City Edition, Icon, Association et Statement, avec t-shirts, shorts, sweats et casquettes.</t>
        </is>
      </c>
      <c r="G820" s="19" t="inlineStr">
        <is>
          <t>https://www.basket4ballers.com/fr/232-los-angeles-lakers</t>
        </is>
      </c>
      <c r="H820" s="20" t="n">
        <v>829</v>
      </c>
      <c r="I820" s="20" t="n">
        <v>3</v>
      </c>
      <c r="J820" s="21">
        <f>IF(H820=0,0,I820/H820)</f>
        <v/>
      </c>
    </row>
    <row r="821">
      <c r="A821" s="17" t="inlineStr">
        <is>
          <t>Basket4ballers</t>
        </is>
      </c>
      <c r="B821" s="17" t="inlineStr">
        <is>
          <t>Live</t>
        </is>
      </c>
      <c r="C821" s="17" t="inlineStr">
        <is>
          <t>Basket4ballers</t>
        </is>
      </c>
      <c r="D821" s="17" t="inlineStr">
        <is>
          <t>Chaussures de basket et sneakers</t>
        </is>
      </c>
      <c r="E821" s="18" t="inlineStr">
        <is>
          <t>Chaussures Puma MB.05 prix bas | Basket4Ballers</t>
        </is>
      </c>
      <c r="F821" s="17" t="inlineStr">
        <is>
          <t>Chaussures Puma MB.05, cinquième modèle signature de LaMelo Ball, en plusieurs pointures et coloris, dans une boutique spécialisée qui livre en 72 h max.</t>
        </is>
      </c>
      <c r="G821" s="19" t="inlineStr">
        <is>
          <t>https://www.basket4ballers.com/fr/1704-chaussures-puma-mb05</t>
        </is>
      </c>
      <c r="H821" s="20" t="n">
        <v>826</v>
      </c>
      <c r="I821" s="20" t="n">
        <v>2</v>
      </c>
      <c r="J821" s="21">
        <f>IF(H821=0,0,I821/H821)</f>
        <v/>
      </c>
    </row>
    <row r="822">
      <c r="A822" s="17" t="inlineStr">
        <is>
          <t>Basket4ballers</t>
        </is>
      </c>
      <c r="B822" s="17" t="inlineStr">
        <is>
          <t>Live</t>
        </is>
      </c>
      <c r="C822" s="17" t="inlineStr">
        <is>
          <t>Basket4ballers</t>
        </is>
      </c>
      <c r="D822" s="17" t="inlineStr">
        <is>
          <t>Maillots NBA, équipes et joueurs</t>
        </is>
      </c>
      <c r="E822" s="18" t="inlineStr">
        <is>
          <t>Maillots NBA authentiques prix bas | Basket4Ballers</t>
        </is>
      </c>
      <c r="F822" s="17" t="inlineStr">
        <is>
          <t>Large sélection de maillots authentiques des 30 équipes de la NBA, versions Icon, Association, Statement et City Edition, livrés en 72 h max.</t>
        </is>
      </c>
      <c r="G822" s="19" t="inlineStr">
        <is>
          <t>https://www.basket4ballers.com/fr/198-maillots-basketball</t>
        </is>
      </c>
      <c r="H822" s="20" t="n">
        <v>818</v>
      </c>
      <c r="I822" s="20" t="n">
        <v>4</v>
      </c>
      <c r="J822" s="21">
        <f>IF(H822=0,0,I822/H822)</f>
        <v/>
      </c>
    </row>
    <row r="823">
      <c r="A823" s="17" t="inlineStr">
        <is>
          <t>Basket4ballers</t>
        </is>
      </c>
      <c r="B823" s="17" t="inlineStr">
        <is>
          <t>Live</t>
        </is>
      </c>
      <c r="C823" s="17" t="inlineStr">
        <is>
          <t>Basket4ballers</t>
        </is>
      </c>
      <c r="D823" s="17" t="inlineStr">
        <is>
          <t>Chaussures de basket et sneakers</t>
        </is>
      </c>
      <c r="E823" s="18" t="inlineStr">
        <is>
          <t>Chaussures Donovan Mitchell pas chères | Basket4Ballers</t>
        </is>
      </c>
      <c r="F823" s="17" t="inlineStr">
        <is>
          <t>Chaussures de basket signature Donovan Mitchell, les Adidas D.O.N. Issue, en plusieurs pointures, livrées en 72 h max par une boutique spécialisée.</t>
        </is>
      </c>
      <c r="G823" s="19" t="inlineStr">
        <is>
          <t>https://www.basket4ballers.com/fr/1209-chaussures-basketball-donovan-mitchell</t>
        </is>
      </c>
      <c r="H823" s="20" t="n">
        <v>808</v>
      </c>
      <c r="I823" s="20" t="n">
        <v>3</v>
      </c>
      <c r="J823" s="21">
        <f>IF(H823=0,0,I823/H823)</f>
        <v/>
      </c>
    </row>
    <row r="824">
      <c r="A824" s="17" t="inlineStr">
        <is>
          <t>Basket4ballers</t>
        </is>
      </c>
      <c r="B824" s="17" t="inlineStr">
        <is>
          <t>Live</t>
        </is>
      </c>
      <c r="C824" s="17" t="inlineStr">
        <is>
          <t>Basket4ballers</t>
        </is>
      </c>
      <c r="D824" s="17" t="inlineStr">
        <is>
          <t>Chaussures de basket et sneakers</t>
        </is>
      </c>
      <c r="E824" s="18" t="inlineStr">
        <is>
          <t>Chaussures A’ja Wilson au meilleur prix | Basket4Ballers</t>
        </is>
      </c>
      <c r="F824" s="17" t="inlineStr">
        <is>
          <t>Chaussures de basket signature d’A’ja Wilson, la Nike A’Two et la A’One, en plusieurs pointures, dans une boutique spécialisée qui livre en 72 h max.</t>
        </is>
      </c>
      <c r="G824" s="19" t="inlineStr">
        <is>
          <t>https://www.basket4ballers.com/fr/1182-chaussures-basketball-a-ja-wilson</t>
        </is>
      </c>
      <c r="H824" s="20" t="n">
        <v>806</v>
      </c>
      <c r="I824" s="20" t="n">
        <v>3</v>
      </c>
      <c r="J824" s="21">
        <f>IF(H824=0,0,I824/H824)</f>
        <v/>
      </c>
    </row>
    <row r="825">
      <c r="A825" s="17" t="inlineStr">
        <is>
          <t>Basket4ballers</t>
        </is>
      </c>
      <c r="B825" s="17" t="inlineStr">
        <is>
          <t>Live</t>
        </is>
      </c>
      <c r="C825" s="17" t="inlineStr">
        <is>
          <t>Basket4ballers</t>
        </is>
      </c>
      <c r="D825" s="17" t="inlineStr">
        <is>
          <t>Ballons, sacs et protections</t>
        </is>
      </c>
      <c r="E825" s="18" t="inlineStr">
        <is>
          <t>Sacs à dos Nike Elite Varsity prix bas | Basket4Ballers</t>
        </is>
      </c>
      <c r="F825" s="17" t="inlineStr">
        <is>
          <t>Sacs à dos Nike Elite Varsity : grands compartiments pour la tenue et les chaussures, dos confortable et solidité à toute épreuve, livrés en 72 h max.</t>
        </is>
      </c>
      <c r="G825" s="19" t="inlineStr">
        <is>
          <t>https://www.basket4ballers.com/fr/472-sacs-basketball-nike-elite</t>
        </is>
      </c>
      <c r="H825" s="20" t="n">
        <v>806</v>
      </c>
      <c r="I825" s="20" t="n">
        <v>1</v>
      </c>
      <c r="J825" s="21">
        <f>IF(H825=0,0,I825/H825)</f>
        <v/>
      </c>
    </row>
    <row r="826">
      <c r="A826" s="17" t="inlineStr">
        <is>
          <t>Basket4ballers</t>
        </is>
      </c>
      <c r="B826" s="17" t="inlineStr">
        <is>
          <t>Live</t>
        </is>
      </c>
      <c r="C826" s="17" t="inlineStr">
        <is>
          <t>Basket4ballers</t>
        </is>
      </c>
      <c r="D826" s="17" t="inlineStr">
        <is>
          <t>Chaussures de basket et sneakers</t>
        </is>
      </c>
      <c r="E826" s="18" t="inlineStr">
        <is>
          <t>Sneakers Jordan retro au meilleur prix | Basket4Ballers</t>
        </is>
      </c>
      <c r="F826" s="17" t="inlineStr">
        <is>
          <t>Sélection de chaussures retro Jordan, Nike et Reebok, rééditions des modèles portés sur les parquets des années 80 et 90, livrées en 72 h max.</t>
        </is>
      </c>
      <c r="G826" s="19" t="inlineStr">
        <is>
          <t>https://www.basket4ballers.com/fr/344-jordan-retro</t>
        </is>
      </c>
      <c r="H826" s="20" t="n">
        <v>805</v>
      </c>
      <c r="I826" s="20" t="n">
        <v>2</v>
      </c>
      <c r="J826" s="21">
        <f>IF(H826=0,0,I826/H826)</f>
        <v/>
      </c>
    </row>
    <row r="827">
      <c r="A827" s="17" t="inlineStr">
        <is>
          <t>Basket4ballers</t>
        </is>
      </c>
      <c r="B827" s="17" t="inlineStr">
        <is>
          <t>Live</t>
        </is>
      </c>
      <c r="C827" s="17" t="inlineStr">
        <is>
          <t>Basket4ballers</t>
        </is>
      </c>
      <c r="D827" s="17" t="inlineStr">
        <is>
          <t>Chaussures de basket et sneakers</t>
        </is>
      </c>
      <c r="E827" s="18" t="inlineStr">
        <is>
          <t>Sneakers lifestyle Jordan et Nike prix bas | Basket4Ballers</t>
        </is>
      </c>
      <c r="F827" s="17" t="inlineStr">
        <is>
          <t>Baskets lifestyle mythiques Air Jordan 1, Jordan 4, Nike Air Force 1 ou Dunk, réunies dans une boutique spécialisée sneakers, livrées en 72 h max.</t>
        </is>
      </c>
      <c r="G827" s="19" t="inlineStr">
        <is>
          <t>https://www.basket4ballers.com/fr/156-basket-sneakers</t>
        </is>
      </c>
      <c r="H827" s="20" t="n">
        <v>799</v>
      </c>
      <c r="I827" s="20" t="n">
        <v>5</v>
      </c>
      <c r="J827" s="21">
        <f>IF(H827=0,0,I827/H827)</f>
        <v/>
      </c>
    </row>
    <row r="828">
      <c r="A828" s="17" t="inlineStr">
        <is>
          <t>Basket4ballers</t>
        </is>
      </c>
      <c r="B828" s="17" t="inlineStr">
        <is>
          <t>Live</t>
        </is>
      </c>
      <c r="C828" s="17" t="inlineStr">
        <is>
          <t>Basket4ballers</t>
        </is>
      </c>
      <c r="D828" s="17" t="inlineStr">
        <is>
          <t>Chaussures de basket et sneakers</t>
        </is>
      </c>
      <c r="E828" s="18" t="inlineStr">
        <is>
          <t>Chaussures Jayson Tatum prix bas | Basket4Ballers</t>
        </is>
      </c>
      <c r="F828" s="17" t="inlineStr">
        <is>
          <t>Chaussures de basket signature Jayson Tatum, les Jordan Tatum, en plusieurs pointures, à commander dans une boutique spécialisée livrant en 72 h max.</t>
        </is>
      </c>
      <c r="G828" s="19" t="inlineStr">
        <is>
          <t>https://www.basket4ballers.com/fr/1224-chaussures-basketball-jayson-tatum</t>
        </is>
      </c>
      <c r="H828" s="20" t="n">
        <v>798</v>
      </c>
      <c r="I828" s="20" t="n">
        <v>1</v>
      </c>
      <c r="J828" s="21">
        <f>IF(H828=0,0,I828/H828)</f>
        <v/>
      </c>
    </row>
    <row r="829">
      <c r="A829" s="17" t="inlineStr">
        <is>
          <t>Basket4ballers</t>
        </is>
      </c>
      <c r="B829" s="17" t="inlineStr">
        <is>
          <t>Live</t>
        </is>
      </c>
      <c r="C829" s="17" t="inlineStr">
        <is>
          <t>Basket4ballers</t>
        </is>
      </c>
      <c r="D829" s="17" t="inlineStr">
        <is>
          <t>Chaussures de basket et sneakers</t>
        </is>
      </c>
      <c r="E829" s="18" t="inlineStr">
        <is>
          <t>Chaussures et textile Nike prix bas | Basket4Ballers</t>
        </is>
      </c>
      <c r="F829" s="17" t="inlineStr">
        <is>
          <t>Chaussures performance et lifestyle, vêtements et accessoires Nike Basketball réunis dans une boutique spécialisée basket, livrés en 72 h max.</t>
        </is>
      </c>
      <c r="G829" s="19" t="inlineStr">
        <is>
          <t>https://www.basket4ballers.com/fr/1_nike</t>
        </is>
      </c>
      <c r="H829" s="20" t="n">
        <v>797</v>
      </c>
      <c r="I829" s="20" t="n">
        <v>5</v>
      </c>
      <c r="J829" s="21">
        <f>IF(H829=0,0,I829/H829)</f>
        <v/>
      </c>
    </row>
    <row r="830">
      <c r="A830" s="17" t="inlineStr">
        <is>
          <t>Basket4ballers</t>
        </is>
      </c>
      <c r="B830" s="17" t="inlineStr">
        <is>
          <t>Live</t>
        </is>
      </c>
      <c r="C830" s="17" t="inlineStr">
        <is>
          <t>Basket4ballers</t>
        </is>
      </c>
      <c r="D830" s="17" t="inlineStr">
        <is>
          <t>Chaussures de basket et sneakers</t>
        </is>
      </c>
      <c r="E830" s="18" t="inlineStr">
        <is>
          <t>Chaussures et textile Anta prix bas | Basket4Ballers</t>
        </is>
      </c>
      <c r="F830" s="17" t="inlineStr">
        <is>
          <t>Chaussures performance, vêtements et accessoires Anta Basketball, dont les modèles signature Kyrie Irving, dans une boutique spécialisée basket.</t>
        </is>
      </c>
      <c r="G830" s="19" t="inlineStr">
        <is>
          <t>https://www.basket4ballers.com/fr/84_anta</t>
        </is>
      </c>
      <c r="H830" s="20" t="n">
        <v>794</v>
      </c>
      <c r="I830" s="20" t="n">
        <v>8</v>
      </c>
      <c r="J830" s="21">
        <f>IF(H830=0,0,I830/H830)</f>
        <v/>
      </c>
    </row>
    <row r="831">
      <c r="A831" s="17" t="inlineStr">
        <is>
          <t>Basket4ballers</t>
        </is>
      </c>
      <c r="B831" s="17" t="inlineStr">
        <is>
          <t>Live</t>
        </is>
      </c>
      <c r="C831" s="17" t="inlineStr">
        <is>
          <t>Basket4ballers</t>
        </is>
      </c>
      <c r="D831" s="17" t="inlineStr">
        <is>
          <t>Chaussures de basket et sneakers</t>
        </is>
      </c>
      <c r="E831" s="18" t="inlineStr">
        <is>
          <t>Chaussures Adidas A.E. 2 pas chères | Basket4Ballers</t>
        </is>
      </c>
      <c r="F831" s="17" t="inlineStr">
        <is>
          <t>Chaussures Adidas A.E. 2, deuxième modèle signature d’Anthony Edwards, en plusieurs pointures, à commander dans une boutique spécialisée livrant en 72 h max.</t>
        </is>
      </c>
      <c r="G831" s="19" t="inlineStr">
        <is>
          <t>https://www.basket4ballers.com/fr/1335-chaussures-adidas-ae-2</t>
        </is>
      </c>
      <c r="H831" s="20" t="n">
        <v>793</v>
      </c>
      <c r="I831" s="20" t="n">
        <v>3</v>
      </c>
      <c r="J831" s="21">
        <f>IF(H831=0,0,I831/H831)</f>
        <v/>
      </c>
    </row>
    <row r="832">
      <c r="A832" s="17" t="inlineStr">
        <is>
          <t>Basket4ballers</t>
        </is>
      </c>
      <c r="B832" s="17" t="inlineStr">
        <is>
          <t>Live</t>
        </is>
      </c>
      <c r="C832" s="17" t="inlineStr">
        <is>
          <t>Basket4ballers</t>
        </is>
      </c>
      <c r="D832" s="17" t="inlineStr">
        <is>
          <t>Chaussures de basket et sneakers</t>
        </is>
      </c>
      <c r="E832" s="18" t="inlineStr">
        <is>
          <t>Sneakers lifestyle en promo à prix bas | Basket4Ballers</t>
        </is>
      </c>
      <c r="F832" s="17" t="inlineStr">
        <is>
          <t>Sneakers et chaussures lifestyle en promotion : Air Jordan, Nike, Puma et Adidas à prix réduit, en plusieurs pointures, expédiées en 72 h max.</t>
        </is>
      </c>
      <c r="G832" s="19" t="inlineStr">
        <is>
          <t>https://www.basket4ballers.com/fr/451-promotions-sneakers-chaussures-lifestyle</t>
        </is>
      </c>
      <c r="H832" s="20" t="n">
        <v>791</v>
      </c>
      <c r="I832" s="20" t="n">
        <v>4</v>
      </c>
      <c r="J832" s="21">
        <f>IF(H832=0,0,I832/H832)</f>
        <v/>
      </c>
    </row>
    <row r="833">
      <c r="A833" s="17" t="inlineStr">
        <is>
          <t>Basket4ballers</t>
        </is>
      </c>
      <c r="B833" s="17" t="inlineStr">
        <is>
          <t>Live</t>
        </is>
      </c>
      <c r="C833" s="17" t="inlineStr">
        <is>
          <t>Basket4ballers</t>
        </is>
      </c>
      <c r="D833" s="17" t="inlineStr">
        <is>
          <t>Chaussures de basket et sneakers</t>
        </is>
      </c>
      <c r="E833" s="18" t="inlineStr">
        <is>
          <t>Chaussures Nike S.T. Charge prix bas | Basket4Ballers</t>
        </is>
      </c>
      <c r="F833" s="17" t="inlineStr">
        <is>
          <t>Chaussures Nike S.T. Charge, paire de basket polyvalente pour l’équipe, en plusieurs pointures, à commander dans une boutique spécialisée livrant en 72 h max.</t>
        </is>
      </c>
      <c r="G833" s="19" t="inlineStr">
        <is>
          <t>https://www.basket4ballers.com/fr/3155-chaussures-nike-st-charge</t>
        </is>
      </c>
      <c r="H833" s="20" t="n">
        <v>790</v>
      </c>
      <c r="I833" s="20" t="n">
        <v>5</v>
      </c>
      <c r="J833" s="21">
        <f>IF(H833=0,0,I833/H833)</f>
        <v/>
      </c>
    </row>
    <row r="834">
      <c r="A834" s="17" t="inlineStr">
        <is>
          <t>Basket4ballers</t>
        </is>
      </c>
      <c r="B834" s="17" t="inlineStr">
        <is>
          <t>Live</t>
        </is>
      </c>
      <c r="C834" s="17" t="inlineStr">
        <is>
          <t>Basket4ballers</t>
        </is>
      </c>
      <c r="D834" s="17" t="inlineStr">
        <is>
          <t>Chaussures de basket et sneakers</t>
        </is>
      </c>
      <c r="E834" s="18" t="inlineStr">
        <is>
          <t>Chaussures Stephen Curry pas chères | Basket4Ballers</t>
        </is>
      </c>
      <c r="F834" s="17" t="inlineStr">
        <is>
          <t>Chaussures de basket signature Stephen Curry, les Curry Brand, en plusieurs pointures, à commander dans une boutique spécialisée livrant en 72 h max.</t>
        </is>
      </c>
      <c r="G834" s="19" t="inlineStr">
        <is>
          <t>https://www.basket4ballers.com/fr/1269-chaussures-basketball-stephen-curry</t>
        </is>
      </c>
      <c r="H834" s="20" t="n">
        <v>788</v>
      </c>
      <c r="I834" s="20" t="n">
        <v>1</v>
      </c>
      <c r="J834" s="21">
        <f>IF(H834=0,0,I834/H834)</f>
        <v/>
      </c>
    </row>
    <row r="835">
      <c r="A835" s="17" t="inlineStr">
        <is>
          <t>Basket4ballers</t>
        </is>
      </c>
      <c r="B835" s="17" t="inlineStr">
        <is>
          <t>Live</t>
        </is>
      </c>
      <c r="C835" s="17" t="inlineStr">
        <is>
          <t>Basket4ballers</t>
        </is>
      </c>
      <c r="D835" s="17" t="inlineStr">
        <is>
          <t>Chaussures de basket et sneakers</t>
        </is>
      </c>
      <c r="E835" s="18" t="inlineStr">
        <is>
          <t>Chaussures de basket signature prix bas | Basket4Ballers</t>
        </is>
      </c>
      <c r="F835" s="17" t="inlineStr">
        <is>
          <t>Large choix de chaussures de basket performance et signature Nike, Anta et Adidas au meilleur prix, en boutique spécialisée, livrées en 72 h max.</t>
        </is>
      </c>
      <c r="G835" s="19" t="inlineStr">
        <is>
          <t>https://www.basket4ballers.com/fr/153-basketball</t>
        </is>
      </c>
      <c r="H835" s="20" t="n">
        <v>785</v>
      </c>
      <c r="I835" s="20" t="n">
        <v>2</v>
      </c>
      <c r="J835" s="21">
        <f>IF(H835=0,0,I835/H835)</f>
        <v/>
      </c>
    </row>
    <row r="836">
      <c r="A836" s="17" t="inlineStr">
        <is>
          <t>Basket4ballers</t>
        </is>
      </c>
      <c r="B836" s="17" t="inlineStr">
        <is>
          <t>Live</t>
        </is>
      </c>
      <c r="C836" s="17" t="inlineStr">
        <is>
          <t>Basket4ballers</t>
        </is>
      </c>
      <c r="D836" s="17" t="inlineStr">
        <is>
          <t>Chaussures de basket et sneakers</t>
        </is>
      </c>
      <c r="E836" s="18" t="inlineStr">
        <is>
          <t>Chaussures de basket Puma pas chères | Basket4Ballers</t>
        </is>
      </c>
      <c r="F836" s="17" t="inlineStr">
        <is>
          <t>Chaussures de basketball Puma, All-Pro Nitro et MB LaMelo Ball comprises, en plusieurs pointures, dans une boutique spécialisée qui livre en 72 h max.</t>
        </is>
      </c>
      <c r="G836" s="19" t="inlineStr">
        <is>
          <t>https://www.basket4ballers.com/fr/1104-chaussures-basketball-puma</t>
        </is>
      </c>
      <c r="H836" s="20" t="n">
        <v>773</v>
      </c>
      <c r="I836" s="20" t="n">
        <v>5</v>
      </c>
      <c r="J836" s="21">
        <f>IF(H836=0,0,I836/H836)</f>
        <v/>
      </c>
    </row>
    <row r="837">
      <c r="A837" s="17" t="inlineStr">
        <is>
          <t>Basket4ballers</t>
        </is>
      </c>
      <c r="B837" s="17" t="inlineStr">
        <is>
          <t>Live</t>
        </is>
      </c>
      <c r="C837" s="17" t="inlineStr">
        <is>
          <t>Basket4ballers</t>
        </is>
      </c>
      <c r="D837" s="17" t="inlineStr">
        <is>
          <t>Chaussures de basket et sneakers</t>
        </is>
      </c>
      <c r="E837" s="18" t="inlineStr">
        <is>
          <t>Chaussures Nike G.T. Cut 4 prix bas | Basket4Ballers</t>
        </is>
      </c>
      <c r="F837" s="17" t="inlineStr">
        <is>
          <t>Chaussures Nike G.T. Cut 4, la paire basse et réactive de la série Greater Than, en plusieurs pointures, dans une boutique spécialisée livrant en 72 h max.</t>
        </is>
      </c>
      <c r="G837" s="19" t="inlineStr">
        <is>
          <t>https://www.basket4ballers.com/fr/1536-chaussures-nike-gt-cut-4</t>
        </is>
      </c>
      <c r="H837" s="20" t="n">
        <v>769</v>
      </c>
      <c r="I837" s="20" t="n">
        <v>4</v>
      </c>
      <c r="J837" s="21">
        <f>IF(H837=0,0,I837/H837)</f>
        <v/>
      </c>
    </row>
    <row r="838">
      <c r="A838" s="17" t="inlineStr">
        <is>
          <t>Basket4ballers</t>
        </is>
      </c>
      <c r="B838" s="17" t="inlineStr">
        <is>
          <t>Live</t>
        </is>
      </c>
      <c r="C838" s="17" t="inlineStr">
        <is>
          <t>Basket4ballers</t>
        </is>
      </c>
      <c r="D838" s="17" t="inlineStr">
        <is>
          <t>Chaussures de basket et sneakers</t>
        </is>
      </c>
      <c r="E838" s="18" t="inlineStr">
        <is>
          <t>Chaussures Kyrie Irving pas chères | Basket4Ballers</t>
        </is>
      </c>
      <c r="F838" s="17" t="inlineStr">
        <is>
          <t>Chaussures de basket signature Kyrie Irving, Anta Kai 2 et Kai 1, en plusieurs pointures, à commander dans une boutique spécialisée livrant en 72 h max.</t>
        </is>
      </c>
      <c r="G838" s="19" t="inlineStr">
        <is>
          <t>https://www.basket4ballers.com/fr/1242-chaussures-basketball-kyrie-irving</t>
        </is>
      </c>
      <c r="H838" s="20" t="n">
        <v>767</v>
      </c>
      <c r="I838" s="20" t="n">
        <v>4</v>
      </c>
      <c r="J838" s="21">
        <f>IF(H838=0,0,I838/H838)</f>
        <v/>
      </c>
    </row>
    <row r="839">
      <c r="A839" s="17" t="inlineStr">
        <is>
          <t>Basket4ballers</t>
        </is>
      </c>
      <c r="B839" s="17" t="inlineStr">
        <is>
          <t>Live</t>
        </is>
      </c>
      <c r="C839" s="17" t="inlineStr">
        <is>
          <t>Basket4ballers</t>
        </is>
      </c>
      <c r="D839" s="17" t="inlineStr">
        <is>
          <t>Chaussures de basket et sneakers</t>
        </is>
      </c>
      <c r="E839" s="18" t="inlineStr">
        <is>
          <t>Chaussures et textile Puma pas chers | Basket4Ballers</t>
        </is>
      </c>
      <c r="F839" s="17" t="inlineStr">
        <is>
          <t>Chaussures de basket Puma à tous les prix, avec les vêtements et accessoires Puma Basketball, dans une boutique spécialisée qui livre en 72 h max.</t>
        </is>
      </c>
      <c r="G839" s="19" t="inlineStr">
        <is>
          <t>https://www.basket4ballers.com/fr/16_puma</t>
        </is>
      </c>
      <c r="H839" s="20" t="n">
        <v>767</v>
      </c>
      <c r="I839" s="20" t="n">
        <v>3</v>
      </c>
      <c r="J839" s="21">
        <f>IF(H839=0,0,I839/H839)</f>
        <v/>
      </c>
    </row>
    <row r="840">
      <c r="A840" s="17" t="inlineStr">
        <is>
          <t>Basket4ballers</t>
        </is>
      </c>
      <c r="B840" s="17" t="inlineStr">
        <is>
          <t>Live</t>
        </is>
      </c>
      <c r="C840" s="17" t="inlineStr">
        <is>
          <t>Basket4ballers</t>
        </is>
      </c>
      <c r="D840" s="17" t="inlineStr">
        <is>
          <t>Chaussures de basket et sneakers</t>
        </is>
      </c>
      <c r="E840" s="18" t="inlineStr">
        <is>
          <t>Sneakers et textile Jordan prix bas | Basket4Ballers</t>
        </is>
      </c>
      <c r="F840" s="17" t="inlineStr">
        <is>
          <t>Chaussures performance, sneakers Air Jordan, vêtements et accessoires de la marque au Jumpman, dans une boutique spécialisée basket, livrés en 72 h max.</t>
        </is>
      </c>
      <c r="G840" s="19" t="inlineStr">
        <is>
          <t>https://www.basket4ballers.com/fr/17_jordan</t>
        </is>
      </c>
      <c r="H840" s="20" t="n">
        <v>765</v>
      </c>
      <c r="I840" s="20" t="n">
        <v>5</v>
      </c>
      <c r="J840" s="21">
        <f>IF(H840=0,0,I840/H840)</f>
        <v/>
      </c>
    </row>
    <row r="841">
      <c r="A841" s="17" t="inlineStr">
        <is>
          <t>Basket4ballers</t>
        </is>
      </c>
      <c r="B841" s="17" t="inlineStr">
        <is>
          <t>Live</t>
        </is>
      </c>
      <c r="C841" s="17" t="inlineStr">
        <is>
          <t>Basket4ballers</t>
        </is>
      </c>
      <c r="D841" s="17" t="inlineStr">
        <is>
          <t>Chaussures de basket et sneakers</t>
        </is>
      </c>
      <c r="E841" s="18" t="inlineStr">
        <is>
          <t>Chaussures James Harden pas chères | Basket4Ballers</t>
        </is>
      </c>
      <c r="F841" s="17" t="inlineStr">
        <is>
          <t>Chaussures de basket signature James Harden, les Adidas Harden Vol., en plusieurs pointures, dans une boutique spécialisée qui livre en 72 h max.</t>
        </is>
      </c>
      <c r="G841" s="19" t="inlineStr">
        <is>
          <t>https://www.basket4ballers.com/fr/1218-chaussures-basketball-james-harden</t>
        </is>
      </c>
      <c r="H841" s="20" t="n">
        <v>765</v>
      </c>
      <c r="I841" s="20" t="n">
        <v>5</v>
      </c>
      <c r="J841" s="21">
        <f>IF(H841=0,0,I841/H841)</f>
        <v/>
      </c>
    </row>
    <row r="842">
      <c r="A842" s="17" t="inlineStr">
        <is>
          <t>Basket4ballers</t>
        </is>
      </c>
      <c r="B842" s="17" t="inlineStr">
        <is>
          <t>Live</t>
        </is>
      </c>
      <c r="C842" s="17" t="inlineStr">
        <is>
          <t>Basket4ballers</t>
        </is>
      </c>
      <c r="D842" s="17" t="inlineStr">
        <is>
          <t>Chaussures de basket et sneakers</t>
        </is>
      </c>
      <c r="E842" s="18" t="inlineStr">
        <is>
          <t>Chaussures Devin Booker prix bas | Basket4Ballers</t>
        </is>
      </c>
      <c r="F842" s="17" t="inlineStr">
        <is>
          <t>Chaussures de basket signature Devin Booker, la Nike Book, en plusieurs pointures, dans une boutique spécialisée basket qui livre en 72 h max.</t>
        </is>
      </c>
      <c r="G842" s="19" t="inlineStr">
        <is>
          <t>https://www.basket4ballers.com/fr/1206-chaussures-basketball-devin-booker</t>
        </is>
      </c>
      <c r="H842" s="20" t="n">
        <v>762</v>
      </c>
      <c r="I842" s="20" t="n">
        <v>4</v>
      </c>
      <c r="J842" s="21">
        <f>IF(H842=0,0,I842/H842)</f>
        <v/>
      </c>
    </row>
    <row r="843">
      <c r="A843" s="17" t="inlineStr">
        <is>
          <t>Basket4ballers</t>
        </is>
      </c>
      <c r="B843" s="17" t="inlineStr">
        <is>
          <t>Live</t>
        </is>
      </c>
      <c r="C843" s="17" t="inlineStr">
        <is>
          <t>Basket4ballers</t>
        </is>
      </c>
      <c r="D843" s="17" t="inlineStr">
        <is>
          <t>Chaussures de basket et sneakers</t>
        </is>
      </c>
      <c r="E843" s="18" t="inlineStr">
        <is>
          <t>Chaussures Anthony Edwards pas chères | Basket4Ballers</t>
        </is>
      </c>
      <c r="F843" s="17" t="inlineStr">
        <is>
          <t>Chaussures de basket signature Anthony Edwards, les Adidas AE, en plusieurs pointures, à commander dans une boutique spécialisée livrant en 72 h max.</t>
        </is>
      </c>
      <c r="G843" s="19" t="inlineStr">
        <is>
          <t>https://www.basket4ballers.com/fr/1188-chaussures-basketball-anthony-edwards</t>
        </is>
      </c>
      <c r="H843" s="20" t="n">
        <v>761</v>
      </c>
      <c r="I843" s="20" t="n">
        <v>2</v>
      </c>
      <c r="J843" s="21">
        <f>IF(H843=0,0,I843/H843)</f>
        <v/>
      </c>
    </row>
    <row r="844">
      <c r="A844" s="17" t="inlineStr">
        <is>
          <t>Basket4ballers</t>
        </is>
      </c>
      <c r="B844" s="17" t="inlineStr">
        <is>
          <t>Live</t>
        </is>
      </c>
      <c r="C844" s="17" t="inlineStr">
        <is>
          <t>Basket4ballers</t>
        </is>
      </c>
      <c r="D844" s="17" t="inlineStr">
        <is>
          <t>Chaussures de basket et sneakers</t>
        </is>
      </c>
      <c r="E844" s="18" t="inlineStr">
        <is>
          <t>Chaussures de basket Nike pas chères | Basket4Ballers</t>
        </is>
      </c>
      <c r="F844" s="17" t="inlineStr">
        <is>
          <t>Chaussures de basketball Nike, des modèles signature aux paires d’équipe, en plusieurs pointures dans une boutique spécialisée, livrées en 72 h max.</t>
        </is>
      </c>
      <c r="G844" s="19" t="inlineStr">
        <is>
          <t>https://www.basket4ballers.com/fr/1092-chaussures-basketball-nike</t>
        </is>
      </c>
      <c r="H844" s="20" t="n">
        <v>760</v>
      </c>
      <c r="I844" s="20" t="n">
        <v>4</v>
      </c>
      <c r="J844" s="21">
        <f>IF(H844=0,0,I844/H844)</f>
        <v/>
      </c>
    </row>
    <row r="845">
      <c r="A845" s="17" t="inlineStr">
        <is>
          <t>Basket4ballers</t>
        </is>
      </c>
      <c r="B845" s="17" t="inlineStr">
        <is>
          <t>Live</t>
        </is>
      </c>
      <c r="C845" s="17" t="inlineStr">
        <is>
          <t>Basket4ballers</t>
        </is>
      </c>
      <c r="D845" s="17" t="inlineStr">
        <is>
          <t>Chaussures de basket et sneakers</t>
        </is>
      </c>
      <c r="E845" s="18" t="inlineStr">
        <is>
          <t>Chaussures Jordan Luka 5 prix bas | Basket4Ballers</t>
        </is>
      </c>
      <c r="F845" s="17" t="inlineStr">
        <is>
          <t>Chaussures Jordan Luka 5, cinquième modèle signature de Luka Doncic, en plusieurs pointures, à commander dans une boutique spécialisée qui livre en 72 h max.</t>
        </is>
      </c>
      <c r="G845" s="19" t="inlineStr">
        <is>
          <t>https://www.basket4ballers.com/fr/1458-chaussures-jordan-luka-5</t>
        </is>
      </c>
      <c r="H845" s="20" t="n">
        <v>759</v>
      </c>
      <c r="I845" s="20" t="n">
        <v>6</v>
      </c>
      <c r="J845" s="21">
        <f>IF(H845=0,0,I845/H845)</f>
        <v/>
      </c>
    </row>
    <row r="846">
      <c r="A846" s="17" t="inlineStr">
        <is>
          <t>Basket4ballers</t>
        </is>
      </c>
      <c r="B846" s="17" t="inlineStr">
        <is>
          <t>Live</t>
        </is>
      </c>
      <c r="C846" s="17" t="inlineStr">
        <is>
          <t>Basket4ballers</t>
        </is>
      </c>
      <c r="D846" s="17" t="inlineStr">
        <is>
          <t>Chaussures de basket et sneakers</t>
        </is>
      </c>
      <c r="E846" s="18" t="inlineStr">
        <is>
          <t>Calendrier des sorties sneakers - Basket4Ballers</t>
        </is>
      </c>
      <c r="F846" s="17" t="inlineStr">
        <is>
          <t>Calendrier des sorties et release dates des sneakers et chaussures de basket Nike, Jordan, Adidas et Puma, avec les modèles à réserver dès leur mise en ligne.</t>
        </is>
      </c>
      <c r="G846" s="19" t="inlineStr">
        <is>
          <t>https://www.basket4ballers.com/fr/286-calendrier-des-sorties-release-date</t>
        </is>
      </c>
      <c r="H846" s="20" t="n">
        <v>757</v>
      </c>
      <c r="I846" s="20" t="n">
        <v>6</v>
      </c>
      <c r="J846" s="21">
        <f>IF(H846=0,0,I846/H846)</f>
        <v/>
      </c>
    </row>
    <row r="847">
      <c r="A847" s="17" t="inlineStr">
        <is>
          <t>Basket4ballers</t>
        </is>
      </c>
      <c r="B847" s="17" t="inlineStr">
        <is>
          <t>Live</t>
        </is>
      </c>
      <c r="C847" s="17" t="inlineStr">
        <is>
          <t>Basket4ballers</t>
        </is>
      </c>
      <c r="D847" s="17" t="inlineStr">
        <is>
          <t>Chaussures de basket et sneakers</t>
        </is>
      </c>
      <c r="E847" s="18" t="inlineStr">
        <is>
          <t>Chaussures LaMelo Ball prix bas | Basket4Ballers</t>
        </is>
      </c>
      <c r="F847" s="17" t="inlineStr">
        <is>
          <t>Chaussures de basket signature LaMelo Ball, les Puma MB, en plusieurs pointures et coloris, dans une boutique spécialisée qui livre en 72 h max.</t>
        </is>
      </c>
      <c r="G847" s="19" t="inlineStr">
        <is>
          <t>https://www.basket4ballers.com/fr/1245-chaussures-basketball-lamelo-ball</t>
        </is>
      </c>
      <c r="H847" s="20" t="n">
        <v>755</v>
      </c>
      <c r="I847" s="20" t="n">
        <v>2</v>
      </c>
      <c r="J847" s="21">
        <f>IF(H847=0,0,I847/H847)</f>
        <v/>
      </c>
    </row>
    <row r="848">
      <c r="A848" s="17" t="inlineStr">
        <is>
          <t>Basket4ballers</t>
        </is>
      </c>
      <c r="B848" s="17" t="inlineStr">
        <is>
          <t>Live</t>
        </is>
      </c>
      <c r="C848" s="17" t="inlineStr">
        <is>
          <t>Basket4ballers</t>
        </is>
      </c>
      <c r="D848" s="17" t="inlineStr">
        <is>
          <t>Chaussures de basket et sneakers</t>
        </is>
      </c>
      <c r="E848" s="18" t="inlineStr">
        <is>
          <t>Chaussures basket LeBron James pas chères | Basket4Ballers</t>
        </is>
      </c>
      <c r="F848" s="17" t="inlineStr">
        <is>
          <t>Toutes les chaussures de basket LeBron James : Nike LeBron 23, NXXT Gen et anciens modèles en stock, en plusieurs pointures, livrées en 72 h max.</t>
        </is>
      </c>
      <c r="G848" s="19" t="inlineStr">
        <is>
          <t>https://www.basket4ballers.com/fr/1248-chaussures-basketball-lebron-james</t>
        </is>
      </c>
      <c r="H848" s="20" t="n">
        <v>755</v>
      </c>
      <c r="I848" s="20" t="n">
        <v>1</v>
      </c>
      <c r="J848" s="21">
        <f>IF(H848=0,0,I848/H848)</f>
        <v/>
      </c>
    </row>
    <row r="849">
      <c r="A849" s="17" t="inlineStr">
        <is>
          <t>Basket4ballers</t>
        </is>
      </c>
      <c r="B849" s="17" t="inlineStr">
        <is>
          <t>Live</t>
        </is>
      </c>
      <c r="C849" s="17" t="inlineStr">
        <is>
          <t>Basket4ballers</t>
        </is>
      </c>
      <c r="D849" s="17" t="inlineStr">
        <is>
          <t>Chaussures de basket et sneakers</t>
        </is>
      </c>
      <c r="E849" s="18" t="inlineStr">
        <is>
          <t>Chaussures Kevin Durant au meilleur prix | Basket4Ballers</t>
        </is>
      </c>
      <c r="F849" s="17" t="inlineStr">
        <is>
          <t>Chaussures de basket signature Kevin Durant, Nike KD 19 et KD 18, en plusieurs pointures, dans une boutique spécialisée qui livre en 72 h max.</t>
        </is>
      </c>
      <c r="G849" s="19" t="inlineStr">
        <is>
          <t>https://www.basket4ballers.com/fr/1233-chaussures-basketball-kevin-durant</t>
        </is>
      </c>
      <c r="H849" s="20" t="n">
        <v>754</v>
      </c>
      <c r="I849" s="20" t="n">
        <v>3</v>
      </c>
      <c r="J849" s="21">
        <f>IF(H849=0,0,I849/H849)</f>
        <v/>
      </c>
    </row>
    <row r="850">
      <c r="A850" s="17" t="inlineStr">
        <is>
          <t>Basket4ballers</t>
        </is>
      </c>
      <c r="B850" s="17" t="inlineStr">
        <is>
          <t>Live</t>
        </is>
      </c>
      <c r="C850" s="17" t="inlineStr">
        <is>
          <t>Basket4ballers</t>
        </is>
      </c>
      <c r="D850" s="17" t="inlineStr">
        <is>
          <t>Chaussures de basket et sneakers</t>
        </is>
      </c>
      <c r="E850" s="18" t="inlineStr">
        <is>
          <t>Chaussures Giannis Antetokounmpo prix bas | Basket4Ballers</t>
        </is>
      </c>
      <c r="F850" s="17" t="inlineStr">
        <is>
          <t>Chaussures de basket signature Giannis Antetokounmpo, les Nike Freak, en plusieurs pointures, dans une boutique spécialisée qui livre en 72 h max.</t>
        </is>
      </c>
      <c r="G850" s="19" t="inlineStr">
        <is>
          <t>https://www.basket4ballers.com/fr/1212-chaussures-basketball-giannis-antetokounmpo</t>
        </is>
      </c>
      <c r="H850" s="20" t="n">
        <v>753</v>
      </c>
      <c r="I850" s="20" t="n">
        <v>6</v>
      </c>
      <c r="J850" s="21">
        <f>IF(H850=0,0,I850/H850)</f>
        <v/>
      </c>
    </row>
    <row r="851">
      <c r="A851" s="17" t="inlineStr">
        <is>
          <t>Basket4ballers</t>
        </is>
      </c>
      <c r="B851" s="17" t="inlineStr">
        <is>
          <t>Live</t>
        </is>
      </c>
      <c r="C851" s="17" t="inlineStr">
        <is>
          <t>Basket4ballers</t>
        </is>
      </c>
      <c r="D851" s="17" t="inlineStr">
        <is>
          <t>Chaussures de basket et sneakers</t>
        </is>
      </c>
      <c r="E851" s="18" t="inlineStr">
        <is>
          <t>Chaussures de basket Anta pas chères | Basket4Ballers</t>
        </is>
      </c>
      <c r="F851" s="17" t="inlineStr">
        <is>
          <t>Chaussures de basketball Anta, dont les Kai signées Kyrie Irving, en plusieurs pointures dans une boutique spécialisée, livrées en 72 h max.</t>
        </is>
      </c>
      <c r="G851" s="19" t="inlineStr">
        <is>
          <t>https://www.basket4ballers.com/fr/1122-chaussures-basketball-anta</t>
        </is>
      </c>
      <c r="H851" s="20" t="n">
        <v>748</v>
      </c>
      <c r="I851" s="20" t="n">
        <v>4</v>
      </c>
      <c r="J851" s="21">
        <f>IF(H851=0,0,I851/H851)</f>
        <v/>
      </c>
    </row>
    <row r="852">
      <c r="A852" s="17" t="inlineStr">
        <is>
          <t>Basket4ballers</t>
        </is>
      </c>
      <c r="B852" s="17" t="inlineStr">
        <is>
          <t>Live</t>
        </is>
      </c>
      <c r="C852" s="17" t="inlineStr">
        <is>
          <t>Basket4ballers</t>
        </is>
      </c>
      <c r="D852" s="17" t="inlineStr">
        <is>
          <t>Chaussures de basket et sneakers</t>
        </is>
      </c>
      <c r="E852" s="18" t="inlineStr">
        <is>
          <t>Adidas Harden Vol. 10 au meilleur prix | Basket4Ballers</t>
        </is>
      </c>
      <c r="F852" s="17" t="inlineStr">
        <is>
          <t>Chaussures Adidas Harden Vol. 10, dixième modèle signature de James Harden, en plusieurs pointures, dans une boutique spécialisée livrant en 72 h max.</t>
        </is>
      </c>
      <c r="G852" s="19" t="inlineStr">
        <is>
          <t>https://www.basket4ballers.com/fr/1362-chaussures-adidas-harden-vol-10</t>
        </is>
      </c>
      <c r="H852" s="20" t="n">
        <v>743</v>
      </c>
      <c r="I852" s="20" t="n">
        <v>3</v>
      </c>
      <c r="J852" s="21">
        <f>IF(H852=0,0,I852/H852)</f>
        <v/>
      </c>
    </row>
    <row r="853">
      <c r="A853" s="17" t="inlineStr">
        <is>
          <t>Basket4ballers</t>
        </is>
      </c>
      <c r="B853" s="17" t="inlineStr">
        <is>
          <t>Live</t>
        </is>
      </c>
      <c r="C853" s="17" t="inlineStr">
        <is>
          <t>Basket4ballers</t>
        </is>
      </c>
      <c r="D853" s="17" t="inlineStr">
        <is>
          <t>Chaussures de basket et sneakers</t>
        </is>
      </c>
      <c r="E853" s="18" t="inlineStr">
        <is>
          <t>Nouveautés sneakers et basket prix bas | Basket4Ballers</t>
        </is>
      </c>
      <c r="F853" s="17" t="inlineStr">
        <is>
          <t>Dernières nouveautés basketball et NBA : chaussures Nike, Jordan, Anta, Puma, Adidas et Li-Ning fraîchement arrivées, livrées en 72 h max.</t>
        </is>
      </c>
      <c r="G853" s="19" t="inlineStr">
        <is>
          <t>https://www.basket4ballers.com/fr/6-nouveautes</t>
        </is>
      </c>
      <c r="H853" s="20" t="n">
        <v>743</v>
      </c>
      <c r="I853" s="20" t="n">
        <v>3</v>
      </c>
      <c r="J853" s="21">
        <f>IF(H853=0,0,I853/H853)</f>
        <v/>
      </c>
    </row>
    <row r="854">
      <c r="A854" s="17" t="inlineStr">
        <is>
          <t>Basket4ballers</t>
        </is>
      </c>
      <c r="B854" s="17" t="inlineStr">
        <is>
          <t>Live</t>
        </is>
      </c>
      <c r="C854" s="17" t="inlineStr">
        <is>
          <t>Basket4ballers</t>
        </is>
      </c>
      <c r="D854" s="17" t="inlineStr">
        <is>
          <t>Chaussures de basket et sneakers</t>
        </is>
      </c>
      <c r="E854" s="18" t="inlineStr">
        <is>
          <t>Nike A’Two au meilleur prix | Basket4Ballers</t>
        </is>
      </c>
      <c r="F854" s="17" t="inlineStr">
        <is>
          <t>Chaussures Nike A’Two, deuxième modèle signature d’A’ja Wilson, en plusieurs pointures, à commander dans une boutique spécialisée livrant en 72 h max.</t>
        </is>
      </c>
      <c r="G854" s="19" t="inlineStr">
        <is>
          <t>https://www.basket4ballers.com/fr/2439-chaussures-nike-a-two</t>
        </is>
      </c>
      <c r="H854" s="20" t="n">
        <v>740</v>
      </c>
      <c r="I854" s="20" t="n">
        <v>3</v>
      </c>
      <c r="J854" s="21">
        <f>IF(H854=0,0,I854/H854)</f>
        <v/>
      </c>
    </row>
    <row r="855">
      <c r="A855" s="17" t="inlineStr">
        <is>
          <t>Basket4ballers</t>
        </is>
      </c>
      <c r="B855" s="17" t="inlineStr">
        <is>
          <t>Live</t>
        </is>
      </c>
      <c r="C855" s="17" t="inlineStr">
        <is>
          <t>Basket4ballers</t>
        </is>
      </c>
      <c r="D855" s="17" t="inlineStr">
        <is>
          <t>Chaussures de basket et sneakers</t>
        </is>
      </c>
      <c r="E855" s="18" t="inlineStr">
        <is>
          <t>Chaussures Nike Kobe 9 Low pas chères | Basket4Ballers</t>
        </is>
      </c>
      <c r="F855" s="17" t="inlineStr">
        <is>
          <t>Chaussures Nike Kobe 9 Low, réédition basse du modèle signature de Kobe Bryant, en plusieurs pointures, dans une boutique spécialisée qui livre en 72 h max.</t>
        </is>
      </c>
      <c r="G855" s="19" t="inlineStr">
        <is>
          <t>https://www.basket4ballers.com/fr/1611-chaussures-nike-kobe-9-low</t>
        </is>
      </c>
      <c r="H855" s="20" t="n">
        <v>740</v>
      </c>
      <c r="I855" s="20" t="n">
        <v>2</v>
      </c>
      <c r="J855" s="21">
        <f>IF(H855=0,0,I855/H855)</f>
        <v/>
      </c>
    </row>
    <row r="856">
      <c r="A856" s="17" t="inlineStr">
        <is>
          <t>Basket4ballers</t>
        </is>
      </c>
      <c r="B856" s="17" t="inlineStr">
        <is>
          <t>Live</t>
        </is>
      </c>
      <c r="C856" s="17" t="inlineStr">
        <is>
          <t>Basket4ballers</t>
        </is>
      </c>
      <c r="D856" s="17" t="inlineStr">
        <is>
          <t>Chaussures de basket et sneakers</t>
        </is>
      </c>
      <c r="E856" s="18" t="inlineStr">
        <is>
          <t>Air Jordan 4 Retro et SE au meilleur prix | Basket4Ballers</t>
        </is>
      </c>
      <c r="F856" s="17" t="inlineStr">
        <is>
          <t>Air Jordan 4 Retro et SE, l’icône mondiale du sneaker game en coloris cultes, pour adultes et enfants, dans une boutique spécialisée livrant en 72 h max.</t>
        </is>
      </c>
      <c r="G856" s="19" t="inlineStr">
        <is>
          <t>https://www.basket4ballers.com/fr/482-air-jordan-4</t>
        </is>
      </c>
      <c r="H856" s="20" t="n">
        <v>735</v>
      </c>
      <c r="I856" s="20" t="n">
        <v>4</v>
      </c>
      <c r="J856" s="21">
        <f>IF(H856=0,0,I856/H856)</f>
        <v/>
      </c>
    </row>
    <row r="857">
      <c r="A857" s="17" t="inlineStr">
        <is>
          <t>Basket4ballers</t>
        </is>
      </c>
      <c r="B857" s="17" t="inlineStr">
        <is>
          <t>Live</t>
        </is>
      </c>
      <c r="C857" s="17" t="inlineStr">
        <is>
          <t>Basket4ballers</t>
        </is>
      </c>
      <c r="D857" s="17" t="inlineStr">
        <is>
          <t>Chaussures de basket et sneakers</t>
        </is>
      </c>
      <c r="E857" s="18" t="inlineStr">
        <is>
          <t>Chaussures Nike Kobe 3 Low prix bas | Basket4Ballers</t>
        </is>
      </c>
      <c r="F857" s="17" t="inlineStr">
        <is>
          <t>Chaussures Nike Kobe 3 Low, réédition basse du modèle signature de Kobe Bryant, en plusieurs pointures, dans une boutique spécialisée livrant en 72 h max.</t>
        </is>
      </c>
      <c r="G857" s="19" t="inlineStr">
        <is>
          <t>https://www.basket4ballers.com/fr/2811-chaussures-nike-kobe-3-low</t>
        </is>
      </c>
      <c r="H857" s="20" t="n">
        <v>734</v>
      </c>
      <c r="I857" s="20" t="n">
        <v>6</v>
      </c>
      <c r="J857" s="21">
        <f>IF(H857=0,0,I857/H857)</f>
        <v/>
      </c>
    </row>
    <row r="858">
      <c r="A858" s="17" t="inlineStr">
        <is>
          <t>Basket4ballers</t>
        </is>
      </c>
      <c r="B858" s="17" t="inlineStr">
        <is>
          <t>Live</t>
        </is>
      </c>
      <c r="C858" s="17" t="inlineStr">
        <is>
          <t>Basket4ballers</t>
        </is>
      </c>
      <c r="D858" s="17" t="inlineStr">
        <is>
          <t>Chaussures de basket et sneakers</t>
        </is>
      </c>
      <c r="E858" s="18" t="inlineStr">
        <is>
          <t>Nike G.T. Cut, Jump et Hustle prix bas | Basket4Ballers</t>
        </is>
      </c>
      <c r="F858" s="17" t="inlineStr">
        <is>
          <t>Collection Nike G.T. Series (Greater Than) : GT Cut, GT Jump et GT Hustle, chaque paire pensée pour un profil de joueur, livrées en 72 h max.</t>
        </is>
      </c>
      <c r="G858" s="19" t="inlineStr">
        <is>
          <t>https://www.basket4ballers.com/fr/434-nike-gt-serie</t>
        </is>
      </c>
      <c r="H858" s="20" t="n">
        <v>732</v>
      </c>
      <c r="I858" s="20" t="n">
        <v>4</v>
      </c>
      <c r="J858" s="21">
        <f>IF(H858=0,0,I858/H858)</f>
        <v/>
      </c>
    </row>
    <row r="859">
      <c r="A859" s="17" t="inlineStr">
        <is>
          <t>Basket4ballers</t>
        </is>
      </c>
      <c r="B859" s="17" t="inlineStr">
        <is>
          <t>Live</t>
        </is>
      </c>
      <c r="C859" s="17" t="inlineStr">
        <is>
          <t>Basket4ballers</t>
        </is>
      </c>
      <c r="D859" s="17" t="inlineStr">
        <is>
          <t>Chaussures de basket et sneakers</t>
        </is>
      </c>
      <c r="E859" s="18" t="inlineStr">
        <is>
          <t>Air Jordan 1 High, Mid et Low prix bas | Basket4Ballers</t>
        </is>
      </c>
      <c r="F859" s="17" t="inlineStr">
        <is>
          <t>Air Jordan 1 en versions High, Mid et Low pour adultes et enfants, l’icône de 1985 en plusieurs coloris, dans une boutique spécialisée livrant en 72 h max.</t>
        </is>
      </c>
      <c r="G859" s="19" t="inlineStr">
        <is>
          <t>https://www.basket4ballers.com/fr/267-chaussures-air-jordan-1</t>
        </is>
      </c>
      <c r="H859" s="20" t="n">
        <v>729</v>
      </c>
      <c r="I859" s="20" t="n">
        <v>3</v>
      </c>
      <c r="J859" s="21">
        <f>IF(H859=0,0,I859/H859)</f>
        <v/>
      </c>
    </row>
    <row r="860">
      <c r="A860" s="17" t="inlineStr">
        <is>
          <t>Basket4ballers</t>
        </is>
      </c>
      <c r="B860" s="17" t="inlineStr">
        <is>
          <t>Live</t>
        </is>
      </c>
      <c r="C860" s="17" t="inlineStr">
        <is>
          <t>Basket4ballers</t>
        </is>
      </c>
      <c r="D860" s="17" t="inlineStr">
        <is>
          <t>Chaussures de basket et sneakers</t>
        </is>
      </c>
      <c r="E860" s="18" t="inlineStr">
        <is>
          <t>Chaussures Ja Morant au meilleur prix | Basket4Ballers</t>
        </is>
      </c>
      <c r="F860" s="17" t="inlineStr">
        <is>
          <t>Chaussures de basket signature Ja Morant, Nike Ja 4 et Ja 3, en plusieurs pointures, à commander dans une boutique spécialisée livrant en 72 h max.</t>
        </is>
      </c>
      <c r="G860" s="19" t="inlineStr">
        <is>
          <t>https://www.basket4ballers.com/fr/1215-chaussures-basketball-ja-morant</t>
        </is>
      </c>
      <c r="H860" s="20" t="n">
        <v>726</v>
      </c>
      <c r="I860" s="20" t="n">
        <v>5</v>
      </c>
      <c r="J860" s="21">
        <f>IF(H860=0,0,I860/H860)</f>
        <v/>
      </c>
    </row>
    <row r="861">
      <c r="A861" s="17" t="inlineStr">
        <is>
          <t>Basket4ballers</t>
        </is>
      </c>
      <c r="B861" s="17" t="inlineStr">
        <is>
          <t>Live</t>
        </is>
      </c>
      <c r="C861" s="17" t="inlineStr">
        <is>
          <t>Basket4ballers</t>
        </is>
      </c>
      <c r="D861" s="17" t="inlineStr">
        <is>
          <t>Chaussures de basket et sneakers</t>
        </is>
      </c>
      <c r="E861" s="18" t="inlineStr">
        <is>
          <t>Chaussures Nike KD 19 pas chères | Basket4Ballers</t>
        </is>
      </c>
      <c r="F861" s="17" t="inlineStr">
        <is>
          <t>Chaussures Nike KD 19, dernier modèle signature de Kevin Durant, en plusieurs pointures et coloris, dans une boutique spécialisée livrant en 72 h max.</t>
        </is>
      </c>
      <c r="G861" s="19" t="inlineStr">
        <is>
          <t>https://www.basket4ballers.com/fr/3114-chaussures-nike-kd-19</t>
        </is>
      </c>
      <c r="H861" s="20" t="n">
        <v>725</v>
      </c>
      <c r="I861" s="20" t="n">
        <v>4</v>
      </c>
      <c r="J861" s="21">
        <f>IF(H861=0,0,I861/H861)</f>
        <v/>
      </c>
    </row>
    <row r="862">
      <c r="A862" s="17" t="inlineStr">
        <is>
          <t>Basket4ballers</t>
        </is>
      </c>
      <c r="B862" s="17" t="inlineStr">
        <is>
          <t>Live</t>
        </is>
      </c>
      <c r="C862" s="17" t="inlineStr">
        <is>
          <t>Basket4ballers</t>
        </is>
      </c>
      <c r="D862" s="17" t="inlineStr">
        <is>
          <t>Chaussures de basket et sneakers</t>
        </is>
      </c>
      <c r="E862" s="18" t="inlineStr">
        <is>
          <t>Sneakers et vêtements enfant prix bas | Basket4Ballers</t>
        </is>
      </c>
      <c r="F862" s="17" t="inlineStr">
        <is>
          <t>Chaussures de basket, sneakers et vêtements adaptés à la pratique du basket pour enfant, dans une boutique spécialisée qui livre en 72 h max.</t>
        </is>
      </c>
      <c r="G862" s="19" t="inlineStr">
        <is>
          <t>https://www.basket4ballers.com/fr/495-enfant-basket</t>
        </is>
      </c>
      <c r="H862" s="20" t="n">
        <v>723</v>
      </c>
      <c r="I862" s="20" t="n">
        <v>6</v>
      </c>
      <c r="J862" s="21">
        <f>IF(H862=0,0,I862/H862)</f>
        <v/>
      </c>
    </row>
    <row r="863">
      <c r="A863" s="17" t="inlineStr">
        <is>
          <t>Basket4ballers</t>
        </is>
      </c>
      <c r="B863" s="17" t="inlineStr">
        <is>
          <t>Live</t>
        </is>
      </c>
      <c r="C863" s="17" t="inlineStr">
        <is>
          <t>Basket4ballers</t>
        </is>
      </c>
      <c r="D863" s="17" t="inlineStr">
        <is>
          <t>Chaussures de basket et sneakers</t>
        </is>
      </c>
      <c r="E863" s="18" t="inlineStr">
        <is>
          <t>Chaussures Anta Kai 3 prix bas | Basket4Ballers</t>
        </is>
      </c>
      <c r="F863" s="17" t="inlineStr">
        <is>
          <t>Chaussures Anta Kai 3, troisième modèle signature de Kyrie Irving chez Anta, en plusieurs pointures, dans une boutique spécialisée qui livre en 72 h max.</t>
        </is>
      </c>
      <c r="G863" s="19" t="inlineStr">
        <is>
          <t>https://www.basket4ballers.com/fr/2417-chaussures-anta-kai-3</t>
        </is>
      </c>
      <c r="H863" s="20" t="n">
        <v>722</v>
      </c>
      <c r="I863" s="20" t="n">
        <v>2</v>
      </c>
      <c r="J863" s="21">
        <f>IF(H863=0,0,I863/H863)</f>
        <v/>
      </c>
    </row>
    <row r="864">
      <c r="A864" s="17" t="inlineStr">
        <is>
          <t>Basket4ballers</t>
        </is>
      </c>
      <c r="B864" s="17" t="inlineStr">
        <is>
          <t>Live</t>
        </is>
      </c>
      <c r="C864" s="17" t="inlineStr">
        <is>
          <t>Basket4ballers</t>
        </is>
      </c>
      <c r="D864" s="17" t="inlineStr">
        <is>
          <t>Chaussures de basket et sneakers</t>
        </is>
      </c>
      <c r="E864" s="18" t="inlineStr">
        <is>
          <t>Chaussures Luka Doncic au meilleur prix | Basket4Ballers</t>
        </is>
      </c>
      <c r="F864" s="17" t="inlineStr">
        <is>
          <t>Chaussures de basket signature Luka Doncic, Jordan Luka 5 et modèles précédents, en plusieurs pointures, livrées en 72 h max par une boutique spécialisée.</t>
        </is>
      </c>
      <c r="G864" s="19" t="inlineStr">
        <is>
          <t>https://www.basket4ballers.com/fr/1251-chaussures-basketball-luka-doncic</t>
        </is>
      </c>
      <c r="H864" s="20" t="n">
        <v>718</v>
      </c>
      <c r="I864" s="20" t="n">
        <v>3</v>
      </c>
      <c r="J864" s="21">
        <f>IF(H864=0,0,I864/H864)</f>
        <v/>
      </c>
    </row>
    <row r="865">
      <c r="A865" s="17" t="inlineStr">
        <is>
          <t>Basket4ballers</t>
        </is>
      </c>
      <c r="B865" s="17" t="inlineStr">
        <is>
          <t>Live</t>
        </is>
      </c>
      <c r="C865" s="17" t="inlineStr">
        <is>
          <t>Basket4ballers</t>
        </is>
      </c>
      <c r="D865" s="17" t="inlineStr">
        <is>
          <t>Chaussures de basket et sneakers</t>
        </is>
      </c>
      <c r="E865" s="18" t="inlineStr">
        <is>
          <t>Chaussures de basket en promo prix bas | Basket4Ballers</t>
        </is>
      </c>
      <c r="F865" s="17" t="inlineStr">
        <is>
          <t>Chaussures de basket performance en promotion : Nike, Jordan, Adidas, Puma et Anta à prix réduit, en plusieurs pointures, livrées en 72 h max.</t>
        </is>
      </c>
      <c r="G865" s="19" t="inlineStr">
        <is>
          <t>https://www.basket4ballers.com/fr/450-promotions-chaussures-de-basket</t>
        </is>
      </c>
      <c r="H865" s="20" t="n">
        <v>713</v>
      </c>
      <c r="I865" s="20" t="n">
        <v>7</v>
      </c>
      <c r="J865" s="21">
        <f>IF(H865=0,0,I865/H865)</f>
        <v/>
      </c>
    </row>
    <row r="866">
      <c r="A866" s="17" t="inlineStr">
        <is>
          <t>Basket4ballers</t>
        </is>
      </c>
      <c r="B866" s="17" t="inlineStr">
        <is>
          <t>Live</t>
        </is>
      </c>
      <c r="C866" s="17" t="inlineStr">
        <is>
          <t>Basket4ballers</t>
        </is>
      </c>
      <c r="D866" s="17" t="inlineStr">
        <is>
          <t>Chaussures de basket et sneakers</t>
        </is>
      </c>
      <c r="E866" s="18" t="inlineStr">
        <is>
          <t>Chaussures Nike Book 2 prix bas | Basket4Ballers</t>
        </is>
      </c>
      <c r="F866" s="17" t="inlineStr">
        <is>
          <t>Chaussures Nike Book 2, deuxième modèle signature de Devin Booker, en plusieurs pointures, dans une boutique spécialisée qui livre en 72 h max.</t>
        </is>
      </c>
      <c r="G866" s="19" t="inlineStr">
        <is>
          <t>https://www.basket4ballers.com/fr/1530-chaussures-nike-book-2</t>
        </is>
      </c>
      <c r="H866" s="20" t="n">
        <v>710</v>
      </c>
      <c r="I866" s="20" t="n">
        <v>4</v>
      </c>
      <c r="J866" s="21">
        <f>IF(H866=0,0,I866/H866)</f>
        <v/>
      </c>
    </row>
    <row r="867">
      <c r="A867" s="17" t="inlineStr">
        <is>
          <t>Basket4ballers</t>
        </is>
      </c>
      <c r="B867" s="17" t="inlineStr">
        <is>
          <t>Live</t>
        </is>
      </c>
      <c r="C867" s="17" t="inlineStr">
        <is>
          <t>Basket4ballers</t>
        </is>
      </c>
      <c r="D867" s="17" t="inlineStr">
        <is>
          <t>Chaussures de basket et sneakers</t>
        </is>
      </c>
      <c r="E867" s="18" t="inlineStr">
        <is>
          <t>Chaussures de basket Jordan pas chères | Basket4Ballers</t>
        </is>
      </c>
      <c r="F867" s="17" t="inlineStr">
        <is>
          <t>Chaussures de basketball Jordan, des Luka aux Tatum et aux Zion, en plusieurs pointures, dans une boutique spécialisée basket, livrées en 72 h max.</t>
        </is>
      </c>
      <c r="G867" s="19" t="inlineStr">
        <is>
          <t>https://www.basket4ballers.com/fr/1098-chaussures-basketball-jordan</t>
        </is>
      </c>
      <c r="H867" s="20" t="n">
        <v>710</v>
      </c>
      <c r="I867" s="20" t="n">
        <v>2</v>
      </c>
      <c r="J867" s="21">
        <f>IF(H867=0,0,I867/H867)</f>
        <v/>
      </c>
    </row>
    <row r="868">
      <c r="A868" s="17" t="inlineStr">
        <is>
          <t>Basket4ballers</t>
        </is>
      </c>
      <c r="B868" s="17" t="inlineStr">
        <is>
          <t>Live</t>
        </is>
      </c>
      <c r="C868" s="17" t="inlineStr">
        <is>
          <t>Basket4ballers</t>
        </is>
      </c>
      <c r="D868" s="17" t="inlineStr">
        <is>
          <t>Chaussures de basket et sneakers</t>
        </is>
      </c>
      <c r="E868" s="18" t="inlineStr">
        <is>
          <t>Puma All-Pro Nitro 2 au meilleur prix | Basket4Ballers</t>
        </is>
      </c>
      <c r="F868" s="17" t="inlineStr">
        <is>
          <t>Chaussures Puma All-Pro Nitro 2, paire de basket légère à mousse Nitro, en plusieurs pointures, à commander dans une boutique spécialisée livrant en 72 h max.</t>
        </is>
      </c>
      <c r="G868" s="19" t="inlineStr">
        <is>
          <t>https://www.basket4ballers.com/fr/1677-chaussures-puma-all-pro-nitro-2</t>
        </is>
      </c>
      <c r="H868" s="20" t="n">
        <v>704</v>
      </c>
      <c r="I868" s="20" t="n">
        <v>3</v>
      </c>
      <c r="J868" s="21">
        <f>IF(H868=0,0,I868/H868)</f>
        <v/>
      </c>
    </row>
    <row r="869">
      <c r="A869" s="17" t="inlineStr">
        <is>
          <t>Basket4ballers</t>
        </is>
      </c>
      <c r="B869" s="17" t="inlineStr">
        <is>
          <t>Live</t>
        </is>
      </c>
      <c r="C869" s="17" t="inlineStr">
        <is>
          <t>Basket4ballers</t>
        </is>
      </c>
      <c r="D869" s="17" t="inlineStr">
        <is>
          <t>Chaussures de basket et sneakers</t>
        </is>
      </c>
      <c r="E869" s="18" t="inlineStr">
        <is>
          <t>Chaussures de basket Adidas pas chères | Basket4Ballers</t>
        </is>
      </c>
      <c r="F869" s="17" t="inlineStr">
        <is>
          <t>Chaussures de basketball Adidas, AE, D.O.N. Issue et Harden Vol. comprises, en plusieurs pointures, dans une boutique spécialisée livrant en 72 h max.</t>
        </is>
      </c>
      <c r="G869" s="19" t="inlineStr">
        <is>
          <t>https://www.basket4ballers.com/fr/1110-chaussures-basketball-adidas</t>
        </is>
      </c>
      <c r="H869" s="20" t="n">
        <v>704</v>
      </c>
      <c r="I869" s="20" t="n">
        <v>2</v>
      </c>
      <c r="J869" s="21">
        <f>IF(H869=0,0,I869/H869)</f>
        <v/>
      </c>
    </row>
    <row r="870">
      <c r="A870" s="17" t="inlineStr">
        <is>
          <t>Basket4ballers</t>
        </is>
      </c>
      <c r="B870" s="17" t="inlineStr">
        <is>
          <t>Live</t>
        </is>
      </c>
      <c r="C870" s="17" t="inlineStr">
        <is>
          <t>Basket4ballers</t>
        </is>
      </c>
      <c r="D870" s="17" t="inlineStr">
        <is>
          <t>Chaussures de basket et sneakers</t>
        </is>
      </c>
      <c r="E870" s="18" t="inlineStr">
        <is>
          <t>Chaussures Nike Ja 3 au meilleur prix | Basket4Ballers</t>
        </is>
      </c>
      <c r="F870" s="17" t="inlineStr">
        <is>
          <t>Chaussures Nike Ja 3, troisième modèle signature de Ja Morant, en plusieurs pointures, à commander dans une boutique spécialisée qui livre en 72 h max.</t>
        </is>
      </c>
      <c r="G870" s="19" t="inlineStr">
        <is>
          <t>https://www.basket4ballers.com/fr/1569-chaussures-nike-ja-3</t>
        </is>
      </c>
      <c r="H870" s="20" t="n">
        <v>695</v>
      </c>
      <c r="I870" s="20" t="n">
        <v>3</v>
      </c>
      <c r="J870" s="21">
        <f>IF(H870=0,0,I870/H870)</f>
        <v/>
      </c>
    </row>
    <row r="871">
      <c r="A871" s="17" t="inlineStr">
        <is>
          <t>Basket4ballers</t>
        </is>
      </c>
      <c r="B871" s="17" t="inlineStr">
        <is>
          <t>Live</t>
        </is>
      </c>
      <c r="C871" s="17" t="inlineStr">
        <is>
          <t>Basket4ballers</t>
        </is>
      </c>
      <c r="D871" s="17" t="inlineStr">
        <is>
          <t>Chaussures de basket et sneakers</t>
        </is>
      </c>
      <c r="E871" s="18" t="inlineStr">
        <is>
          <t>Chaussures Nike Freak 8 pas chères | Basket4Ballers</t>
        </is>
      </c>
      <c r="F871" s="17" t="inlineStr">
        <is>
          <t>Chaussures Nike Freak 8, modèle signature de Giannis Antetokounmpo, en plusieurs pointures, à commander dans une boutique spécialisée livrant en 72 h max.</t>
        </is>
      </c>
      <c r="G871" s="19" t="inlineStr">
        <is>
          <t>https://www.basket4ballers.com/fr/3170-chaussures-nike-freak-8</t>
        </is>
      </c>
      <c r="H871" s="20" t="n">
        <v>680</v>
      </c>
      <c r="I871" s="20" t="n">
        <v>6</v>
      </c>
      <c r="J871" s="21">
        <f>IF(H871=0,0,I871/H871)</f>
        <v/>
      </c>
    </row>
    <row r="872">
      <c r="A872" s="17" t="inlineStr">
        <is>
          <t>FidMe</t>
        </is>
      </c>
      <c r="B872" s="17" t="inlineStr">
        <is>
          <t>Live</t>
        </is>
      </c>
      <c r="C872" s="17" t="inlineStr">
        <is>
          <t>Fidme WaterWipes 2</t>
        </is>
      </c>
      <c r="D872" s="17" t="inlineStr">
        <is>
          <t>Lingettes bébé</t>
        </is>
      </c>
      <c r="E872" s="18" t="inlineStr">
        <is>
          <t>Lingettes bébé WaterWipes</t>
        </is>
      </c>
      <c r="F872" s="17" t="inlineStr">
        <is>
          <t>Remise sur l’achat d’un produit de la gamme de lingettes bébé WaterWipes, offre de remboursement Fidme valable en France métropolitaine.</t>
        </is>
      </c>
      <c r="G872" s="19" t="inlineStr">
        <is>
          <t>https://courses.fidme.com/offre/7c3ba44a-0e7d-41a8-ad40-68cb34a92960?mtm_campaign=testGEA_lemrock_2026-09_WaterWipes&amp;mtm_kwd=GEA&amp;mtm_medium=paid_GEA_lemrock&amp;mtm_content=camp_WaterWipes</t>
        </is>
      </c>
      <c r="H872" s="20" t="n">
        <v>112484</v>
      </c>
      <c r="I872" s="20" t="n">
        <v>499</v>
      </c>
      <c r="J872" s="21">
        <f>IF(H872=0,0,I872/H872)</f>
        <v/>
      </c>
    </row>
    <row r="873">
      <c r="A873" s="17" t="inlineStr">
        <is>
          <t>FidMe</t>
        </is>
      </c>
      <c r="B873" s="17" t="inlineStr">
        <is>
          <t>Live</t>
        </is>
      </c>
      <c r="C873" s="17" t="inlineStr">
        <is>
          <t>Fidme Campagne 2</t>
        </is>
      </c>
      <c r="D873" s="17" t="inlineStr">
        <is>
          <t>Café et thé</t>
        </is>
      </c>
      <c r="E873" s="18" t="inlineStr">
        <is>
          <t>Café en grains L'OR | Fidme Courses</t>
        </is>
      </c>
      <c r="F873" s="17" t="inlineStr">
        <is>
          <t>Voyagez au cœur des plus grandes Terres de café</t>
        </is>
      </c>
      <c r="G873" s="19" t="inlineStr">
        <is>
          <t>https://courses.fidme.com/offre/2e515714-a108-4420-92cf-aa76c816b5f1?mtm_campaign=testGEA_lemrock_2026-08&amp;mtm_kwd=GEA&amp;mtm_medium=paid_GEA_lemrock&amp;mtm_content=lor</t>
        </is>
      </c>
      <c r="H873" s="20" t="n">
        <v>23607</v>
      </c>
      <c r="I873" s="20" t="n">
        <v>75</v>
      </c>
      <c r="J873" s="21">
        <f>IF(H873=0,0,I873/H873)</f>
        <v/>
      </c>
    </row>
    <row r="874">
      <c r="A874" s="17" t="inlineStr">
        <is>
          <t>FidMe</t>
        </is>
      </c>
      <c r="B874" s="17" t="inlineStr">
        <is>
          <t>Live</t>
        </is>
      </c>
      <c r="C874" s="17" t="inlineStr">
        <is>
          <t>Fidme Campagne 2</t>
        </is>
      </c>
      <c r="D874" s="17" t="inlineStr">
        <is>
          <t>Bakery</t>
        </is>
      </c>
      <c r="E874" s="18" t="inlineStr">
        <is>
          <t>Pains, brioches et gâteaux prix bas | Fidme</t>
        </is>
      </c>
      <c r="F874" s="17" t="inlineStr">
        <is>
          <t>Brioche Pasquier met tout son savoir-faire dans une gamme de pains au goût unique : son offre de remboursement vous attend dans les courses Fidme.</t>
        </is>
      </c>
      <c r="G874" s="19" t="inlineStr">
        <is>
          <t>https://courses.fidme.com/offre/be20fa17-069a-4ab4-a8f2-9d1d67fb961c?mtm_campaign=testGEA_lemrock_2026-08&amp;mtm_kwd=GEA&amp;mtm_medium=paid_GEA_lemrock&amp;mtm_content=pasquier</t>
        </is>
      </c>
      <c r="H874" s="20" t="n">
        <v>17772</v>
      </c>
      <c r="I874" s="20" t="n">
        <v>92</v>
      </c>
      <c r="J874" s="21">
        <f>IF(H874=0,0,I874/H874)</f>
        <v/>
      </c>
    </row>
    <row r="875">
      <c r="A875" s="17" t="inlineStr">
        <is>
          <t>FidMe</t>
        </is>
      </c>
      <c r="B875" s="17" t="inlineStr">
        <is>
          <t>Live</t>
        </is>
      </c>
      <c r="C875" s="17" t="inlineStr">
        <is>
          <t>Fidme Campagne 2</t>
        </is>
      </c>
      <c r="D875" s="17" t="inlineStr">
        <is>
          <t>Boulangerie, traiteur et épicerie salée</t>
        </is>
      </c>
      <c r="E875" s="18" t="inlineStr">
        <is>
          <t>SAUCE CRUDITÉS | Fidme Courses</t>
        </is>
      </c>
      <c r="F875" s="17" t="inlineStr">
        <is>
          <t>Basilico et Basilico &amp; Yaourt</t>
        </is>
      </c>
      <c r="G875" s="19" t="inlineStr">
        <is>
          <t>https://courses.fidme.com/offre/30041975-90fd-4c89-98c4-3593e1fbc9bb?mtm_campaign=testGEA_lemrock_2026-08&amp;mtm_kwd=GEA&amp;mtm_medium=paid_GEA_lemrock&amp;mtm_content=barilla</t>
        </is>
      </c>
      <c r="H875" s="20" t="n">
        <v>16386</v>
      </c>
      <c r="I875" s="20" t="n">
        <v>55</v>
      </c>
      <c r="J875" s="21">
        <f>IF(H875=0,0,I875/H875)</f>
        <v/>
      </c>
    </row>
    <row r="876">
      <c r="A876" s="17" t="inlineStr">
        <is>
          <t>FidMe</t>
        </is>
      </c>
      <c r="B876" s="17" t="inlineStr">
        <is>
          <t>Live</t>
        </is>
      </c>
      <c r="C876" s="17" t="inlineStr">
        <is>
          <t>Fidme Campagne 2</t>
        </is>
      </c>
      <c r="D876" s="17" t="inlineStr">
        <is>
          <t>Pet Supplies</t>
        </is>
      </c>
      <c r="E876" s="18" t="inlineStr">
        <is>
          <t>Pochons pour chat Whiskas pas chers | Fidme</t>
        </is>
      </c>
      <c r="F876" s="17" t="inlineStr">
        <is>
          <t>Un lot de douze pochons Whiskas donne droit à 0,80 € remboursés par Fidme, une fois le ticket de caisse envoyé depuis l’application.</t>
        </is>
      </c>
      <c r="G876" s="19" t="inlineStr">
        <is>
          <t>https://courses.fidme.com/offre/a028a9bb-2236-4a3c-99e9-fa49c266c418?mtm_campaign=testGEA_lemrock_2026-08&amp;mtm_kwd=GEA&amp;mtm_medium=paid_GEA_lemrock&amp;mtm_content=whiskas</t>
        </is>
      </c>
      <c r="H876" s="20" t="n">
        <v>14340</v>
      </c>
      <c r="I876" s="20" t="n">
        <v>46</v>
      </c>
      <c r="J876" s="21">
        <f>IF(H876=0,0,I876/H876)</f>
        <v/>
      </c>
    </row>
    <row r="877">
      <c r="A877" s="17" t="inlineStr">
        <is>
          <t>FidMe</t>
        </is>
      </c>
      <c r="B877" s="17" t="inlineStr">
        <is>
          <t>Live</t>
        </is>
      </c>
      <c r="C877" s="17" t="inlineStr">
        <is>
          <t>Fidme Campagne 2</t>
        </is>
      </c>
      <c r="D877" s="17" t="inlineStr">
        <is>
          <t>Produits frais et traiteur</t>
        </is>
      </c>
      <c r="E877" s="18" t="inlineStr">
        <is>
          <t>Découvrez Kiri au Skyr ! | Fidme Courses</t>
        </is>
      </c>
      <c r="F877" s="17" t="inlineStr">
        <is>
          <t>Nouveau au rayon fromage frais à tartiner : découvrez Kiri® au Skyr !</t>
        </is>
      </c>
      <c r="G877" s="19" t="inlineStr">
        <is>
          <t>https://courses.fidme.com/offre/7ceb411a-b2c2-49f2-875d-cc17603cfdda?mtm_campaign=testGEA_lemrock_2026-08&amp;mtm_kwd=GEA&amp;mtm_medium=paid_GEA_lemrock&amp;mtm_content=kiri</t>
        </is>
      </c>
      <c r="H877" s="20" t="n">
        <v>13998</v>
      </c>
      <c r="I877" s="20" t="n">
        <v>46</v>
      </c>
      <c r="J877" s="21">
        <f>IF(H877=0,0,I877/H877)</f>
        <v/>
      </c>
    </row>
    <row r="878">
      <c r="A878" s="17" t="inlineStr">
        <is>
          <t>FidMe</t>
        </is>
      </c>
      <c r="B878" s="17" t="inlineStr">
        <is>
          <t>Live</t>
        </is>
      </c>
      <c r="C878" s="17" t="inlineStr">
        <is>
          <t>Fidme Campagne 2</t>
        </is>
      </c>
      <c r="D878" s="17" t="inlineStr">
        <is>
          <t>Snacks et confiseries</t>
        </is>
      </c>
      <c r="E878" s="18" t="inlineStr">
        <is>
          <t>Côte d'Or X Biscoff | Fidme Courses</t>
        </is>
      </c>
      <c r="F878" s="17" t="inlineStr">
        <is>
          <t>Le parfait équilibre entre intensité et croustillant</t>
        </is>
      </c>
      <c r="G878" s="19" t="inlineStr">
        <is>
          <t>https://courses.fidme.com/offre/4764fbf7-a62d-41d8-bdd6-eae1a3560c59?mtm_campaign=testGEA_lemrock_2026-08&amp;mtm_kwd=GEA&amp;mtm_medium=paid_GEA_lemrock&amp;mtm_content=cote-dor</t>
        </is>
      </c>
      <c r="H878" s="20" t="n">
        <v>13967</v>
      </c>
      <c r="I878" s="20" t="n">
        <v>81</v>
      </c>
      <c r="J878" s="21">
        <f>IF(H878=0,0,I878/H878)</f>
        <v/>
      </c>
    </row>
    <row r="879">
      <c r="A879" s="17" t="inlineStr">
        <is>
          <t>FidMe</t>
        </is>
      </c>
      <c r="B879" s="17" t="inlineStr">
        <is>
          <t>Live</t>
        </is>
      </c>
      <c r="C879" s="17" t="inlineStr">
        <is>
          <t>Fidme Campagne 2</t>
        </is>
      </c>
      <c r="D879" s="17" t="inlineStr">
        <is>
          <t>Produits frais et traiteur</t>
        </is>
      </c>
      <c r="E879" s="18" t="inlineStr">
        <is>
          <t>Danone à la grecque Duo | Fidme Courses</t>
        </is>
      </c>
      <c r="F879" s="17" t="inlineStr">
        <is>
          <t>Découvrez notre nouvelle recette Danone à la Grecque Duo !</t>
        </is>
      </c>
      <c r="G879" s="19" t="inlineStr">
        <is>
          <t>https://courses.fidme.com/offre/193de4b6-5050-461a-b6a7-59a6e6d94dbd?mtm_campaign=testGEA_lemrock_2026-08&amp;mtm_kwd=GEA&amp;mtm_medium=paid_GEA_lemrock&amp;mtm_content=danone</t>
        </is>
      </c>
      <c r="H879" s="20" t="n">
        <v>12402</v>
      </c>
      <c r="I879" s="20" t="n">
        <v>52</v>
      </c>
      <c r="J879" s="21">
        <f>IF(H879=0,0,I879/H879)</f>
        <v/>
      </c>
    </row>
    <row r="880">
      <c r="A880" s="17" t="inlineStr">
        <is>
          <t>FidMe</t>
        </is>
      </c>
      <c r="B880" s="17" t="inlineStr">
        <is>
          <t>Live</t>
        </is>
      </c>
      <c r="C880" s="17" t="inlineStr">
        <is>
          <t>Fidme Campagne 2</t>
        </is>
      </c>
      <c r="D880" s="17" t="inlineStr">
        <is>
          <t>Wine</t>
        </is>
      </c>
      <c r="E880" s="18" t="inlineStr">
        <is>
          <t>Vins rouges, blancs et rosés au meilleur prix | Fidme</t>
        </is>
      </c>
      <c r="F880" s="17" t="inlineStr">
        <is>
          <t>Roche Mazet Clairement Rosé, un Gris de Gris, et Clairement Blanc, un Blanc de Blancs : deux vins Pays d’Oc à boire de l’apéritif au dessert.</t>
        </is>
      </c>
      <c r="G880" s="19" t="inlineStr">
        <is>
          <t>https://courses.fidme.com/offre/40ce1ccb-b8a2-4b5e-aff9-8486a80a5782</t>
        </is>
      </c>
      <c r="H880" s="20" t="n">
        <v>9909</v>
      </c>
      <c r="I880" s="20" t="n">
        <v>56</v>
      </c>
      <c r="J880" s="21">
        <f>IF(H880=0,0,I880/H880)</f>
        <v/>
      </c>
    </row>
    <row r="881">
      <c r="A881" s="17" t="inlineStr">
        <is>
          <t>FidMe</t>
        </is>
      </c>
      <c r="B881" s="17" t="inlineStr">
        <is>
          <t>Live</t>
        </is>
      </c>
      <c r="C881" s="17" t="inlineStr">
        <is>
          <t>Fidme Campagne 2</t>
        </is>
      </c>
      <c r="D881" s="17" t="inlineStr">
        <is>
          <t>Alimentation bébé</t>
        </is>
      </c>
      <c r="E881" s="18" t="inlineStr">
        <is>
          <t>0,50 € pour l'achat d'un produit de la gamme Blédichef.</t>
        </is>
      </c>
      <c r="F881" s="17" t="inlineStr">
        <is>
          <t>Blédichef : petits plats pour bébés cuisinés en France, sans sel ajouté, avec des morceaux adaptés à l'âge.</t>
        </is>
      </c>
      <c r="G881" s="19" t="inlineStr">
        <is>
          <t>https://courses.fidme.com/offre/155bd186-ef48-46e6-995f-7bb777193f43</t>
        </is>
      </c>
      <c r="H881" s="20" t="n">
        <v>9293</v>
      </c>
      <c r="I881" s="20" t="n">
        <v>26</v>
      </c>
      <c r="J881" s="21">
        <f>IF(H881=0,0,I881/H881)</f>
        <v/>
      </c>
    </row>
    <row r="882">
      <c r="A882" s="17" t="inlineStr">
        <is>
          <t>FidMe</t>
        </is>
      </c>
      <c r="B882" s="17" t="inlineStr">
        <is>
          <t>Live</t>
        </is>
      </c>
      <c r="C882" s="17" t="inlineStr">
        <is>
          <t>Fidme Campagne 2</t>
        </is>
      </c>
      <c r="D882" s="17" t="inlineStr">
        <is>
          <t>Boulangerie, traiteur et épicerie salée</t>
        </is>
      </c>
      <c r="E882" s="18" t="inlineStr">
        <is>
          <t>La qualité comme à la pizzeria | Fidme Courses</t>
        </is>
      </c>
      <c r="F882" s="17" t="inlineStr">
        <is>
          <t>Découvrez notre gamme qualité comme à la pizzeria.</t>
        </is>
      </c>
      <c r="G882" s="19" t="inlineStr">
        <is>
          <t>https://courses.fidme.com/offre/7e83d325-2e88-40be-8788-de3bda527415?mtm_campaign=testGEA_lemrock_2026-08&amp;mtm_kwd=GEA&amp;mtm_medium=paid_GEA_lemrock&amp;mtm_content=croustipate</t>
        </is>
      </c>
      <c r="H882" s="20" t="n">
        <v>9274</v>
      </c>
      <c r="I882" s="20" t="n">
        <v>42</v>
      </c>
      <c r="J882" s="21">
        <f>IF(H882=0,0,I882/H882)</f>
        <v/>
      </c>
    </row>
    <row r="883">
      <c r="A883" s="17" t="inlineStr">
        <is>
          <t>FidMe</t>
        </is>
      </c>
      <c r="B883" s="17" t="inlineStr">
        <is>
          <t>Live</t>
        </is>
      </c>
      <c r="C883" s="17" t="inlineStr">
        <is>
          <t>Fidme Campagne 2</t>
        </is>
      </c>
      <c r="D883" s="17" t="inlineStr">
        <is>
          <t>Snacks et confiseries</t>
        </is>
      </c>
      <c r="E883" s="18" t="inlineStr">
        <is>
          <t>HARIBO P!K Miami 200g | Fidme Courses</t>
        </is>
      </c>
      <c r="F883" s="17" t="inlineStr">
        <is>
          <t>Redécouvrez l'incontournable HARIBO P!K Miami</t>
        </is>
      </c>
      <c r="G883" s="19" t="inlineStr">
        <is>
          <t>https://courses.fidme.com/offre/4a717306-0fb2-4e52-93c6-b1b93c811211?mtm_campaign=testGEA_lemrock_2026-08&amp;mtm_kwd=GEA&amp;mtm_medium=paid_GEA_lemrock&amp;mtm_content=haribo</t>
        </is>
      </c>
      <c r="H883" s="20" t="n">
        <v>8122</v>
      </c>
      <c r="I883" s="20" t="n">
        <v>29</v>
      </c>
      <c r="J883" s="21">
        <f>IF(H883=0,0,I883/H883)</f>
        <v/>
      </c>
    </row>
    <row r="884">
      <c r="A884" s="17" t="inlineStr">
        <is>
          <t>FidMe</t>
        </is>
      </c>
      <c r="B884" s="17" t="inlineStr">
        <is>
          <t>Live</t>
        </is>
      </c>
      <c r="C884" s="17" t="inlineStr">
        <is>
          <t>Fidme Campagne 2</t>
        </is>
      </c>
      <c r="D884" s="17" t="inlineStr">
        <is>
          <t>Wine</t>
        </is>
      </c>
      <c r="E884" s="18" t="inlineStr">
        <is>
          <t>Vins et pétillants remboursés - Fidme</t>
        </is>
      </c>
      <c r="F884" s="17" t="inlineStr">
        <is>
          <t>Vilaveroni Frizzante 75 cl est un vin pétillant italien à la bouteille bleue, aux notes de fruits secs, de fleurs d’acacia et d’épices.</t>
        </is>
      </c>
      <c r="G884" s="19" t="inlineStr">
        <is>
          <t>https://courses.fidme.com/offre/5f5ada87-208d-45cd-a5f3-edb6eb40a5cf</t>
        </is>
      </c>
      <c r="H884" s="20" t="n">
        <v>7460</v>
      </c>
      <c r="I884" s="20" t="n">
        <v>41</v>
      </c>
      <c r="J884" s="21">
        <f>IF(H884=0,0,I884/H884)</f>
        <v/>
      </c>
    </row>
    <row r="885">
      <c r="A885" s="17" t="inlineStr">
        <is>
          <t>FidMe</t>
        </is>
      </c>
      <c r="B885" s="17" t="inlineStr">
        <is>
          <t>Live</t>
        </is>
      </c>
      <c r="C885" s="17" t="inlineStr">
        <is>
          <t>Fidme Campagne 2</t>
        </is>
      </c>
      <c r="D885" s="17" t="inlineStr">
        <is>
          <t>Produits frais et traiteur</t>
        </is>
      </c>
      <c r="E885" s="18" t="inlineStr">
        <is>
          <t>ADOPTEZ ACTIVIA, UN KEFIR UNIQUE | Fidme Courses</t>
        </is>
      </c>
      <c r="F885" s="17" t="inlineStr">
        <is>
          <t>Découvrez la gamme Kéfir Activia, une recette au mix unique : milliards de probiotiques et levures traditionnelles de Kéfir</t>
        </is>
      </c>
      <c r="G885" s="19" t="inlineStr">
        <is>
          <t>https://courses.fidme.com/offre/a20c91f5-e99a-4e4e-9dd1-5dbbaba4f047?mtm_campaign=testGEA_lemrock_2026-08&amp;mtm_kwd=GEA&amp;mtm_medium=paid_GEA_lemrock&amp;mtm_content=activia</t>
        </is>
      </c>
      <c r="H885" s="20" t="n">
        <v>7056</v>
      </c>
      <c r="I885" s="20" t="n">
        <v>37</v>
      </c>
      <c r="J885" s="21">
        <f>IF(H885=0,0,I885/H885)</f>
        <v/>
      </c>
    </row>
    <row r="886">
      <c r="A886" s="17" t="inlineStr">
        <is>
          <t>FidMe</t>
        </is>
      </c>
      <c r="B886" s="17" t="inlineStr">
        <is>
          <t>Live</t>
        </is>
      </c>
      <c r="C886" s="17" t="inlineStr">
        <is>
          <t>Fidme Campagne 2</t>
        </is>
      </c>
      <c r="D886" s="17" t="inlineStr">
        <is>
          <t>Chocolat et boissons en poudre</t>
        </is>
      </c>
      <c r="E886" s="18" t="inlineStr">
        <is>
          <t>Poulain Poudres | Fidme Courses</t>
        </is>
      </c>
      <c r="F886" s="17" t="inlineStr">
        <is>
          <t>Poulain Poudres Cacaotées : Grand Arôme 450g et 800g, et Super Poulain 450g et 1kg</t>
        </is>
      </c>
      <c r="G886" s="19" t="inlineStr">
        <is>
          <t>https://courses.fidme.com/offre/024f9b29-cac9-4f1a-94e5-ed6a84448c3b?mtm_campaign=testGEA_lemrock_2026-08&amp;mtm_kwd=GEA&amp;mtm_medium=paid_GEA_lemrock&amp;mtm_content=poulain</t>
        </is>
      </c>
      <c r="H886" s="20" t="n">
        <v>7055</v>
      </c>
      <c r="I886" s="20" t="n">
        <v>29</v>
      </c>
      <c r="J886" s="21">
        <f>IF(H886=0,0,I886/H886)</f>
        <v/>
      </c>
    </row>
    <row r="887">
      <c r="A887" s="17" t="inlineStr">
        <is>
          <t>FidMe</t>
        </is>
      </c>
      <c r="B887" s="17" t="inlineStr">
        <is>
          <t>Live</t>
        </is>
      </c>
      <c r="C887" s="17" t="inlineStr">
        <is>
          <t>Fidme Campagne 2</t>
        </is>
      </c>
      <c r="D887" s="17" t="inlineStr">
        <is>
          <t>Boissons végétales</t>
        </is>
      </c>
      <c r="E887" s="18" t="inlineStr">
        <is>
          <t>Boissons végétales Bjorg au rayon lait UHT | Fidme Courses</t>
        </is>
      </c>
      <c r="F887" s="17" t="inlineStr">
        <is>
          <t>Des boissons végétales Bjorg idéales au petit-déjeuner, en pause gourmande et pour des cafés barista à la maison !</t>
        </is>
      </c>
      <c r="G887" s="19" t="inlineStr">
        <is>
          <t>https://courses.fidme.com/offre/16c49d2a-e2c5-49b0-825f-60ca722bd207?mtm_campaign=testGEA_lemrock_2026-08&amp;mtm_kwd=GEA&amp;mtm_medium=paid_GEA_lemrock&amp;mtm_content=bjorg</t>
        </is>
      </c>
      <c r="H887" s="20" t="n">
        <v>6997</v>
      </c>
      <c r="I887" s="20" t="n">
        <v>17</v>
      </c>
      <c r="J887" s="21">
        <f>IF(H887=0,0,I887/H887)</f>
        <v/>
      </c>
    </row>
    <row r="888">
      <c r="A888" s="17" t="inlineStr">
        <is>
          <t>FidMe</t>
        </is>
      </c>
      <c r="B888" s="17" t="inlineStr">
        <is>
          <t>Live</t>
        </is>
      </c>
      <c r="C888" s="17" t="inlineStr">
        <is>
          <t>Fidme Campagne 2</t>
        </is>
      </c>
      <c r="D888" s="17" t="inlineStr">
        <is>
          <t>Animalerie</t>
        </is>
      </c>
      <c r="E888" s="18" t="inlineStr">
        <is>
          <t>WHISKAS® POCHONS | Fidme Courses</t>
        </is>
      </c>
      <c r="F888" s="17" t="inlineStr">
        <is>
          <t>0,80€ pour l'achat d'un produit de la gamme Whiskas® x12</t>
        </is>
      </c>
      <c r="G888" s="19" t="inlineStr">
        <is>
          <t>https://courses.fidme.com/offre/a028a9bb-2236-4a3c-99e9-fa49c266c418?mtm_campaign=testGEA_lemrock_2026-08&amp;mtm_kwd=GEA&amp;mtm_medium=paid_GEA_lemrock&amp;mtm_content=whiskas</t>
        </is>
      </c>
      <c r="H888" s="20" t="n">
        <v>6920</v>
      </c>
      <c r="I888" s="20" t="n">
        <v>21</v>
      </c>
      <c r="J888" s="21">
        <f>IF(H888=0,0,I888/H888)</f>
        <v/>
      </c>
    </row>
    <row r="889">
      <c r="A889" s="17" t="inlineStr">
        <is>
          <t>FidMe</t>
        </is>
      </c>
      <c r="B889" s="17" t="inlineStr">
        <is>
          <t>Live</t>
        </is>
      </c>
      <c r="C889" s="17" t="inlineStr">
        <is>
          <t>Fidme Campagne 2</t>
        </is>
      </c>
      <c r="D889" s="17" t="inlineStr">
        <is>
          <t>Vins et apéritifs</t>
        </is>
      </c>
      <c r="E889" s="18" t="inlineStr">
        <is>
          <t>Pastis Duval</t>
        </is>
      </c>
      <c r="F889" s="17" t="inlineStr">
        <is>
          <t>Pastis Duval : recette emblématique à base d’anis et de réglisse, aux notes fraîches et aromatiques, idéal allongé d’eau bien fraîche à l’apéritif.</t>
        </is>
      </c>
      <c r="G889" s="19" t="inlineStr">
        <is>
          <t>https://courses.fidme.com/offre/baee1206-b4c2-4c78-8cbe-7bf3c6f48850</t>
        </is>
      </c>
      <c r="H889" s="20" t="n">
        <v>6633</v>
      </c>
      <c r="I889" s="20" t="n">
        <v>26</v>
      </c>
      <c r="J889" s="21">
        <f>IF(H889=0,0,I889/H889)</f>
        <v/>
      </c>
    </row>
    <row r="890">
      <c r="A890" s="17" t="inlineStr">
        <is>
          <t>FidMe</t>
        </is>
      </c>
      <c r="B890" s="17" t="inlineStr">
        <is>
          <t>Live</t>
        </is>
      </c>
      <c r="C890" s="17" t="inlineStr">
        <is>
          <t>Fidme Campagne 2</t>
        </is>
      </c>
      <c r="D890" s="17" t="inlineStr">
        <is>
          <t>Produits frais et traiteur</t>
        </is>
      </c>
      <c r="E890" s="18" t="inlineStr">
        <is>
          <t>Le Gaulois Végétal | Fidme Courses</t>
        </is>
      </c>
      <c r="F890" s="17" t="inlineStr">
        <is>
          <t>Découvrez Le Gaulois Végétal avec 0,50€ remboursé pour l'achat d'un produit.</t>
        </is>
      </c>
      <c r="G890" s="19" t="inlineStr">
        <is>
          <t>https://courses.fidme.com/offre/70b2a4e7-4445-403e-a23e-cfbf9bf48341?mtm_campaign=testGEA_lemrock_2026-08&amp;mtm_kwd=GEA&amp;mtm_medium=paid_GEA_lemrock&amp;mtm_content=le-gaulois</t>
        </is>
      </c>
      <c r="H890" s="20" t="n">
        <v>6533</v>
      </c>
      <c r="I890" s="20" t="n">
        <v>17</v>
      </c>
      <c r="J890" s="21">
        <f>IF(H890=0,0,I890/H890)</f>
        <v/>
      </c>
    </row>
    <row r="891">
      <c r="A891" s="17" t="inlineStr">
        <is>
          <t>FidMe</t>
        </is>
      </c>
      <c r="B891" s="17" t="inlineStr">
        <is>
          <t>Live</t>
        </is>
      </c>
      <c r="C891" s="17" t="inlineStr">
        <is>
          <t>Fidme Campagne 2</t>
        </is>
      </c>
      <c r="D891" s="17" t="inlineStr">
        <is>
          <t>Jus de fruits</t>
        </is>
      </c>
      <c r="E891" s="18" t="inlineStr">
        <is>
          <t>Tropicana Vitamines+ et Fibres+ | Fidme Courses</t>
        </is>
      </c>
      <c r="F891" s="17" t="inlineStr">
        <is>
          <t>Faîtes le plein de vitamines et de fibres pour bien commencer la journée !</t>
        </is>
      </c>
      <c r="G891" s="19" t="inlineStr">
        <is>
          <t>https://courses.fidme.com/offre/c09bab58-9310-4a70-bb4d-e97730d27e20?mtm_campaign=testGEA_lemrock_2026-08&amp;mtm_kwd=GEA&amp;mtm_medium=paid_GEA_lemrock&amp;mtm_content=tropicana</t>
        </is>
      </c>
      <c r="H891" s="20" t="n">
        <v>6486</v>
      </c>
      <c r="I891" s="20" t="n">
        <v>24</v>
      </c>
      <c r="J891" s="21">
        <f>IF(H891=0,0,I891/H891)</f>
        <v/>
      </c>
    </row>
    <row r="892">
      <c r="A892" s="17" t="inlineStr">
        <is>
          <t>FidMe</t>
        </is>
      </c>
      <c r="B892" s="17" t="inlineStr">
        <is>
          <t>Live</t>
        </is>
      </c>
      <c r="C892" s="17" t="inlineStr">
        <is>
          <t>Fidme Campagne 2</t>
        </is>
      </c>
      <c r="D892" s="17" t="inlineStr">
        <is>
          <t>Boulangerie, traiteur et épicerie salée</t>
        </is>
      </c>
      <c r="E892" s="18" t="inlineStr">
        <is>
          <t>Découvrez nos Pains ! | Fidme Courses</t>
        </is>
      </c>
      <c r="F892" s="17" t="inlineStr">
        <is>
          <t>Brioche Pasquier vous propose tout son savoir-faire dans une gamme de Pains au goût unique</t>
        </is>
      </c>
      <c r="G892" s="19" t="inlineStr">
        <is>
          <t>https://courses.fidme.com/offre/be20fa17-069a-4ab4-a8f2-9d1d67fb961c?mtm_campaign=testGEA_lemrock_2026-08&amp;mtm_kwd=GEA&amp;mtm_medium=paid_GEA_lemrock&amp;mtm_content=pasquier</t>
        </is>
      </c>
      <c r="H892" s="20" t="n">
        <v>6419</v>
      </c>
      <c r="I892" s="20" t="n">
        <v>32</v>
      </c>
      <c r="J892" s="21">
        <f>IF(H892=0,0,I892/H892)</f>
        <v/>
      </c>
    </row>
    <row r="893">
      <c r="A893" s="17" t="inlineStr">
        <is>
          <t>FidMe</t>
        </is>
      </c>
      <c r="B893" s="17" t="inlineStr">
        <is>
          <t>Live</t>
        </is>
      </c>
      <c r="C893" s="17" t="inlineStr">
        <is>
          <t>Fidme Campagne 2</t>
        </is>
      </c>
      <c r="D893" s="17" t="inlineStr">
        <is>
          <t>Alimentation bébé</t>
        </is>
      </c>
      <c r="E893" s="18" t="inlineStr">
        <is>
          <t>Galliagest Premium 2, formule épaissie, dans un nouveau</t>
        </is>
      </c>
      <c r="F893" s="17" t="inlineStr">
        <is>
          <t>Lait infantile Galliagest Premium 2 en format économique 1,1kg : formule épaissie issue de 50 ans de recherche sur le lait maternel.</t>
        </is>
      </c>
      <c r="G893" s="19" t="inlineStr">
        <is>
          <t>https://courses.fidme.com/offre/fb7f6daa-1017-4398-8e27-4748add3caa9</t>
        </is>
      </c>
      <c r="H893" s="20" t="n">
        <v>6405</v>
      </c>
      <c r="I893" s="20" t="n">
        <v>35</v>
      </c>
      <c r="J893" s="21">
        <f>IF(H893=0,0,I893/H893)</f>
        <v/>
      </c>
    </row>
    <row r="894">
      <c r="A894" s="17" t="inlineStr">
        <is>
          <t>FidMe</t>
        </is>
      </c>
      <c r="B894" s="17" t="inlineStr">
        <is>
          <t>Live</t>
        </is>
      </c>
      <c r="C894" s="17" t="inlineStr">
        <is>
          <t>Fidme Campagne 2</t>
        </is>
      </c>
      <c r="D894" s="17" t="inlineStr">
        <is>
          <t>Boulangerie, traiteur et épicerie salée</t>
        </is>
      </c>
      <c r="E894" s="18" t="inlineStr">
        <is>
          <t>0,20€ Pâte à tarte HERTA | Fidme Courses</t>
        </is>
      </c>
      <c r="F894" s="17" t="inlineStr">
        <is>
          <t>0,20€ de remise pour l’achat d’une Pâte à tarte HERTA</t>
        </is>
      </c>
      <c r="G894" s="19" t="inlineStr">
        <is>
          <t>https://courses.fidme.com/offre/2c9385db-b6a4-4ebc-9761-e651f3f3795e?mtm_campaign=testGEA_lemrock_2026-08&amp;mtm_kwd=GEA&amp;mtm_medium=paid_GEA_lemrock&amp;mtm_content=herta</t>
        </is>
      </c>
      <c r="H894" s="20" t="n">
        <v>6376</v>
      </c>
      <c r="I894" s="20" t="n">
        <v>24</v>
      </c>
      <c r="J894" s="21">
        <f>IF(H894=0,0,I894/H894)</f>
        <v/>
      </c>
    </row>
    <row r="895">
      <c r="A895" s="17" t="inlineStr">
        <is>
          <t>FidMe</t>
        </is>
      </c>
      <c r="B895" s="17" t="inlineStr">
        <is>
          <t>Live</t>
        </is>
      </c>
      <c r="C895" s="17" t="inlineStr">
        <is>
          <t>Fidme Campagne 2</t>
        </is>
      </c>
      <c r="D895" s="17" t="inlineStr">
        <is>
          <t>Snacks et confiseries</t>
        </is>
      </c>
      <c r="E895" s="18" t="inlineStr">
        <is>
          <t>Lutti Candy Paper | Fidme Courses</t>
        </is>
      </c>
      <c r="F895" s="17" t="inlineStr">
        <is>
          <t>Découvre les nouveaux Candy Paper Lutti.</t>
        </is>
      </c>
      <c r="G895" s="19" t="inlineStr">
        <is>
          <t>https://courses.fidme.com/offre/18fc4b8e-beeb-4b12-9e3c-4f0470bc0192?mtm_campaign=testGEA_lemrock_2026-08&amp;mtm_kwd=GEA&amp;mtm_medium=paid_GEA_lemrock&amp;mtm_content=lutti</t>
        </is>
      </c>
      <c r="H895" s="20" t="n">
        <v>6180</v>
      </c>
      <c r="I895" s="20" t="n">
        <v>27</v>
      </c>
      <c r="J895" s="21">
        <f>IF(H895=0,0,I895/H895)</f>
        <v/>
      </c>
    </row>
    <row r="896">
      <c r="A896" s="17" t="inlineStr">
        <is>
          <t>FidMe</t>
        </is>
      </c>
      <c r="B896" s="17" t="inlineStr">
        <is>
          <t>Live</t>
        </is>
      </c>
      <c r="C896" s="17" t="inlineStr">
        <is>
          <t>Fidme Campagne 2</t>
        </is>
      </c>
      <c r="D896" s="17" t="inlineStr">
        <is>
          <t>Légumes et conserves</t>
        </is>
      </c>
      <c r="E896" s="18" t="inlineStr">
        <is>
          <t>Légumes cuisinés Cassegrain Traiteur -0,45 € | Fidme</t>
        </is>
      </c>
      <c r="F896" s="17" t="inlineStr">
        <is>
          <t>0,45 € remboursés sur un produit de la gamme Cassegrain Traiteur, les légumes déjà cuisinés. Offre à activer dans l’appli Fidme, remise après scan du ticket.</t>
        </is>
      </c>
      <c r="G896" s="19" t="inlineStr">
        <is>
          <t>https://courses.fidme.com/offre/042bf7fd-aa48-4463-b0aa-3020c7d1469c</t>
        </is>
      </c>
      <c r="H896" s="20" t="n">
        <v>6104</v>
      </c>
      <c r="I896" s="20" t="n">
        <v>20</v>
      </c>
      <c r="J896" s="21">
        <f>IF(H896=0,0,I896/H896)</f>
        <v/>
      </c>
    </row>
    <row r="897">
      <c r="A897" s="17" t="inlineStr">
        <is>
          <t>FidMe</t>
        </is>
      </c>
      <c r="B897" s="17" t="inlineStr">
        <is>
          <t>Live</t>
        </is>
      </c>
      <c r="C897" s="17" t="inlineStr">
        <is>
          <t>Fidme Campagne 2</t>
        </is>
      </c>
      <c r="D897" s="17" t="inlineStr">
        <is>
          <t>Papeterie</t>
        </is>
      </c>
      <c r="E897" s="18" t="inlineStr">
        <is>
          <t>Surligneurs STABILO | Fidme Courses</t>
        </is>
      </c>
      <c r="F897" s="17" t="inlineStr">
        <is>
          <t>2€ pour l'achat d'1 pack X3 ou X4 STABILO BOSS ORIGINAL</t>
        </is>
      </c>
      <c r="G897" s="19" t="inlineStr">
        <is>
          <t>https://courses.fidme.com/offre/bad7769c-3e84-44c1-a1a8-60a8d75f106f?mtm_campaign=testGEA_lemrock_2026-08&amp;mtm_kwd=GEA&amp;mtm_medium=paid_GEA_lemrock&amp;mtm_content=stabilo</t>
        </is>
      </c>
      <c r="H897" s="20" t="n">
        <v>6100</v>
      </c>
      <c r="I897" s="20" t="n">
        <v>55</v>
      </c>
      <c r="J897" s="21">
        <f>IF(H897=0,0,I897/H897)</f>
        <v/>
      </c>
    </row>
    <row r="898">
      <c r="A898" s="17" t="inlineStr">
        <is>
          <t>FidMe</t>
        </is>
      </c>
      <c r="B898" s="17" t="inlineStr">
        <is>
          <t>Live</t>
        </is>
      </c>
      <c r="C898" s="17" t="inlineStr">
        <is>
          <t>Fidme Campagne 2</t>
        </is>
      </c>
      <c r="D898" s="17" t="inlineStr">
        <is>
          <t>Baby and Toddler Products</t>
        </is>
      </c>
      <c r="E898" s="18" t="inlineStr">
        <is>
          <t>Lait infantile et petits plats bébé remboursés - Fidme</t>
        </is>
      </c>
      <c r="F898" s="17" t="inlineStr">
        <is>
          <t>Blédichef, ce sont des petits plats pour bébés cuisinés en France, sans sel ajouté et avec des morceaux calibrés selon l’âge, avec 0,50 € pour un produit.</t>
        </is>
      </c>
      <c r="G898" s="19" t="inlineStr">
        <is>
          <t>https://courses.fidme.com/offre/155bd186-ef48-46e6-995f-7bb777193f43</t>
        </is>
      </c>
      <c r="H898" s="20" t="n">
        <v>5866</v>
      </c>
      <c r="I898" s="20" t="n">
        <v>24</v>
      </c>
      <c r="J898" s="21">
        <f>IF(H898=0,0,I898/H898)</f>
        <v/>
      </c>
    </row>
    <row r="899">
      <c r="A899" s="17" t="inlineStr">
        <is>
          <t>FidMe</t>
        </is>
      </c>
      <c r="B899" s="17" t="inlineStr">
        <is>
          <t>Live</t>
        </is>
      </c>
      <c r="C899" s="17" t="inlineStr">
        <is>
          <t>Fidme Campagne 2</t>
        </is>
      </c>
      <c r="D899" s="17" t="inlineStr">
        <is>
          <t>Produits frais et traiteur</t>
        </is>
      </c>
      <c r="E899" s="18" t="inlineStr">
        <is>
          <t>Salad on the Go DAUNAT | Fidme Courses</t>
        </is>
      </c>
      <c r="F899" s="17" t="inlineStr">
        <is>
          <t>Bénéficiez de 0,80€ de remise immédiate pour l'achat d'un produit Salad on the Go DAUNAT</t>
        </is>
      </c>
      <c r="G899" s="19" t="inlineStr">
        <is>
          <t>https://courses.fidme.com/offre/a2b7510e-5c2a-4309-b364-c09a2fbefea6?mtm_campaign=testGEA_lemrock_2026-08&amp;mtm_kwd=GEA&amp;mtm_medium=paid_GEA_lemrock&amp;mtm_content=daunat</t>
        </is>
      </c>
      <c r="H899" s="20" t="n">
        <v>5787</v>
      </c>
      <c r="I899" s="20" t="n">
        <v>18</v>
      </c>
      <c r="J899" s="21">
        <f>IF(H899=0,0,I899/H899)</f>
        <v/>
      </c>
    </row>
    <row r="900">
      <c r="A900" s="17" t="inlineStr">
        <is>
          <t>FidMe</t>
        </is>
      </c>
      <c r="B900" s="17" t="inlineStr">
        <is>
          <t>Live</t>
        </is>
      </c>
      <c r="C900" s="17" t="inlineStr">
        <is>
          <t>Fidme Campagne 2</t>
        </is>
      </c>
      <c r="D900" s="17" t="inlineStr">
        <is>
          <t>Nursing and Feeding Products</t>
        </is>
      </c>
      <c r="E900" s="18" t="inlineStr">
        <is>
          <t>Lait infantile Galliagest 2 à prix bas | Fidme</t>
        </is>
      </c>
      <c r="F900" s="17" t="inlineStr">
        <is>
          <t>Le Galliagest Premium 2 en 1,1 kg, formule épaissie issue de la recherche sur le lait maternel, revient moins cher avec le remboursement Fidme.</t>
        </is>
      </c>
      <c r="G900" s="19" t="inlineStr">
        <is>
          <t>https://courses.fidme.com/offre/fb7f6daa-1017-4398-8e27-4748add3caa9</t>
        </is>
      </c>
      <c r="H900" s="20" t="n">
        <v>5783</v>
      </c>
      <c r="I900" s="20" t="n">
        <v>15</v>
      </c>
      <c r="J900" s="21">
        <f>IF(H900=0,0,I900/H900)</f>
        <v/>
      </c>
    </row>
    <row r="901">
      <c r="A901" s="17" t="inlineStr">
        <is>
          <t>FidMe</t>
        </is>
      </c>
      <c r="B901" s="17" t="inlineStr">
        <is>
          <t>Live</t>
        </is>
      </c>
      <c r="C901" s="17" t="inlineStr">
        <is>
          <t>Fidme Campagne 2</t>
        </is>
      </c>
      <c r="D901" s="17" t="inlineStr">
        <is>
          <t>Vins et apéritifs</t>
        </is>
      </c>
      <c r="E901" s="18" t="inlineStr">
        <is>
          <t>0,50 € pour l'achat d'un produit de la gamme Clairement</t>
        </is>
      </c>
      <c r="F901" s="17" t="inlineStr">
        <is>
          <t>Vins Pays d'Oc Roche Mazet Clairement Rosé (Gris de Gris) et Clairement Blanc (Blanc de Blancs) : frais, gourmands, de l'apéritif au dessert.</t>
        </is>
      </c>
      <c r="G901" s="19" t="inlineStr">
        <is>
          <t>https://courses.fidme.com/offre/40ce1ccb-b8a2-4b5e-aff9-8486a80a5782</t>
        </is>
      </c>
      <c r="H901" s="20" t="n">
        <v>5471</v>
      </c>
      <c r="I901" s="20" t="n">
        <v>21</v>
      </c>
      <c r="J901" s="21">
        <f>IF(H901=0,0,I901/H901)</f>
        <v/>
      </c>
    </row>
    <row r="902">
      <c r="A902" s="17" t="inlineStr">
        <is>
          <t>FidMe</t>
        </is>
      </c>
      <c r="B902" s="17" t="inlineStr">
        <is>
          <t>Live</t>
        </is>
      </c>
      <c r="C902" s="17" t="inlineStr">
        <is>
          <t>Fidme Campagne 2</t>
        </is>
      </c>
      <c r="D902" s="17" t="inlineStr">
        <is>
          <t>Boulangerie, traiteur et épicerie salée</t>
        </is>
      </c>
      <c r="E902" s="18" t="inlineStr">
        <is>
          <t>Le Maïs Bonduelle | Fidme Courses</t>
        </is>
      </c>
      <c r="F902" s="17" t="inlineStr">
        <is>
          <t>0,25€ pour l'achat d'un produit de la gamme Maïs Bonduelle, élu maïs préféré des français*</t>
        </is>
      </c>
      <c r="G902" s="19" t="inlineStr">
        <is>
          <t>https://courses.fidme.com/offre/fe582592-32e0-4e67-b061-add69e804351?mtm_campaign=testGEA_lemrock_2026-08&amp;mtm_kwd=GEA&amp;mtm_medium=paid_GEA_lemrock&amp;mtm_content=bonduelle</t>
        </is>
      </c>
      <c r="H902" s="20" t="n">
        <v>5469</v>
      </c>
      <c r="I902" s="20" t="n">
        <v>21</v>
      </c>
      <c r="J902" s="21">
        <f>IF(H902=0,0,I902/H902)</f>
        <v/>
      </c>
    </row>
    <row r="903">
      <c r="A903" s="17" t="inlineStr">
        <is>
          <t>FidMe</t>
        </is>
      </c>
      <c r="B903" s="17" t="inlineStr">
        <is>
          <t>Live</t>
        </is>
      </c>
      <c r="C903" s="17" t="inlineStr">
        <is>
          <t>Fidme Campagne 2</t>
        </is>
      </c>
      <c r="D903" s="17" t="inlineStr">
        <is>
          <t>Vins et apéritifs</t>
        </is>
      </c>
      <c r="E903" s="18" t="inlineStr">
        <is>
          <t>0,50€ pour l'achat d'une bouteille de Vilaveroni Frizzante</t>
        </is>
      </c>
      <c r="F903" s="17" t="inlineStr">
        <is>
          <t>Vilaveroni Frizzante 75cl : vin pétillant italien à la bouteille bleue, notes de fruits secs, fleurs d'acacia et épices, à l'apéritif ou au dessert.</t>
        </is>
      </c>
      <c r="G903" s="19" t="inlineStr">
        <is>
          <t>https://courses.fidme.com/offre/5f5ada87-208d-45cd-a5f3-edb6eb40a5cf</t>
        </is>
      </c>
      <c r="H903" s="20" t="n">
        <v>5401</v>
      </c>
      <c r="I903" s="20" t="n">
        <v>35</v>
      </c>
      <c r="J903" s="21">
        <f>IF(H903=0,0,I903/H903)</f>
        <v/>
      </c>
    </row>
    <row r="904">
      <c r="A904" s="17" t="inlineStr">
        <is>
          <t>FidMe</t>
        </is>
      </c>
      <c r="B904" s="17" t="inlineStr">
        <is>
          <t>Live</t>
        </is>
      </c>
      <c r="C904" s="17" t="inlineStr">
        <is>
          <t>Fidme Campagne 2</t>
        </is>
      </c>
      <c r="D904" s="17" t="inlineStr">
        <is>
          <t>Boulangerie, traiteur et épicerie salée</t>
        </is>
      </c>
      <c r="E904" s="18" t="inlineStr">
        <is>
          <t>Promotion gamme Tabasco | Fidme Courses</t>
        </is>
      </c>
      <c r="F904" s="17" t="inlineStr">
        <is>
          <t>0,40€ DE RÉDUCTION sur l’achat d’un produit de la gamme Tabasco</t>
        </is>
      </c>
      <c r="G904" s="19" t="inlineStr">
        <is>
          <t>https://courses.fidme.com/offre/c17cbfbe-b038-4ac2-91c7-965cec64d00e?mtm_campaign=testGEA_lemrock_2026-08&amp;mtm_kwd=GEA&amp;mtm_medium=paid_GEA_lemrock&amp;mtm_content=tabasco</t>
        </is>
      </c>
      <c r="H904" s="20" t="n">
        <v>5351</v>
      </c>
      <c r="I904" s="20" t="n">
        <v>31</v>
      </c>
      <c r="J904" s="21">
        <f>IF(H904=0,0,I904/H904)</f>
        <v/>
      </c>
    </row>
    <row r="905">
      <c r="A905" s="17" t="inlineStr">
        <is>
          <t>FidMe</t>
        </is>
      </c>
      <c r="B905" s="17" t="inlineStr">
        <is>
          <t>Live</t>
        </is>
      </c>
      <c r="C905" s="17" t="inlineStr">
        <is>
          <t>Fidme Campagne 2</t>
        </is>
      </c>
      <c r="D905" s="17" t="inlineStr">
        <is>
          <t>Baby and Toddler Products</t>
        </is>
      </c>
      <c r="E905" s="18" t="inlineStr">
        <is>
          <t>Biberons, chaises hautes et babyphones prix bas | Fidme</t>
        </is>
      </c>
      <c r="F905" s="17" t="inlineStr">
        <is>
          <t>Du biberon au repas dans la chaise haute, les courses Fidme réunissent les offres bébé, dont le lait épaissi Galliagest Premium 2 en 1,1 kg.</t>
        </is>
      </c>
      <c r="G905" s="19" t="inlineStr">
        <is>
          <t>https://courses.fidme.com/offre/fb7f6daa-1017-4398-8e27-4748add3caa9</t>
        </is>
      </c>
      <c r="H905" s="20" t="n">
        <v>5179</v>
      </c>
      <c r="I905" s="20" t="n">
        <v>21</v>
      </c>
      <c r="J905" s="21">
        <f>IF(H905=0,0,I905/H905)</f>
        <v/>
      </c>
    </row>
    <row r="906">
      <c r="A906" s="17" t="inlineStr">
        <is>
          <t>FidMe</t>
        </is>
      </c>
      <c r="B906" s="17" t="inlineStr">
        <is>
          <t>Live</t>
        </is>
      </c>
      <c r="C906" s="17" t="inlineStr">
        <is>
          <t>Fidme Campagne 2</t>
        </is>
      </c>
      <c r="D906" s="17" t="inlineStr">
        <is>
          <t>Alimentation bébé</t>
        </is>
      </c>
      <c r="E906" s="18" t="inlineStr">
        <is>
          <t>2,00€ pour l'achat d'un produit de la gamme Blédilait Lait</t>
        </is>
      </c>
      <c r="F906" s="17" t="inlineStr">
        <is>
          <t>Blédilait Lait 3ème âge 1,1kg : lait infantile Blédina pour accompagner la croissance des tout-petits.</t>
        </is>
      </c>
      <c r="G906" s="19" t="inlineStr">
        <is>
          <t>https://courses.fidme.com/offre/788c51b4-11e0-4972-9cdf-b7754b8bbfbd</t>
        </is>
      </c>
      <c r="H906" s="20" t="n">
        <v>5077</v>
      </c>
      <c r="I906" s="20" t="n">
        <v>21</v>
      </c>
      <c r="J906" s="21">
        <f>IF(H906=0,0,I906/H906)</f>
        <v/>
      </c>
    </row>
    <row r="907">
      <c r="A907" s="17" t="inlineStr">
        <is>
          <t>FidMe</t>
        </is>
      </c>
      <c r="B907" s="17" t="inlineStr">
        <is>
          <t>Live</t>
        </is>
      </c>
      <c r="C907" s="17" t="inlineStr">
        <is>
          <t>Fidme Campagne 2</t>
        </is>
      </c>
      <c r="D907" s="17" t="inlineStr">
        <is>
          <t>Épicerie : pâtes, biscuits et gâteaux</t>
        </is>
      </c>
      <c r="E907" s="18" t="inlineStr">
        <is>
          <t>Purée de pommes de terre Oh Purée -0,50 € | Fidme</t>
        </is>
      </c>
      <c r="F907" s="17" t="inlineStr">
        <is>
          <t>Purée de pommes de terre Oh Purée en sachet 109 g, onctueuse et prête en 1 minute, 0,50 € remboursés via l’appli Fidme après activation et scan du ticket.</t>
        </is>
      </c>
      <c r="G907" s="19" t="inlineStr">
        <is>
          <t>https://courses.fidme.com/offre/eb7211ab-3091-45ff-9993-84c95ed15399</t>
        </is>
      </c>
      <c r="H907" s="20" t="n">
        <v>4937</v>
      </c>
      <c r="I907" s="20" t="n">
        <v>4</v>
      </c>
      <c r="J907" s="21">
        <f>IF(H907=0,0,I907/H907)</f>
        <v/>
      </c>
    </row>
    <row r="908">
      <c r="A908" s="17" t="inlineStr">
        <is>
          <t>FidMe</t>
        </is>
      </c>
      <c r="B908" s="17" t="inlineStr">
        <is>
          <t>Live</t>
        </is>
      </c>
      <c r="C908" s="17" t="inlineStr">
        <is>
          <t>Fidme Campagne 2</t>
        </is>
      </c>
      <c r="D908" s="17" t="inlineStr">
        <is>
          <t>Snacks et confiseries</t>
        </is>
      </c>
      <c r="E908" s="18" t="inlineStr">
        <is>
          <t>0,50€ de remise pour l'achat de produits Vico Pistache |</t>
        </is>
      </c>
      <c r="F908" s="17" t="inlineStr">
        <is>
          <t>0,50€ de remise pour l'achat de produits de la gamme Vico Pistache</t>
        </is>
      </c>
      <c r="G908" s="19" t="inlineStr">
        <is>
          <t>https://courses.fidme.com/offre/570770d2-614e-4481-aeae-6ed9f315500b?mtm_campaign=testGEA_lemrock_2026-08&amp;mtm_kwd=GEA&amp;mtm_medium=paid_GEA_lemrock&amp;mtm_content=vico</t>
        </is>
      </c>
      <c r="H908" s="20" t="n">
        <v>4844</v>
      </c>
      <c r="I908" s="20" t="n">
        <v>35</v>
      </c>
      <c r="J908" s="21">
        <f>IF(H908=0,0,I908/H908)</f>
        <v/>
      </c>
    </row>
    <row r="909">
      <c r="A909" s="17" t="inlineStr">
        <is>
          <t>FidMe</t>
        </is>
      </c>
      <c r="B909" s="17" t="inlineStr">
        <is>
          <t>Live</t>
        </is>
      </c>
      <c r="C909" s="17" t="inlineStr">
        <is>
          <t>Fidme Campagne 2</t>
        </is>
      </c>
      <c r="D909" s="17" t="inlineStr">
        <is>
          <t>Produits frais et traiteur</t>
        </is>
      </c>
      <c r="E909" s="18" t="inlineStr">
        <is>
          <t>0,40€ offert sur Tendrissime | Fidme Courses</t>
        </is>
      </c>
      <c r="F909" s="17" t="inlineStr">
        <is>
          <t>0,40€ offert pour l’achat d’un produit de la gamme Tendrissime PRÉSIDENT !</t>
        </is>
      </c>
      <c r="G909" s="19" t="inlineStr">
        <is>
          <t>https://courses.fidme.com/offre/0982a341-f4e1-415d-8cba-ff150691be70?mtm_campaign=testGEA_lemrock_2026-08&amp;mtm_kwd=GEA&amp;mtm_medium=paid_GEA_lemrock&amp;mtm_content=president</t>
        </is>
      </c>
      <c r="H909" s="20" t="n">
        <v>4754</v>
      </c>
      <c r="I909" s="20" t="n">
        <v>19</v>
      </c>
      <c r="J909" s="21">
        <f>IF(H909=0,0,I909/H909)</f>
        <v/>
      </c>
    </row>
    <row r="910">
      <c r="A910" s="17" t="inlineStr">
        <is>
          <t>FidMe</t>
        </is>
      </c>
      <c r="B910" s="17" t="inlineStr">
        <is>
          <t>Live</t>
        </is>
      </c>
      <c r="C910" s="17" t="inlineStr">
        <is>
          <t>Fidme Campagne 2</t>
        </is>
      </c>
      <c r="D910" s="17" t="inlineStr">
        <is>
          <t>Entretien et hygiène</t>
        </is>
      </c>
      <c r="E910" s="18" t="inlineStr">
        <is>
          <t>Skip Mon Cycle Court Parfait | Fidme Courses</t>
        </is>
      </c>
      <c r="F910" s="17" t="inlineStr">
        <is>
          <t>La 1ère lessive spécialement conçue pour le cycle court</t>
        </is>
      </c>
      <c r="G910" s="19" t="inlineStr">
        <is>
          <t>https://courses.fidme.com/offre/964e7a06-710e-415b-b609-648dbb7aae2d?mtm_campaign=testGEA_lemrock_2026-08&amp;mtm_kwd=GEA&amp;mtm_medium=paid_GEA_lemrock&amp;mtm_content=skip</t>
        </is>
      </c>
      <c r="H910" s="20" t="n">
        <v>4506</v>
      </c>
      <c r="I910" s="20" t="n">
        <v>26</v>
      </c>
      <c r="J910" s="21">
        <f>IF(H910=0,0,I910/H910)</f>
        <v/>
      </c>
    </row>
    <row r="911">
      <c r="A911" s="17" t="inlineStr">
        <is>
          <t>FidMe</t>
        </is>
      </c>
      <c r="B911" s="17" t="inlineStr">
        <is>
          <t>Live</t>
        </is>
      </c>
      <c r="C911" s="17" t="inlineStr">
        <is>
          <t>Fidme Campagne 2</t>
        </is>
      </c>
      <c r="D911" s="17" t="inlineStr">
        <is>
          <t>Entretien et hygiène</t>
        </is>
      </c>
      <c r="E911" s="18" t="inlineStr">
        <is>
          <t>Colgate Max White | Fidme Courses</t>
        </is>
      </c>
      <c r="F911" s="17" t="inlineStr">
        <is>
          <t>Un éclat instantané* pour une confiance immédiate</t>
        </is>
      </c>
      <c r="G911" s="19" t="inlineStr">
        <is>
          <t>https://courses.fidme.com/offre/411a178b-05fe-4287-a387-88d7408dbfc4?mtm_campaign=testGEA_lemrock_2026-08&amp;mtm_kwd=GEA&amp;mtm_medium=paid_GEA_lemrock&amp;mtm_content=colgate</t>
        </is>
      </c>
      <c r="H911" s="20" t="n">
        <v>4245</v>
      </c>
      <c r="I911" s="20" t="n">
        <v>16</v>
      </c>
      <c r="J911" s="21">
        <f>IF(H911=0,0,I911/H911)</f>
        <v/>
      </c>
    </row>
    <row r="912">
      <c r="A912" s="17" t="inlineStr">
        <is>
          <t>FidMe</t>
        </is>
      </c>
      <c r="B912" s="17" t="inlineStr">
        <is>
          <t>Live</t>
        </is>
      </c>
      <c r="C912" s="17" t="inlineStr">
        <is>
          <t>Fidme Campagne 2</t>
        </is>
      </c>
      <c r="D912" s="17" t="inlineStr">
        <is>
          <t>Boissons énergisantes et protéinées</t>
        </is>
      </c>
      <c r="E912" s="18" t="inlineStr">
        <is>
          <t>Starbucks® Protein Drink | Fidme Courses</t>
        </is>
      </c>
      <c r="F912" s="17" t="inlineStr">
        <is>
          <t>0.50€ de réduction sur une bouteille de la gamme Starbucks® boissons protéinées 330ml</t>
        </is>
      </c>
      <c r="G912" s="19" t="inlineStr">
        <is>
          <t>https://courses.fidme.com/offre/fa6f6359-5639-47d7-91b3-ead284e137a7?mtm_campaign=testGEA_lemrock_2026-08&amp;mtm_kwd=GEA&amp;mtm_medium=paid_GEA_lemrock&amp;mtm_content=starbucks</t>
        </is>
      </c>
      <c r="H912" s="20" t="n">
        <v>4049</v>
      </c>
      <c r="I912" s="20" t="n">
        <v>16</v>
      </c>
      <c r="J912" s="21">
        <f>IF(H912=0,0,I912/H912)</f>
        <v/>
      </c>
    </row>
    <row r="913">
      <c r="A913" s="17" t="inlineStr">
        <is>
          <t>FidMe</t>
        </is>
      </c>
      <c r="B913" s="17" t="inlineStr">
        <is>
          <t>Live</t>
        </is>
      </c>
      <c r="C913" s="17" t="inlineStr">
        <is>
          <t>Fidme Campagne 2</t>
        </is>
      </c>
      <c r="D913" s="17" t="inlineStr">
        <is>
          <t>Boissons énergisantes et protéinées</t>
        </is>
      </c>
      <c r="E913" s="18" t="inlineStr">
        <is>
          <t>0,20€ de réduction pour l'achat d'une canette MONSTER</t>
        </is>
      </c>
      <c r="F913" s="17" t="inlineStr">
        <is>
          <t>0,20€ de réduction pour l'achat d'une canette MONSTER ENERGY !</t>
        </is>
      </c>
      <c r="G913" s="19" t="inlineStr">
        <is>
          <t>https://courses.fidme.com/offre/6cf4f4be-495a-4708-bd3a-6bdd1784e8c8?mtm_campaign=testGEA_lemrock_2026-08&amp;mtm_kwd=GEA&amp;mtm_medium=paid_GEA_lemrock&amp;mtm_content=monster</t>
        </is>
      </c>
      <c r="H913" s="20" t="n">
        <v>4044</v>
      </c>
      <c r="I913" s="20" t="n">
        <v>20</v>
      </c>
      <c r="J913" s="21">
        <f>IF(H913=0,0,I913/H913)</f>
        <v/>
      </c>
    </row>
    <row r="914">
      <c r="A914" s="17" t="inlineStr">
        <is>
          <t>FidMe</t>
        </is>
      </c>
      <c r="B914" s="17" t="inlineStr">
        <is>
          <t>Live</t>
        </is>
      </c>
      <c r="C914" s="17" t="inlineStr">
        <is>
          <t>Fidme Campagne 2</t>
        </is>
      </c>
      <c r="D914" s="17" t="inlineStr">
        <is>
          <t>Sodas et boissons gazeuses</t>
        </is>
      </c>
      <c r="E914" s="18" t="inlineStr">
        <is>
          <t>0,15€ de réduction pour l'achat d'une canette Coca-Cola</t>
        </is>
      </c>
      <c r="F914" s="17" t="inlineStr">
        <is>
          <t>0,15€ de réduction pour l'achat d'une canette Coca-Cola Original ou Zéro Sucres 50cl !!</t>
        </is>
      </c>
      <c r="G914" s="19" t="inlineStr">
        <is>
          <t>https://courses.fidme.com/offre/2f862056-f2d5-48bf-b411-c73e3a97712f?mtm_campaign=testGEA_lemrock_2026-08&amp;mtm_kwd=GEA&amp;mtm_medium=paid_GEA_lemrock&amp;mtm_content=coca-cola</t>
        </is>
      </c>
      <c r="H914" s="20" t="n">
        <v>4032</v>
      </c>
      <c r="I914" s="20" t="n">
        <v>24</v>
      </c>
      <c r="J914" s="21">
        <f>IF(H914=0,0,I914/H914)</f>
        <v/>
      </c>
    </row>
    <row r="915">
      <c r="A915" s="17" t="inlineStr">
        <is>
          <t>FidMe</t>
        </is>
      </c>
      <c r="B915" s="17" t="inlineStr">
        <is>
          <t>Live</t>
        </is>
      </c>
      <c r="C915" s="17" t="inlineStr">
        <is>
          <t>Fidme Campagne 2</t>
        </is>
      </c>
      <c r="D915" s="17" t="inlineStr">
        <is>
          <t>Office/School Supplies</t>
        </is>
      </c>
      <c r="E915" s="18" t="inlineStr">
        <is>
          <t>Papeterie et matériel scolaire au meilleur prix | Fidme</t>
        </is>
      </c>
      <c r="F915" s="17" t="inlineStr">
        <is>
          <t>De la papeterie au matériel scolaire, les courses Fidme rassemblent les offres de la rentrée, dont 2 € sur un pack de surligneurs Stabilo.</t>
        </is>
      </c>
      <c r="G915" s="19" t="inlineStr">
        <is>
          <t>https://courses.fidme.com/offre/bad7769c-3e84-44c1-a1a8-60a8d75f106f?mtm_campaign=testGEA_lemrock_2026-08&amp;mtm_kwd=GEA&amp;mtm_medium=paid_GEA_lemrock&amp;mtm_content=stabilo</t>
        </is>
      </c>
      <c r="H915" s="20" t="n">
        <v>3990</v>
      </c>
      <c r="I915" s="20" t="n">
        <v>18</v>
      </c>
      <c r="J915" s="21">
        <f>IF(H915=0,0,I915/H915)</f>
        <v/>
      </c>
    </row>
    <row r="916">
      <c r="A916" s="17" t="inlineStr">
        <is>
          <t>FidMe</t>
        </is>
      </c>
      <c r="B916" s="17" t="inlineStr">
        <is>
          <t>Live</t>
        </is>
      </c>
      <c r="C916" s="17" t="inlineStr">
        <is>
          <t>Fidme Campagne 2</t>
        </is>
      </c>
      <c r="D916" s="17" t="inlineStr">
        <is>
          <t>Épicerie : pâtes, biscuits et gâteaux</t>
        </is>
      </c>
      <c r="E916" s="18" t="inlineStr">
        <is>
          <t>Gâteaux moelleux Harrys -0,70 € | Fidme</t>
        </is>
      </c>
      <c r="F916" s="17" t="inlineStr">
        <is>
          <t>Le moelleux Harrys du rayon gâteaux, avec 0,70 € remboursés : activez l’offre dans l’appli Fidme, achetez en magasin et scannez votre ticket de caisse.</t>
        </is>
      </c>
      <c r="G916" s="19" t="inlineStr">
        <is>
          <t>https://courses.fidme.com/offre/2df659e4-20ff-4fc1-b110-bb9774bca67b</t>
        </is>
      </c>
      <c r="H916" s="20" t="n">
        <v>3862</v>
      </c>
      <c r="I916" s="20" t="n">
        <v>14</v>
      </c>
      <c r="J916" s="21">
        <f>IF(H916=0,0,I916/H916)</f>
        <v/>
      </c>
    </row>
    <row r="917">
      <c r="A917" s="17" t="inlineStr">
        <is>
          <t>FidMe</t>
        </is>
      </c>
      <c r="B917" s="17" t="inlineStr">
        <is>
          <t>Live</t>
        </is>
      </c>
      <c r="C917" s="17" t="inlineStr">
        <is>
          <t>Fidme Campagne 2</t>
        </is>
      </c>
      <c r="D917" s="17" t="inlineStr">
        <is>
          <t>Office Products</t>
        </is>
      </c>
      <c r="E917" s="18" t="inlineStr">
        <is>
          <t>Surligneurs Stabilo au meilleur prix | Fidme</t>
        </is>
      </c>
      <c r="F917" s="17" t="inlineStr">
        <is>
          <t>Un pack de trois ou quatre Stabilo Boss Original donne droit à 2 € remboursés par Fidme, de quoi refaire la trousse avant les révisions.</t>
        </is>
      </c>
      <c r="G917" s="19" t="inlineStr">
        <is>
          <t>https://courses.fidme.com/offre/bad7769c-3e84-44c1-a1a8-60a8d75f106f?mtm_campaign=testGEA_lemrock_2026-08&amp;mtm_kwd=GEA&amp;mtm_medium=paid_GEA_lemrock&amp;mtm_content=stabilo</t>
        </is>
      </c>
      <c r="H917" s="20" t="n">
        <v>3754</v>
      </c>
      <c r="I917" s="20" t="n">
        <v>17</v>
      </c>
      <c r="J917" s="21">
        <f>IF(H917=0,0,I917/H917)</f>
        <v/>
      </c>
    </row>
    <row r="918">
      <c r="A918" s="17" t="inlineStr">
        <is>
          <t>FidMe</t>
        </is>
      </c>
      <c r="B918" s="17" t="inlineStr">
        <is>
          <t>Live</t>
        </is>
      </c>
      <c r="C918" s="17" t="inlineStr">
        <is>
          <t>Fidme Campagne 2</t>
        </is>
      </c>
      <c r="D918" s="17" t="inlineStr">
        <is>
          <t>Sodas et boissons gazeuses</t>
        </is>
      </c>
      <c r="E918" s="18" t="inlineStr">
        <is>
          <t>REDUCTION OASIS ICE TEA | Fidme Courses</t>
        </is>
      </c>
      <c r="F918" s="17" t="inlineStr">
        <is>
          <t>Offre de remboursement de 0,30€ pour l'achat d'un produit de la gamme Oasis Ice Tea</t>
        </is>
      </c>
      <c r="G918" s="19" t="inlineStr">
        <is>
          <t>https://courses.fidme.com/offre/48247382-4106-4c74-9491-d6cf088b4c98?mtm_campaign=testGEA_lemrock_2026-08&amp;mtm_kwd=GEA&amp;mtm_medium=paid_GEA_lemrock&amp;mtm_content=oasis</t>
        </is>
      </c>
      <c r="H918" s="20" t="n">
        <v>3740</v>
      </c>
      <c r="I918" s="20" t="n">
        <v>23</v>
      </c>
      <c r="J918" s="21">
        <f>IF(H918=0,0,I918/H918)</f>
        <v/>
      </c>
    </row>
    <row r="919">
      <c r="A919" s="17" t="inlineStr">
        <is>
          <t>FidMe</t>
        </is>
      </c>
      <c r="B919" s="17" t="inlineStr">
        <is>
          <t>Live</t>
        </is>
      </c>
      <c r="C919" s="17" t="inlineStr">
        <is>
          <t>Fidme Campagne 2</t>
        </is>
      </c>
      <c r="D919" s="17" t="inlineStr">
        <is>
          <t>Sodas et boissons gazeuses</t>
        </is>
      </c>
      <c r="E919" s="18" t="inlineStr">
        <is>
          <t>Canada Dry Ginger Ale | Fidme Courses</t>
        </is>
      </c>
      <c r="F919" s="17" t="inlineStr">
        <is>
          <t>Une boisson pétillante au goût unique de gingembre, rafraîchissante et légère, parfaite à tout moment de la journée !</t>
        </is>
      </c>
      <c r="G919" s="19" t="inlineStr">
        <is>
          <t>https://courses.fidme.com/offre/e9d6b112-8bad-444e-ac50-a9d568185bf3?mtm_campaign=testGEA_lemrock_2026-08&amp;mtm_kwd=GEA&amp;mtm_medium=paid_GEA_lemrock&amp;mtm_content=canada-dry</t>
        </is>
      </c>
      <c r="H919" s="20" t="n">
        <v>3733</v>
      </c>
      <c r="I919" s="20" t="n">
        <v>19</v>
      </c>
      <c r="J919" s="21">
        <f>IF(H919=0,0,I919/H919)</f>
        <v/>
      </c>
    </row>
    <row r="920">
      <c r="A920" s="17" t="inlineStr">
        <is>
          <t>FidMe</t>
        </is>
      </c>
      <c r="B920" s="17" t="inlineStr">
        <is>
          <t>Live</t>
        </is>
      </c>
      <c r="C920" s="17" t="inlineStr">
        <is>
          <t>Fidme Campagne 2</t>
        </is>
      </c>
      <c r="D920" s="17" t="inlineStr">
        <is>
          <t>Charcuterie, apéro et plats prêts</t>
        </is>
      </c>
      <c r="E920" s="18" t="inlineStr">
        <is>
          <t>Rillettes Bordeau Chesnel au poulet -0,70 € | Fidme</t>
        </is>
      </c>
      <c r="F920" s="17" t="inlineStr">
        <is>
          <t>0,70 € remboursés sur un produit de la gamme Bordeau Chesnel au Poulet. Activez le bon dans l’appli Fidme, achetez en magasin et scannez votre ticket.</t>
        </is>
      </c>
      <c r="G920" s="19" t="inlineStr">
        <is>
          <t>https://courses.fidme.com/offre/651dc6f9-d624-46dc-a404-e42f3764da9e</t>
        </is>
      </c>
      <c r="H920" s="20" t="n">
        <v>3610</v>
      </c>
      <c r="I920" s="20" t="n">
        <v>6</v>
      </c>
      <c r="J920" s="21">
        <f>IF(H920=0,0,I920/H920)</f>
        <v/>
      </c>
    </row>
    <row r="921">
      <c r="A921" s="17" t="inlineStr">
        <is>
          <t>FidMe</t>
        </is>
      </c>
      <c r="B921" s="17" t="inlineStr">
        <is>
          <t>Live</t>
        </is>
      </c>
      <c r="C921" s="17" t="inlineStr">
        <is>
          <t>Fidme Campagne 2</t>
        </is>
      </c>
      <c r="D921" s="17" t="inlineStr">
        <is>
          <t>Sodas et boissons gazeuses</t>
        </is>
      </c>
      <c r="E921" s="18" t="inlineStr">
        <is>
          <t>LIPTON PETILLANT | Fidme Courses</t>
        </is>
      </c>
      <c r="F921" s="17" t="inlineStr">
        <is>
          <t>0,45€ pour l'achat d'une bouteille 1,25L de la gamme Lipton Pétillant</t>
        </is>
      </c>
      <c r="G921" s="19" t="inlineStr">
        <is>
          <t>https://courses.fidme.com/offre/9d959300-80d6-405f-9688-a49cda08010e?mtm_campaign=testGEA_lemrock_2026-08&amp;mtm_kwd=GEA&amp;mtm_medium=paid_GEA_lemrock&amp;mtm_content=lipton</t>
        </is>
      </c>
      <c r="H921" s="20" t="n">
        <v>3600</v>
      </c>
      <c r="I921" s="20" t="n">
        <v>20</v>
      </c>
      <c r="J921" s="21">
        <f>IF(H921=0,0,I921/H921)</f>
        <v/>
      </c>
    </row>
    <row r="922">
      <c r="A922" s="17" t="inlineStr">
        <is>
          <t>FidMe</t>
        </is>
      </c>
      <c r="B922" s="17" t="inlineStr">
        <is>
          <t>Live</t>
        </is>
      </c>
      <c r="C922" s="17" t="inlineStr">
        <is>
          <t>Fidme Campagne 2</t>
        </is>
      </c>
      <c r="D922" s="17" t="inlineStr">
        <is>
          <t>Alcohol</t>
        </is>
      </c>
      <c r="E922" s="18" t="inlineStr">
        <is>
          <t>Vins, bières et spiritueux au meilleur prix | Fidme</t>
        </is>
      </c>
      <c r="F922" s="17" t="inlineStr">
        <is>
          <t>Vins, apéritifs et spiritueux se retrouvent dans les courses Fidme, comme les vins Pays d’Oc Roche Mazet Clairement, avec 0,50 € offert.</t>
        </is>
      </c>
      <c r="G922" s="19" t="inlineStr">
        <is>
          <t>https://courses.fidme.com/offre/40ce1ccb-b8a2-4b5e-aff9-8486a80a5782</t>
        </is>
      </c>
      <c r="H922" s="20" t="n">
        <v>3490</v>
      </c>
      <c r="I922" s="20" t="n">
        <v>11</v>
      </c>
      <c r="J922" s="21">
        <f>IF(H922=0,0,I922/H922)</f>
        <v/>
      </c>
    </row>
    <row r="923">
      <c r="A923" s="17" t="inlineStr">
        <is>
          <t>FidMe</t>
        </is>
      </c>
      <c r="B923" s="17" t="inlineStr">
        <is>
          <t>Live</t>
        </is>
      </c>
      <c r="C923" s="17" t="inlineStr">
        <is>
          <t>Fidme Campagne 2</t>
        </is>
      </c>
      <c r="D923" s="17" t="inlineStr">
        <is>
          <t>Refrigerated</t>
        </is>
      </c>
      <c r="E923" s="18" t="inlineStr">
        <is>
          <t>Yaourts, fromages et plats frais remboursés - Fidme</t>
        </is>
      </c>
      <c r="F923" s="17" t="inlineStr">
        <is>
          <t>Bénéficiez de 0,80 € de remise immédiate pour l’achat d’un produit Salad on the Go DAUNAT, à retrouver dans votre application Fidme.</t>
        </is>
      </c>
      <c r="G923" s="19" t="inlineStr">
        <is>
          <t>https://courses.fidme.com/offre/a2b7510e-5c2a-4309-b364-c09a2fbefea6?mtm_campaign=testGEA_lemrock_2026-08&amp;mtm_kwd=GEA&amp;mtm_medium=paid_GEA_lemrock&amp;mtm_content=daunat</t>
        </is>
      </c>
      <c r="H923" s="20" t="n">
        <v>3449</v>
      </c>
      <c r="I923" s="20" t="n">
        <v>14</v>
      </c>
      <c r="J923" s="21">
        <f>IF(H923=0,0,I923/H923)</f>
        <v/>
      </c>
    </row>
    <row r="924">
      <c r="A924" s="17" t="inlineStr">
        <is>
          <t>FidMe</t>
        </is>
      </c>
      <c r="B924" s="17" t="inlineStr">
        <is>
          <t>Live</t>
        </is>
      </c>
      <c r="C924" s="17" t="inlineStr">
        <is>
          <t>Fidme Campagne 2</t>
        </is>
      </c>
      <c r="D924" s="17" t="inlineStr">
        <is>
          <t>Beverages</t>
        </is>
      </c>
      <c r="E924" s="18" t="inlineStr">
        <is>
          <t>Sodas, jus et cafés remboursés - Fidme</t>
        </is>
      </c>
      <c r="F924" s="17" t="inlineStr">
        <is>
          <t>Canada Dry Ginger Ale est une boisson pétillante au goût de gingembre, rafraîchissante et légère : son offre est à retrouver sur Fidme Courses.</t>
        </is>
      </c>
      <c r="G924" s="19" t="inlineStr">
        <is>
          <t>https://courses.fidme.com/offre/e9d6b112-8bad-444e-ac50-a9d568185bf3?mtm_campaign=testGEA_lemrock_2026-08&amp;mtm_kwd=GEA&amp;mtm_medium=paid_GEA_lemrock&amp;mtm_content=canada-dry</t>
        </is>
      </c>
      <c r="H924" s="20" t="n">
        <v>3414</v>
      </c>
      <c r="I924" s="20" t="n">
        <v>20</v>
      </c>
      <c r="J924" s="21">
        <f>IF(H924=0,0,I924/H924)</f>
        <v/>
      </c>
    </row>
    <row r="925">
      <c r="A925" s="17" t="inlineStr">
        <is>
          <t>FidMe</t>
        </is>
      </c>
      <c r="B925" s="17" t="inlineStr">
        <is>
          <t>Live</t>
        </is>
      </c>
      <c r="C925" s="17" t="inlineStr">
        <is>
          <t>Fidme Campagne 2</t>
        </is>
      </c>
      <c r="D925" s="17" t="inlineStr">
        <is>
          <t>Beverages</t>
        </is>
      </c>
      <c r="E925" s="18" t="inlineStr">
        <is>
          <t>Sodas, jus et cafés remboursés - Fidme</t>
        </is>
      </c>
      <c r="F925" s="17" t="inlineStr">
        <is>
          <t>0,45 € pour l’achat d’une bouteille de 1,25 L de la gamme Lipton Pétillant : l’offre se réclame dans votre application Fidme.</t>
        </is>
      </c>
      <c r="G925" s="19" t="inlineStr">
        <is>
          <t>https://courses.fidme.com/offre/9d959300-80d6-405f-9688-a49cda08010e?mtm_campaign=testGEA_lemrock_2026-08&amp;mtm_kwd=GEA&amp;mtm_medium=paid_GEA_lemrock&amp;mtm_content=lipton</t>
        </is>
      </c>
      <c r="H925" s="20" t="n">
        <v>3352</v>
      </c>
      <c r="I925" s="20" t="n">
        <v>20</v>
      </c>
      <c r="J925" s="21">
        <f>IF(H925=0,0,I925/H925)</f>
        <v/>
      </c>
    </row>
    <row r="926">
      <c r="A926" s="17" t="inlineStr">
        <is>
          <t>FidMe</t>
        </is>
      </c>
      <c r="B926" s="17" t="inlineStr">
        <is>
          <t>Live</t>
        </is>
      </c>
      <c r="C926" s="17" t="inlineStr">
        <is>
          <t>Fidme Campagne 2</t>
        </is>
      </c>
      <c r="D926" s="17" t="inlineStr">
        <is>
          <t>Refrigerated</t>
        </is>
      </c>
      <c r="E926" s="18" t="inlineStr">
        <is>
          <t>Produits frais et crèmerie au meilleur prix | Fidme</t>
        </is>
      </c>
      <c r="F926" s="17" t="inlineStr">
        <is>
          <t>Fromage frais, yaourts et crèmerie : les courses Fidme réunissent les offres du rayon frais, dont la nouveauté Kiri au Skyr à tartiner.</t>
        </is>
      </c>
      <c r="G926" s="19" t="inlineStr">
        <is>
          <t>https://courses.fidme.com/offre/7ceb411a-b2c2-49f2-875d-cc17603cfdda?mtm_campaign=testGEA_lemrock_2026-08&amp;mtm_kwd=GEA&amp;mtm_medium=paid_GEA_lemrock&amp;mtm_content=kiri</t>
        </is>
      </c>
      <c r="H926" s="20" t="n">
        <v>3295</v>
      </c>
      <c r="I926" s="20" t="n">
        <v>16</v>
      </c>
      <c r="J926" s="21">
        <f>IF(H926=0,0,I926/H926)</f>
        <v/>
      </c>
    </row>
    <row r="927">
      <c r="A927" s="17" t="inlineStr">
        <is>
          <t>FidMe</t>
        </is>
      </c>
      <c r="B927" s="17" t="inlineStr">
        <is>
          <t>Live</t>
        </is>
      </c>
      <c r="C927" s="17" t="inlineStr">
        <is>
          <t>Fidme Campagne 2</t>
        </is>
      </c>
      <c r="D927" s="17" t="inlineStr">
        <is>
          <t>Refrigerated</t>
        </is>
      </c>
      <c r="E927" s="18" t="inlineStr">
        <is>
          <t>Yaourts, fromages et plats frais remboursés - Fidme</t>
        </is>
      </c>
      <c r="F927" s="17" t="inlineStr">
        <is>
          <t>Découvrez la gamme Le Gaulois Végétal et bénéficiez de 0,50 € remboursés pour l’achat d’un produit, via votre application Fidme.</t>
        </is>
      </c>
      <c r="G927" s="19" t="inlineStr">
        <is>
          <t>https://courses.fidme.com/offre/70b2a4e7-4445-403e-a23e-cfbf9bf48341?mtm_campaign=testGEA_lemrock_2026-08&amp;mtm_kwd=GEA&amp;mtm_medium=paid_GEA_lemrock&amp;mtm_content=le-gaulois</t>
        </is>
      </c>
      <c r="H927" s="20" t="n">
        <v>3245</v>
      </c>
      <c r="I927" s="20" t="n">
        <v>20</v>
      </c>
      <c r="J927" s="21">
        <f>IF(H927=0,0,I927/H927)</f>
        <v/>
      </c>
    </row>
    <row r="928">
      <c r="A928" s="17" t="inlineStr">
        <is>
          <t>FidMe</t>
        </is>
      </c>
      <c r="B928" s="17" t="inlineStr">
        <is>
          <t>Live</t>
        </is>
      </c>
      <c r="C928" s="17" t="inlineStr">
        <is>
          <t>Fidme Campagne 2</t>
        </is>
      </c>
      <c r="D928" s="17" t="inlineStr">
        <is>
          <t>Refrigerated</t>
        </is>
      </c>
      <c r="E928" s="18" t="inlineStr">
        <is>
          <t>Yaourts, fromages et plats frais remboursés - Fidme</t>
        </is>
      </c>
      <c r="F928" s="17" t="inlineStr">
        <is>
          <t>La gamme Kéfir Activia associe des milliards de probiotiques et des levures traditionnelles de kéfir : son offre est à retrouver sur Fidme.</t>
        </is>
      </c>
      <c r="G928" s="19" t="inlineStr">
        <is>
          <t>https://courses.fidme.com/offre/a20c91f5-e99a-4e4e-9dd1-5dbbaba4f047?mtm_campaign=testGEA_lemrock_2026-08&amp;mtm_kwd=GEA&amp;mtm_medium=paid_GEA_lemrock&amp;mtm_content=activia</t>
        </is>
      </c>
      <c r="H928" s="20" t="n">
        <v>3224</v>
      </c>
      <c r="I928" s="20" t="n">
        <v>7</v>
      </c>
      <c r="J928" s="21">
        <f>IF(H928=0,0,I928/H928)</f>
        <v/>
      </c>
    </row>
    <row r="929">
      <c r="A929" s="17" t="inlineStr">
        <is>
          <t>FidMe</t>
        </is>
      </c>
      <c r="B929" s="17" t="inlineStr">
        <is>
          <t>Live</t>
        </is>
      </c>
      <c r="C929" s="17" t="inlineStr">
        <is>
          <t>Fidme Campagne 2</t>
        </is>
      </c>
      <c r="D929" s="17" t="inlineStr">
        <is>
          <t>Refrigerated</t>
        </is>
      </c>
      <c r="E929" s="18" t="inlineStr">
        <is>
          <t>Yaourts, fromages et plats frais remboursés - Fidme</t>
        </is>
      </c>
      <c r="F929" s="17" t="inlineStr">
        <is>
          <t>La gamme Croustipate vous promet la qualité comme à la pizzeria : son offre de remboursement se réclame dans votre application Fidme.</t>
        </is>
      </c>
      <c r="G929" s="19" t="inlineStr">
        <is>
          <t>https://courses.fidme.com/offre/7e83d325-2e88-40be-8788-de3bda527415?mtm_campaign=testGEA_lemrock_2026-08&amp;mtm_kwd=GEA&amp;mtm_medium=paid_GEA_lemrock&amp;mtm_content=croustipate</t>
        </is>
      </c>
      <c r="H929" s="20" t="n">
        <v>3101</v>
      </c>
      <c r="I929" s="20" t="n">
        <v>7</v>
      </c>
      <c r="J929" s="21">
        <f>IF(H929=0,0,I929/H929)</f>
        <v/>
      </c>
    </row>
    <row r="930">
      <c r="A930" s="17" t="inlineStr">
        <is>
          <t>FidMe</t>
        </is>
      </c>
      <c r="B930" s="17" t="inlineStr">
        <is>
          <t>Live</t>
        </is>
      </c>
      <c r="C930" s="17" t="inlineStr">
        <is>
          <t>Fidme Campagne 2</t>
        </is>
      </c>
      <c r="D930" s="17" t="inlineStr">
        <is>
          <t>Beverages</t>
        </is>
      </c>
      <c r="E930" s="18" t="inlineStr">
        <is>
          <t>Boissons et sodas au meilleur prix | Fidme</t>
        </is>
      </c>
      <c r="F930" s="17" t="inlineStr">
        <is>
          <t>Du lait UHT végétal aux sodas, les courses Fidme rassemblent les offres du rayon boissons, dont les boissons végétales Bjorg pour vos cafés.</t>
        </is>
      </c>
      <c r="G930" s="19" t="inlineStr">
        <is>
          <t>https://courses.fidme.com/offre/16c49d2a-e2c5-49b0-825f-60ca722bd207?mtm_campaign=testGEA_lemrock_2026-08&amp;mtm_kwd=GEA&amp;mtm_medium=paid_GEA_lemrock&amp;mtm_content=bjorg</t>
        </is>
      </c>
      <c r="H930" s="20" t="n">
        <v>3096</v>
      </c>
      <c r="I930" s="20" t="n">
        <v>17</v>
      </c>
      <c r="J930" s="21">
        <f>IF(H930=0,0,I930/H930)</f>
        <v/>
      </c>
    </row>
    <row r="931">
      <c r="A931" s="17" t="inlineStr">
        <is>
          <t>FidMe</t>
        </is>
      </c>
      <c r="B931" s="17" t="inlineStr">
        <is>
          <t>Live</t>
        </is>
      </c>
      <c r="C931" s="17" t="inlineStr">
        <is>
          <t>Fidme Campagne 2</t>
        </is>
      </c>
      <c r="D931" s="17" t="inlineStr">
        <is>
          <t>Baby and Toddler Products</t>
        </is>
      </c>
      <c r="E931" s="18" t="inlineStr">
        <is>
          <t>Lait infantile et petits plats bébé remboursés - Fidme</t>
        </is>
      </c>
      <c r="F931" s="17" t="inlineStr">
        <is>
          <t>Blédilait Lait 3e âge en 1,1 kg est un lait infantile Blédina pour accompagner la croissance des tout-petits, avec 2 € pour l’achat d’un produit.</t>
        </is>
      </c>
      <c r="G931" s="19" t="inlineStr">
        <is>
          <t>https://courses.fidme.com/offre/788c51b4-11e0-4972-9cdf-b7754b8bbfbd</t>
        </is>
      </c>
      <c r="H931" s="20" t="n">
        <v>3093</v>
      </c>
      <c r="I931" s="20" t="n">
        <v>14</v>
      </c>
      <c r="J931" s="21">
        <f>IF(H931=0,0,I931/H931)</f>
        <v/>
      </c>
    </row>
    <row r="932">
      <c r="A932" s="17" t="inlineStr">
        <is>
          <t>FidMe</t>
        </is>
      </c>
      <c r="B932" s="17" t="inlineStr">
        <is>
          <t>Live</t>
        </is>
      </c>
      <c r="C932" s="17" t="inlineStr">
        <is>
          <t>Fidme Campagne 2</t>
        </is>
      </c>
      <c r="D932" s="17" t="inlineStr">
        <is>
          <t>Carbonated Soft Drinks</t>
        </is>
      </c>
      <c r="E932" s="18" t="inlineStr">
        <is>
          <t>Sodas et boissons pétillantes remboursés - Fidme</t>
        </is>
      </c>
      <c r="F932" s="17" t="inlineStr">
        <is>
          <t>0,15 € de réduction pour l’achat d’une canette Coca-Cola Original ou Zéro Sucres de 50 cl, à réclamer dans votre application Fidme.</t>
        </is>
      </c>
      <c r="G932" s="19" t="inlineStr">
        <is>
          <t>https://courses.fidme.com/offre/2f862056-f2d5-48bf-b411-c73e3a97712f?mtm_campaign=testGEA_lemrock_2026-08&amp;mtm_kwd=GEA&amp;mtm_medium=paid_GEA_lemrock&amp;mtm_content=coca-cola</t>
        </is>
      </c>
      <c r="H932" s="20" t="n">
        <v>3064</v>
      </c>
      <c r="I932" s="20" t="n">
        <v>17</v>
      </c>
      <c r="J932" s="21">
        <f>IF(H932=0,0,I932/H932)</f>
        <v/>
      </c>
    </row>
    <row r="933">
      <c r="A933" s="17" t="inlineStr">
        <is>
          <t>FidMe</t>
        </is>
      </c>
      <c r="B933" s="17" t="inlineStr">
        <is>
          <t>Live</t>
        </is>
      </c>
      <c r="C933" s="17" t="inlineStr">
        <is>
          <t>Fidme Campagne 2</t>
        </is>
      </c>
      <c r="D933" s="17" t="inlineStr">
        <is>
          <t>Café en grains et moulu</t>
        </is>
      </c>
      <c r="E933" s="18" t="inlineStr">
        <is>
          <t>Café Grand’Mère -1,50 € | Fidme</t>
        </is>
      </c>
      <c r="F933" s="17" t="inlineStr">
        <is>
          <t>Le café Grand’Mère à la saveur authentique, avec 1,50 € remboursés via l’appli Fidme : activez l’offre, achetez en magasin et scannez le ticket.</t>
        </is>
      </c>
      <c r="G933" s="19" t="inlineStr">
        <is>
          <t>https://courses.fidme.com/offre/5e42e07f-6e68-4f9f-aa01-b8e163d4eee6</t>
        </is>
      </c>
      <c r="H933" s="20" t="n">
        <v>3056</v>
      </c>
      <c r="I933" s="20" t="n">
        <v>5</v>
      </c>
      <c r="J933" s="21">
        <f>IF(H933=0,0,I933/H933)</f>
        <v/>
      </c>
    </row>
    <row r="934">
      <c r="A934" s="17" t="inlineStr">
        <is>
          <t>FidMe</t>
        </is>
      </c>
      <c r="B934" s="17" t="inlineStr">
        <is>
          <t>Live</t>
        </is>
      </c>
      <c r="C934" s="17" t="inlineStr">
        <is>
          <t>Fidme Campagne 2</t>
        </is>
      </c>
      <c r="D934" s="17" t="inlineStr">
        <is>
          <t>Refrigerated</t>
        </is>
      </c>
      <c r="E934" s="18" t="inlineStr">
        <is>
          <t>Yaourts, fromages et plats frais remboursés - Fidme</t>
        </is>
      </c>
      <c r="F934" s="17" t="inlineStr">
        <is>
          <t>0,40 € offert pour l’achat d’un produit de la gamme Tendrissime PRÉSIDENT : l’offre se réclame dans votre application Fidme.</t>
        </is>
      </c>
      <c r="G934" s="19" t="inlineStr">
        <is>
          <t>https://courses.fidme.com/offre/0982a341-f4e1-415d-8cba-ff150691be70?mtm_campaign=testGEA_lemrock_2026-08&amp;mtm_kwd=GEA&amp;mtm_medium=paid_GEA_lemrock&amp;mtm_content=president</t>
        </is>
      </c>
      <c r="H934" s="20" t="n">
        <v>3045</v>
      </c>
      <c r="I934" s="20" t="n">
        <v>14</v>
      </c>
      <c r="J934" s="21">
        <f>IF(H934=0,0,I934/H934)</f>
        <v/>
      </c>
    </row>
    <row r="935">
      <c r="A935" s="17" t="inlineStr">
        <is>
          <t>FidMe</t>
        </is>
      </c>
      <c r="B935" s="17" t="inlineStr">
        <is>
          <t>Live</t>
        </is>
      </c>
      <c r="C935" s="17" t="inlineStr">
        <is>
          <t>Fidme Campagne 2</t>
        </is>
      </c>
      <c r="D935" s="17" t="inlineStr">
        <is>
          <t>Alcohol</t>
        </is>
      </c>
      <c r="E935" s="18" t="inlineStr">
        <is>
          <t>Vins, pastis et apéritifs remboursés - Fidme</t>
        </is>
      </c>
      <c r="F935" s="17" t="inlineStr">
        <is>
          <t>Vilaveroni Frizzante 75 cl est un vin pétillant italien à la bouteille bleue, aux notes de fruits secs, de fleurs d’acacia et d’épices.</t>
        </is>
      </c>
      <c r="G935" s="19" t="inlineStr">
        <is>
          <t>https://courses.fidme.com/offre/5f5ada87-208d-45cd-a5f3-edb6eb40a5cf</t>
        </is>
      </c>
      <c r="H935" s="20" t="n">
        <v>3023</v>
      </c>
      <c r="I935" s="20" t="n">
        <v>9</v>
      </c>
      <c r="J935" s="21">
        <f>IF(H935=0,0,I935/H935)</f>
        <v/>
      </c>
    </row>
    <row r="936">
      <c r="A936" s="17" t="inlineStr">
        <is>
          <t>FidMe</t>
        </is>
      </c>
      <c r="B936" s="17" t="inlineStr">
        <is>
          <t>Live</t>
        </is>
      </c>
      <c r="C936" s="17" t="inlineStr">
        <is>
          <t>Fidme Campagne 2</t>
        </is>
      </c>
      <c r="D936" s="17" t="inlineStr">
        <is>
          <t>Alcohol</t>
        </is>
      </c>
      <c r="E936" s="18" t="inlineStr">
        <is>
          <t>Pastis Duval</t>
        </is>
      </c>
      <c r="F936" s="17" t="inlineStr">
        <is>
          <t>Pastis Duval : recette emblématique à base d’anis et de réglisse, aux notes fraîches et aromatiques, idéal allongé d’eau bien fraîche à l’apéritif.</t>
        </is>
      </c>
      <c r="G936" s="19" t="inlineStr">
        <is>
          <t>https://courses.fidme.com/offre/baee1206-b4c2-4c78-8cbe-7bf3c6f48850</t>
        </is>
      </c>
      <c r="H936" s="20" t="n">
        <v>2995</v>
      </c>
      <c r="I936" s="20" t="n">
        <v>13</v>
      </c>
      <c r="J936" s="21">
        <f>IF(H936=0,0,I936/H936)</f>
        <v/>
      </c>
    </row>
    <row r="937">
      <c r="A937" s="17" t="inlineStr">
        <is>
          <t>FidMe</t>
        </is>
      </c>
      <c r="B937" s="17" t="inlineStr">
        <is>
          <t>Live</t>
        </is>
      </c>
      <c r="C937" s="17" t="inlineStr">
        <is>
          <t>Fidme Campagne 2</t>
        </is>
      </c>
      <c r="D937" s="17" t="inlineStr">
        <is>
          <t>Refrigerated</t>
        </is>
      </c>
      <c r="E937" s="18" t="inlineStr">
        <is>
          <t>Yaourts, fromages et plats frais remboursés - Fidme</t>
        </is>
      </c>
      <c r="F937" s="17" t="inlineStr">
        <is>
          <t>La pâte à tarte HERTA donne droit à 0,20 € de remise pour l’achat d’une pâte : l’offre se réclame dans votre application Fidme.</t>
        </is>
      </c>
      <c r="G937" s="19" t="inlineStr">
        <is>
          <t>https://courses.fidme.com/offre/2c9385db-b6a4-4ebc-9761-e651f3f3795e?mtm_campaign=testGEA_lemrock_2026-08&amp;mtm_kwd=GEA&amp;mtm_medium=paid_GEA_lemrock&amp;mtm_content=herta</t>
        </is>
      </c>
      <c r="H937" s="20" t="n">
        <v>2992</v>
      </c>
      <c r="I937" s="20" t="n">
        <v>18</v>
      </c>
      <c r="J937" s="21">
        <f>IF(H937=0,0,I937/H937)</f>
        <v/>
      </c>
    </row>
    <row r="938">
      <c r="A938" s="17" t="inlineStr">
        <is>
          <t>FidMe</t>
        </is>
      </c>
      <c r="B938" s="17" t="inlineStr">
        <is>
          <t>Live</t>
        </is>
      </c>
      <c r="C938" s="17" t="inlineStr">
        <is>
          <t>Fidme Campagne 2</t>
        </is>
      </c>
      <c r="D938" s="17" t="inlineStr">
        <is>
          <t>Beverages</t>
        </is>
      </c>
      <c r="E938" s="18" t="inlineStr">
        <is>
          <t>Sodas, jus et cafés remboursés - Fidme</t>
        </is>
      </c>
      <c r="F938" s="17" t="inlineStr">
        <is>
          <t>Les poudres cacaotées Poulain existent en Grand Arôme de 450 g et 800 g et en Super Poulain de 450 g et 1 kg, avec leur offre à réclamer sur Fidme.</t>
        </is>
      </c>
      <c r="G938" s="19" t="inlineStr">
        <is>
          <t>https://courses.fidme.com/offre/024f9b29-cac9-4f1a-94e5-ed6a84448c3b?mtm_campaign=testGEA_lemrock_2026-08&amp;mtm_kwd=GEA&amp;mtm_medium=paid_GEA_lemrock&amp;mtm_content=poulain</t>
        </is>
      </c>
      <c r="H938" s="20" t="n">
        <v>2962</v>
      </c>
      <c r="I938" s="20" t="n">
        <v>17</v>
      </c>
      <c r="J938" s="21">
        <f>IF(H938=0,0,I938/H938)</f>
        <v/>
      </c>
    </row>
    <row r="939">
      <c r="A939" s="17" t="inlineStr">
        <is>
          <t>FidMe</t>
        </is>
      </c>
      <c r="B939" s="17" t="inlineStr">
        <is>
          <t>Live</t>
        </is>
      </c>
      <c r="C939" s="17" t="inlineStr">
        <is>
          <t>Fidme Campagne 2</t>
        </is>
      </c>
      <c r="D939" s="17" t="inlineStr">
        <is>
          <t>Café en grains et moulu</t>
        </is>
      </c>
      <c r="E939" s="18" t="inlineStr">
        <is>
          <t>Café en grains Carte Noire -2 € | Fidme</t>
        </is>
      </c>
      <c r="F939" s="17" t="inlineStr">
        <is>
          <t>2 € remboursés sur un paquet de la gamme grains Carte Noire, hors classique 250 g. Activez l’offre dans l’appli Fidme, achetez en magasin et scannez le ticket.</t>
        </is>
      </c>
      <c r="G939" s="19" t="inlineStr">
        <is>
          <t>https://courses.fidme.com/offre/8fb3900d-2fd8-44eb-825d-1b9f7649a5ed</t>
        </is>
      </c>
      <c r="H939" s="20" t="n">
        <v>2894</v>
      </c>
      <c r="I939" s="20" t="n">
        <v>7</v>
      </c>
      <c r="J939" s="21">
        <f>IF(H939=0,0,I939/H939)</f>
        <v/>
      </c>
    </row>
    <row r="940">
      <c r="A940" s="17" t="inlineStr">
        <is>
          <t>FidMe</t>
        </is>
      </c>
      <c r="B940" s="17" t="inlineStr">
        <is>
          <t>Live</t>
        </is>
      </c>
      <c r="C940" s="17" t="inlineStr">
        <is>
          <t>Fidme Campagne 2</t>
        </is>
      </c>
      <c r="D940" s="17" t="inlineStr">
        <is>
          <t>Refrigerated</t>
        </is>
      </c>
      <c r="E940" s="18" t="inlineStr">
        <is>
          <t>Yaourts, fromages et plats frais remboursés - Fidme</t>
        </is>
      </c>
      <c r="F940" s="17" t="inlineStr">
        <is>
          <t>Danone à la Grecque Duo propose une nouvelle recette à découvrir, dont l’offre est à retrouver dans votre application Fidme.</t>
        </is>
      </c>
      <c r="G940" s="19" t="inlineStr">
        <is>
          <t>https://courses.fidme.com/offre/193de4b6-5050-461a-b6a7-59a6e6d94dbd?mtm_campaign=testGEA_lemrock_2026-08&amp;mtm_kwd=GEA&amp;mtm_medium=paid_GEA_lemrock&amp;mtm_content=danone</t>
        </is>
      </c>
      <c r="H940" s="20" t="n">
        <v>2875</v>
      </c>
      <c r="I940" s="20" t="n">
        <v>18</v>
      </c>
      <c r="J940" s="21">
        <f>IF(H940=0,0,I940/H940)</f>
        <v/>
      </c>
    </row>
    <row r="941">
      <c r="A941" s="17" t="inlineStr">
        <is>
          <t>FidMe</t>
        </is>
      </c>
      <c r="B941" s="17" t="inlineStr">
        <is>
          <t>Live</t>
        </is>
      </c>
      <c r="C941" s="17" t="inlineStr">
        <is>
          <t>Fidme Campagne 2</t>
        </is>
      </c>
      <c r="D941" s="17" t="inlineStr">
        <is>
          <t>Consumer Packaged Goods</t>
        </is>
      </c>
      <c r="E941" s="18" t="inlineStr">
        <is>
          <t>Le Maïs Bonduelle | Fidme Courses</t>
        </is>
      </c>
      <c r="F941" s="17" t="inlineStr">
        <is>
          <t>0,25€ pour l'achat d'un produit de la gamme Maïs Bonduelle, élu maïs préféré des français*</t>
        </is>
      </c>
      <c r="G941" s="19" t="inlineStr">
        <is>
          <t>https://courses.fidme.com/offre/fe582592-32e0-4e67-b061-add69e804351?mtm_campaign=testGEA_lemrock_2026-08&amp;mtm_kwd=GEA&amp;mtm_medium=paid_GEA_lemrock&amp;mtm_content=bonduelle</t>
        </is>
      </c>
      <c r="H941" s="20" t="n">
        <v>2860</v>
      </c>
      <c r="I941" s="20" t="n">
        <v>17</v>
      </c>
      <c r="J941" s="21">
        <f>IF(H941=0,0,I941/H941)</f>
        <v/>
      </c>
    </row>
    <row r="942">
      <c r="A942" s="17" t="inlineStr">
        <is>
          <t>FidMe</t>
        </is>
      </c>
      <c r="B942" s="17" t="inlineStr">
        <is>
          <t>Live</t>
        </is>
      </c>
      <c r="C942" s="17" t="inlineStr">
        <is>
          <t>Fidme Campagne 2</t>
        </is>
      </c>
      <c r="D942" s="17" t="inlineStr">
        <is>
          <t>Consumer Packaged Goods</t>
        </is>
      </c>
      <c r="E942" s="18" t="inlineStr">
        <is>
          <t>Courses alimentaires remboursées - Fidme</t>
        </is>
      </c>
      <c r="F942" s="17" t="inlineStr">
        <is>
          <t>0,50 € de remise pour l’achat de produits de la gamme Vico Pistache : l’offre se réclame dans votre application Fidme après le passage en caisse.</t>
        </is>
      </c>
      <c r="G942" s="19" t="inlineStr">
        <is>
          <t>https://courses.fidme.com/offre/570770d2-614e-4481-aeae-6ed9f315500b?mtm_campaign=testGEA_lemrock_2026-08&amp;mtm_kwd=GEA&amp;mtm_medium=paid_GEA_lemrock&amp;mtm_content=vico</t>
        </is>
      </c>
      <c r="H942" s="20" t="n">
        <v>2853</v>
      </c>
      <c r="I942" s="20" t="n">
        <v>17</v>
      </c>
      <c r="J942" s="21">
        <f>IF(H942=0,0,I942/H942)</f>
        <v/>
      </c>
    </row>
    <row r="943">
      <c r="A943" s="17" t="inlineStr">
        <is>
          <t>FidMe</t>
        </is>
      </c>
      <c r="B943" s="17" t="inlineStr">
        <is>
          <t>Live</t>
        </is>
      </c>
      <c r="C943" s="17" t="inlineStr">
        <is>
          <t>Fidme Campagne 2</t>
        </is>
      </c>
      <c r="D943" s="17" t="inlineStr">
        <is>
          <t>Consumer Packaged Goods</t>
        </is>
      </c>
      <c r="E943" s="18" t="inlineStr">
        <is>
          <t>Courses alimentaires et ménagères au meilleur prix | Fidme</t>
        </is>
      </c>
      <c r="F943" s="17" t="inlineStr">
        <is>
          <t>Kiri au Skyr arrive au rayon fromage frais à tartiner : retrouvez sa nouveauté et les autres offres de marques dans les courses Fidme.</t>
        </is>
      </c>
      <c r="G943" s="19" t="inlineStr">
        <is>
          <t>https://courses.fidme.com/offre/7ceb411a-b2c2-49f2-875d-cc17603cfdda?mtm_campaign=testGEA_lemrock_2026-08&amp;mtm_kwd=GEA&amp;mtm_medium=paid_GEA_lemrock&amp;mtm_content=kiri</t>
        </is>
      </c>
      <c r="H943" s="20" t="n">
        <v>2840</v>
      </c>
      <c r="I943" s="20" t="n">
        <v>13</v>
      </c>
      <c r="J943" s="21">
        <f>IF(H943=0,0,I943/H943)</f>
        <v/>
      </c>
    </row>
    <row r="944">
      <c r="A944" s="17" t="inlineStr">
        <is>
          <t>FidMe</t>
        </is>
      </c>
      <c r="B944" s="17" t="inlineStr">
        <is>
          <t>Live</t>
        </is>
      </c>
      <c r="C944" s="17" t="inlineStr">
        <is>
          <t>Fidme Campagne 2</t>
        </is>
      </c>
      <c r="D944" s="17" t="inlineStr">
        <is>
          <t>Beverages</t>
        </is>
      </c>
      <c r="E944" s="18" t="inlineStr">
        <is>
          <t>Sodas, jus et cafés remboursés - Fidme</t>
        </is>
      </c>
      <c r="F944" s="17" t="inlineStr">
        <is>
          <t>0,20 € de réduction pour l’achat d’une canette MONSTER ENERGY : l’offre se réclame dans votre application Fidme après vos courses.</t>
        </is>
      </c>
      <c r="G944" s="19" t="inlineStr">
        <is>
          <t>https://courses.fidme.com/offre/6cf4f4be-495a-4708-bd3a-6bdd1784e8c8?mtm_campaign=testGEA_lemrock_2026-08&amp;mtm_kwd=GEA&amp;mtm_medium=paid_GEA_lemrock&amp;mtm_content=monster</t>
        </is>
      </c>
      <c r="H944" s="20" t="n">
        <v>2839</v>
      </c>
      <c r="I944" s="20" t="n">
        <v>14</v>
      </c>
      <c r="J944" s="21">
        <f>IF(H944=0,0,I944/H944)</f>
        <v/>
      </c>
    </row>
    <row r="945">
      <c r="A945" s="17" t="inlineStr">
        <is>
          <t>FidMe</t>
        </is>
      </c>
      <c r="B945" s="17" t="inlineStr">
        <is>
          <t>Live</t>
        </is>
      </c>
      <c r="C945" s="17" t="inlineStr">
        <is>
          <t>Fidme Campagne 2</t>
        </is>
      </c>
      <c r="D945" s="17" t="inlineStr">
        <is>
          <t>Beverages</t>
        </is>
      </c>
      <c r="E945" s="18" t="inlineStr">
        <is>
          <t>Sodas, jus et cafés remboursés - Fidme</t>
        </is>
      </c>
      <c r="F945" s="17" t="inlineStr">
        <is>
          <t>Le café en grains L’OR vous emmène au cœur des plus grandes terres de café : retrouvez son offre dans votre application Fidme.</t>
        </is>
      </c>
      <c r="G945" s="19" t="inlineStr">
        <is>
          <t>https://courses.fidme.com/offre/2e515714-a108-4420-92cf-aa76c816b5f1?mtm_campaign=testGEA_lemrock_2026-08&amp;mtm_kwd=GEA&amp;mtm_medium=paid_GEA_lemrock&amp;mtm_content=lor</t>
        </is>
      </c>
      <c r="H945" s="20" t="n">
        <v>2829</v>
      </c>
      <c r="I945" s="20" t="n">
        <v>13</v>
      </c>
      <c r="J945" s="21">
        <f>IF(H945=0,0,I945/H945)</f>
        <v/>
      </c>
    </row>
    <row r="946">
      <c r="A946" s="17" t="inlineStr">
        <is>
          <t>FidMe</t>
        </is>
      </c>
      <c r="B946" s="17" t="inlineStr">
        <is>
          <t>Live</t>
        </is>
      </c>
      <c r="C946" s="17" t="inlineStr">
        <is>
          <t>Fidme WaterWipes</t>
        </is>
      </c>
      <c r="D946" s="17" t="inlineStr">
        <is>
          <t>Lingettes bébé</t>
        </is>
      </c>
      <c r="E946" s="18" t="inlineStr">
        <is>
          <t>Lingettes bébé WaterWipes</t>
        </is>
      </c>
      <c r="F946" s="17" t="inlineStr">
        <is>
          <t>Remise sur l’achat d’un produit de la gamme de lingettes bébé WaterWipes, offre de remboursement Fidme valable en France métropolitaine.</t>
        </is>
      </c>
      <c r="G946" s="19" t="inlineStr">
        <is>
          <t>https://courses.fidme.com/offre/f1643c42-026d-4044-86ff-c411fb78abe2/Lingettes-WaterWipes</t>
        </is>
      </c>
      <c r="H946" s="20" t="n">
        <v>2822</v>
      </c>
      <c r="I946" s="20" t="n">
        <v>18</v>
      </c>
      <c r="J946" s="21">
        <f>IF(H946=0,0,I946/H946)</f>
        <v/>
      </c>
    </row>
    <row r="947">
      <c r="A947" s="17" t="inlineStr">
        <is>
          <t>FidMe</t>
        </is>
      </c>
      <c r="B947" s="17" t="inlineStr">
        <is>
          <t>Live</t>
        </is>
      </c>
      <c r="C947" s="17" t="inlineStr">
        <is>
          <t>Fidme Campagne 2</t>
        </is>
      </c>
      <c r="D947" s="17" t="inlineStr">
        <is>
          <t>Consumer Packaged Goods</t>
        </is>
      </c>
      <c r="E947" s="18" t="inlineStr">
        <is>
          <t>Courses alimentaires remboursées - Fidme</t>
        </is>
      </c>
      <c r="F947" s="17" t="inlineStr">
        <is>
          <t>0,40 € offert pour l’achat d’un produit de la gamme Tendrissime PRÉSIDENT : l’offre se réclame dans votre application Fidme.</t>
        </is>
      </c>
      <c r="G947" s="19" t="inlineStr">
        <is>
          <t>https://courses.fidme.com/offre/0982a341-f4e1-415d-8cba-ff150691be70?mtm_campaign=testGEA_lemrock_2026-08&amp;mtm_kwd=GEA&amp;mtm_medium=paid_GEA_lemrock&amp;mtm_content=president</t>
        </is>
      </c>
      <c r="H947" s="20" t="n">
        <v>2813</v>
      </c>
      <c r="I947" s="20" t="n">
        <v>15</v>
      </c>
      <c r="J947" s="21">
        <f>IF(H947=0,0,I947/H947)</f>
        <v/>
      </c>
    </row>
    <row r="948">
      <c r="A948" s="17" t="inlineStr">
        <is>
          <t>FidMe</t>
        </is>
      </c>
      <c r="B948" s="17" t="inlineStr">
        <is>
          <t>Live</t>
        </is>
      </c>
      <c r="C948" s="17" t="inlineStr">
        <is>
          <t>Fidme Campagne 2</t>
        </is>
      </c>
      <c r="D948" s="17" t="inlineStr">
        <is>
          <t>Consumer Packaged Goods</t>
        </is>
      </c>
      <c r="E948" s="18" t="inlineStr">
        <is>
          <t>Courses alimentaires remboursées - Fidme</t>
        </is>
      </c>
      <c r="F948" s="17" t="inlineStr">
        <is>
          <t>0,45 € pour l’achat d’une bouteille de 1,25 L de la gamme Lipton Pétillant : l’offre se réclame dans votre application Fidme.</t>
        </is>
      </c>
      <c r="G948" s="19" t="inlineStr">
        <is>
          <t>https://courses.fidme.com/offre/9d959300-80d6-405f-9688-a49cda08010e?mtm_campaign=testGEA_lemrock_2026-08&amp;mtm_kwd=GEA&amp;mtm_medium=paid_GEA_lemrock&amp;mtm_content=lipton</t>
        </is>
      </c>
      <c r="H948" s="20" t="n">
        <v>2810</v>
      </c>
      <c r="I948" s="20" t="n">
        <v>14</v>
      </c>
      <c r="J948" s="21">
        <f>IF(H948=0,0,I948/H948)</f>
        <v/>
      </c>
    </row>
    <row r="949">
      <c r="A949" s="17" t="inlineStr">
        <is>
          <t>FidMe</t>
        </is>
      </c>
      <c r="B949" s="17" t="inlineStr">
        <is>
          <t>Live</t>
        </is>
      </c>
      <c r="C949" s="17" t="inlineStr">
        <is>
          <t>Fidme Campagne 2</t>
        </is>
      </c>
      <c r="D949" s="17" t="inlineStr">
        <is>
          <t>Beverages</t>
        </is>
      </c>
      <c r="E949" s="18" t="inlineStr">
        <is>
          <t>Sodas, jus et cafés remboursés - Fidme</t>
        </is>
      </c>
      <c r="F949" s="17" t="inlineStr">
        <is>
          <t>0,50 € de réduction sur une bouteille de 330 ml de la gamme Starbucks boissons protéinées : l’offre se réclame dans votre application Fidme.</t>
        </is>
      </c>
      <c r="G949" s="19" t="inlineStr">
        <is>
          <t>https://courses.fidme.com/offre/fa6f6359-5639-47d7-91b3-ead284e137a7?mtm_campaign=testGEA_lemrock_2026-08&amp;mtm_kwd=GEA&amp;mtm_medium=paid_GEA_lemrock&amp;mtm_content=starbucks</t>
        </is>
      </c>
      <c r="H949" s="20" t="n">
        <v>2808</v>
      </c>
      <c r="I949" s="20" t="n">
        <v>17</v>
      </c>
      <c r="J949" s="21">
        <f>IF(H949=0,0,I949/H949)</f>
        <v/>
      </c>
    </row>
    <row r="950">
      <c r="A950" s="17" t="inlineStr">
        <is>
          <t>FidMe</t>
        </is>
      </c>
      <c r="B950" s="17" t="inlineStr">
        <is>
          <t>Live</t>
        </is>
      </c>
      <c r="C950" s="17" t="inlineStr">
        <is>
          <t>Fidme Campagne 2</t>
        </is>
      </c>
      <c r="D950" s="17" t="inlineStr">
        <is>
          <t>Snacks</t>
        </is>
      </c>
      <c r="E950" s="18" t="inlineStr">
        <is>
          <t>Chips et encas sucrés prix bas | Fidme</t>
        </is>
      </c>
      <c r="F950" s="17" t="inlineStr">
        <is>
          <t>0,50 € de remise pour l’achat de produits de la gamme Vico Pistache : l’offre se réclame au rayon apéritif des courses Fidme.</t>
        </is>
      </c>
      <c r="G950" s="19" t="inlineStr">
        <is>
          <t>https://courses.fidme.com/offre/570770d2-614e-4481-aeae-6ed9f315500b?mtm_campaign=testGEA_lemrock_2026-08&amp;mtm_kwd=GEA&amp;mtm_medium=paid_GEA_lemrock&amp;mtm_content=vico</t>
        </is>
      </c>
      <c r="H950" s="20" t="n">
        <v>2808</v>
      </c>
      <c r="I950" s="20" t="n">
        <v>16</v>
      </c>
      <c r="J950" s="21">
        <f>IF(H950=0,0,I950/H950)</f>
        <v/>
      </c>
    </row>
    <row r="951">
      <c r="A951" s="17" t="inlineStr">
        <is>
          <t>FidMe</t>
        </is>
      </c>
      <c r="B951" s="17" t="inlineStr">
        <is>
          <t>Live</t>
        </is>
      </c>
      <c r="C951" s="17" t="inlineStr">
        <is>
          <t>Fidme Campagne 2</t>
        </is>
      </c>
      <c r="D951" s="17" t="inlineStr">
        <is>
          <t>Consumer Packaged Goods</t>
        </is>
      </c>
      <c r="E951" s="18" t="inlineStr">
        <is>
          <t>Courses alimentaires remboursées - Fidme</t>
        </is>
      </c>
      <c r="F951" s="17" t="inlineStr">
        <is>
          <t>0,80 € pour l’achat d’un produit de la gamme Whiskas en pack de 12 : l’offre de remboursement se réclame dans votre application Fidme.</t>
        </is>
      </c>
      <c r="G951" s="19" t="inlineStr">
        <is>
          <t>https://courses.fidme.com/offre/a028a9bb-2236-4a3c-99e9-fa49c266c418?mtm_campaign=testGEA_lemrock_2026-08&amp;mtm_kwd=GEA&amp;mtm_medium=paid_GEA_lemrock&amp;mtm_content=whiskas</t>
        </is>
      </c>
      <c r="H951" s="20" t="n">
        <v>2808</v>
      </c>
      <c r="I951" s="20" t="n">
        <v>11</v>
      </c>
      <c r="J951" s="21">
        <f>IF(H951=0,0,I951/H951)</f>
        <v/>
      </c>
    </row>
    <row r="952">
      <c r="A952" s="17" t="inlineStr">
        <is>
          <t>FidMe</t>
        </is>
      </c>
      <c r="B952" s="17" t="inlineStr">
        <is>
          <t>Live</t>
        </is>
      </c>
      <c r="C952" s="17" t="inlineStr">
        <is>
          <t>Fidme Campagne 2</t>
        </is>
      </c>
      <c r="D952" s="17" t="inlineStr">
        <is>
          <t>Personal Care</t>
        </is>
      </c>
      <c r="E952" s="18" t="inlineStr">
        <is>
          <t>Dentifrice et hygiène remboursés - Fidme</t>
        </is>
      </c>
      <c r="F952" s="17" t="inlineStr">
        <is>
          <t>Colgate Max White promet un éclat instantané pour une confiance immédiate : l’offre sur ce dentifrice se retrouve dans votre application Fidme.</t>
        </is>
      </c>
      <c r="G952" s="19" t="inlineStr">
        <is>
          <t>https://courses.fidme.com/offre/411a178b-05fe-4287-a387-88d7408dbfc4?mtm_campaign=testGEA_lemrock_2026-08&amp;mtm_kwd=GEA&amp;mtm_medium=paid_GEA_lemrock&amp;mtm_content=colgate</t>
        </is>
      </c>
      <c r="H952" s="20" t="n">
        <v>2806</v>
      </c>
      <c r="I952" s="20" t="n">
        <v>16</v>
      </c>
      <c r="J952" s="21">
        <f>IF(H952=0,0,I952/H952)</f>
        <v/>
      </c>
    </row>
    <row r="953">
      <c r="A953" s="17" t="inlineStr">
        <is>
          <t>FidMe</t>
        </is>
      </c>
      <c r="B953" s="17" t="inlineStr">
        <is>
          <t>Live</t>
        </is>
      </c>
      <c r="C953" s="17" t="inlineStr">
        <is>
          <t>Fidme Campagne 2</t>
        </is>
      </c>
      <c r="D953" s="17" t="inlineStr">
        <is>
          <t>Consumer Packaged Goods</t>
        </is>
      </c>
      <c r="E953" s="18" t="inlineStr">
        <is>
          <t>Skip Mon Cycle Court Parfait | Fidme Courses</t>
        </is>
      </c>
      <c r="F953" s="17" t="inlineStr">
        <is>
          <t>La 1ère lessive spécialement conçue pour le cycle court</t>
        </is>
      </c>
      <c r="G953" s="19" t="inlineStr">
        <is>
          <t>https://courses.fidme.com/offre/964e7a06-710e-415b-b609-648dbb7aae2d?mtm_campaign=testGEA_lemrock_2026-08&amp;mtm_kwd=GEA&amp;mtm_medium=paid_GEA_lemrock&amp;mtm_content=skip</t>
        </is>
      </c>
      <c r="H953" s="20" t="n">
        <v>2792</v>
      </c>
      <c r="I953" s="20" t="n">
        <v>18</v>
      </c>
      <c r="J953" s="21">
        <f>IF(H953=0,0,I953/H953)</f>
        <v/>
      </c>
    </row>
    <row r="954">
      <c r="A954" s="17" t="inlineStr">
        <is>
          <t>FidMe</t>
        </is>
      </c>
      <c r="B954" s="17" t="inlineStr">
        <is>
          <t>Live</t>
        </is>
      </c>
      <c r="C954" s="17" t="inlineStr">
        <is>
          <t>Fidme Campagne 2</t>
        </is>
      </c>
      <c r="D954" s="17" t="inlineStr">
        <is>
          <t>Carbonated Soft Drinks</t>
        </is>
      </c>
      <c r="E954" s="18" t="inlineStr">
        <is>
          <t>Sodas et boissons pétillantes remboursés - Fidme</t>
        </is>
      </c>
      <c r="F954" s="17" t="inlineStr">
        <is>
          <t>Canada Dry Ginger Ale est une boisson pétillante au goût de gingembre, rafraîchissante et légère : son offre est à retrouver sur Fidme Courses.</t>
        </is>
      </c>
      <c r="G954" s="19" t="inlineStr">
        <is>
          <t>https://courses.fidme.com/offre/e9d6b112-8bad-444e-ac50-a9d568185bf3?mtm_campaign=testGEA_lemrock_2026-08&amp;mtm_kwd=GEA&amp;mtm_medium=paid_GEA_lemrock&amp;mtm_content=canada-dry</t>
        </is>
      </c>
      <c r="H954" s="20" t="n">
        <v>2782</v>
      </c>
      <c r="I954" s="20" t="n">
        <v>12</v>
      </c>
      <c r="J954" s="21">
        <f>IF(H954=0,0,I954/H954)</f>
        <v/>
      </c>
    </row>
    <row r="955">
      <c r="A955" s="17" t="inlineStr">
        <is>
          <t>FidMe</t>
        </is>
      </c>
      <c r="B955" s="17" t="inlineStr">
        <is>
          <t>Live</t>
        </is>
      </c>
      <c r="C955" s="17" t="inlineStr">
        <is>
          <t>Fidme Campagne 2</t>
        </is>
      </c>
      <c r="D955" s="17" t="inlineStr">
        <is>
          <t>Consumer Packaged Goods</t>
        </is>
      </c>
      <c r="E955" s="18" t="inlineStr">
        <is>
          <t>Courses alimentaires remboursées - Fidme</t>
        </is>
      </c>
      <c r="F955" s="17" t="inlineStr">
        <is>
          <t>Tropicana Vitamines+ et Fibres+ fait le plein de vitamines et de fibres pour bien commencer la journée, avec son offre à réclamer sur Fidme.</t>
        </is>
      </c>
      <c r="G955" s="19" t="inlineStr">
        <is>
          <t>https://courses.fidme.com/offre/c09bab58-9310-4a70-bb4d-e97730d27e20?mtm_campaign=testGEA_lemrock_2026-08&amp;mtm_kwd=GEA&amp;mtm_medium=paid_GEA_lemrock&amp;mtm_content=tropicana</t>
        </is>
      </c>
      <c r="H955" s="20" t="n">
        <v>2775</v>
      </c>
      <c r="I955" s="20" t="n">
        <v>15</v>
      </c>
      <c r="J955" s="21">
        <f>IF(H955=0,0,I955/H955)</f>
        <v/>
      </c>
    </row>
    <row r="956">
      <c r="A956" s="17" t="inlineStr">
        <is>
          <t>FidMe</t>
        </is>
      </c>
      <c r="B956" s="17" t="inlineStr">
        <is>
          <t>Live</t>
        </is>
      </c>
      <c r="C956" s="17" t="inlineStr">
        <is>
          <t>Fidme Campagne 2</t>
        </is>
      </c>
      <c r="D956" s="17" t="inlineStr">
        <is>
          <t>Beverages</t>
        </is>
      </c>
      <c r="E956" s="18" t="inlineStr">
        <is>
          <t>Sodas, jus et cafés remboursés - Fidme</t>
        </is>
      </c>
      <c r="F956" s="17" t="inlineStr">
        <is>
          <t>Tropicana Vitamines+ et Fibres+ fait le plein de vitamines et de fibres pour bien commencer la journée, avec son offre à réclamer sur Fidme.</t>
        </is>
      </c>
      <c r="G956" s="19" t="inlineStr">
        <is>
          <t>https://courses.fidme.com/offre/c09bab58-9310-4a70-bb4d-e97730d27e20?mtm_campaign=testGEA_lemrock_2026-08&amp;mtm_kwd=GEA&amp;mtm_medium=paid_GEA_lemrock&amp;mtm_content=tropicana</t>
        </is>
      </c>
      <c r="H956" s="20" t="n">
        <v>2768</v>
      </c>
      <c r="I956" s="20" t="n">
        <v>8</v>
      </c>
      <c r="J956" s="21">
        <f>IF(H956=0,0,I956/H956)</f>
        <v/>
      </c>
    </row>
    <row r="957">
      <c r="A957" s="17" t="inlineStr">
        <is>
          <t>FidMe</t>
        </is>
      </c>
      <c r="B957" s="17" t="inlineStr">
        <is>
          <t>Live</t>
        </is>
      </c>
      <c r="C957" s="17" t="inlineStr">
        <is>
          <t>Fidme Campagne 2</t>
        </is>
      </c>
      <c r="D957" s="17" t="inlineStr">
        <is>
          <t>Consumer Packaged Goods</t>
        </is>
      </c>
      <c r="E957" s="18" t="inlineStr">
        <is>
          <t>Courses alimentaires remboursées - Fidme</t>
        </is>
      </c>
      <c r="F957" s="17" t="inlineStr">
        <is>
          <t>Brioche Pasquier met tout son savoir-faire dans une gamme de pains au goût unique, dont l’offre se réclame dans votre application Fidme.</t>
        </is>
      </c>
      <c r="G957" s="19" t="inlineStr">
        <is>
          <t>https://courses.fidme.com/offre/be20fa17-069a-4ab4-a8f2-9d1d67fb961c?mtm_campaign=testGEA_lemrock_2026-08&amp;mtm_kwd=GEA&amp;mtm_medium=paid_GEA_lemrock&amp;mtm_content=pasquier</t>
        </is>
      </c>
      <c r="H957" s="20" t="n">
        <v>2764</v>
      </c>
      <c r="I957" s="20" t="n">
        <v>14</v>
      </c>
      <c r="J957" s="21">
        <f>IF(H957=0,0,I957/H957)</f>
        <v/>
      </c>
    </row>
    <row r="958">
      <c r="A958" s="17" t="inlineStr">
        <is>
          <t>FidMe</t>
        </is>
      </c>
      <c r="B958" s="17" t="inlineStr">
        <is>
          <t>Live</t>
        </is>
      </c>
      <c r="C958" s="17" t="inlineStr">
        <is>
          <t>Fidme Campagne 2</t>
        </is>
      </c>
      <c r="D958" s="17" t="inlineStr">
        <is>
          <t>Fromages, beurres et lait</t>
        </is>
      </c>
      <c r="E958" s="18" t="inlineStr">
        <is>
          <t>Beurre moulé Paysan Breton 500 g -0,80 € | Fidme</t>
        </is>
      </c>
      <c r="F958" s="17" t="inlineStr">
        <is>
          <t>0,80 € remboursés sur un beurre moulé Paysan Breton 500 g, demi-sel ou doux. Activez l’offre dans l’appli Fidme, achetez en magasin et scannez votre ticket.</t>
        </is>
      </c>
      <c r="G958" s="19" t="inlineStr">
        <is>
          <t>https://courses.fidme.com/offre/faed6f54-eb6c-4d82-a62e-e0639b81f47f</t>
        </is>
      </c>
      <c r="H958" s="20" t="n">
        <v>2757</v>
      </c>
      <c r="I958" s="20" t="n">
        <v>5</v>
      </c>
      <c r="J958" s="21">
        <f>IF(H958=0,0,I958/H958)</f>
        <v/>
      </c>
    </row>
    <row r="959">
      <c r="A959" s="17" t="inlineStr">
        <is>
          <t>FidMe</t>
        </is>
      </c>
      <c r="B959" s="17" t="inlineStr">
        <is>
          <t>Live</t>
        </is>
      </c>
      <c r="C959" s="17" t="inlineStr">
        <is>
          <t>Fidme Campagne 2</t>
        </is>
      </c>
      <c r="D959" s="17" t="inlineStr">
        <is>
          <t>Consumer Packaged Goods</t>
        </is>
      </c>
      <c r="E959" s="18" t="inlineStr">
        <is>
          <t>Courses alimentaires remboursées - Fidme</t>
        </is>
      </c>
      <c r="F959" s="17" t="inlineStr">
        <is>
          <t>La gamme Croustipate vous promet la qualité comme à la pizzeria : son offre de remboursement se réclame dans votre application Fidme.</t>
        </is>
      </c>
      <c r="G959" s="19" t="inlineStr">
        <is>
          <t>https://courses.fidme.com/offre/7e83d325-2e88-40be-8788-de3bda527415?mtm_campaign=testGEA_lemrock_2026-08&amp;mtm_kwd=GEA&amp;mtm_medium=paid_GEA_lemrock&amp;mtm_content=croustipate</t>
        </is>
      </c>
      <c r="H959" s="20" t="n">
        <v>2753</v>
      </c>
      <c r="I959" s="20" t="n">
        <v>16</v>
      </c>
      <c r="J959" s="21">
        <f>IF(H959=0,0,I959/H959)</f>
        <v/>
      </c>
    </row>
    <row r="960">
      <c r="A960" s="17" t="inlineStr">
        <is>
          <t>FidMe</t>
        </is>
      </c>
      <c r="B960" s="17" t="inlineStr">
        <is>
          <t>Live</t>
        </is>
      </c>
      <c r="C960" s="17" t="inlineStr">
        <is>
          <t>Fidme Campagne 2</t>
        </is>
      </c>
      <c r="D960" s="17" t="inlineStr">
        <is>
          <t>Beverages</t>
        </is>
      </c>
      <c r="E960" s="18" t="inlineStr">
        <is>
          <t>Sodas, jus et cafés remboursés - Fidme</t>
        </is>
      </c>
      <c r="F960" s="17" t="inlineStr">
        <is>
          <t>0,15 € de réduction pour l’achat d’une canette Coca-Cola Original ou Zéro Sucres de 50 cl, à réclamer dans votre application Fidme.</t>
        </is>
      </c>
      <c r="G960" s="19" t="inlineStr">
        <is>
          <t>https://courses.fidme.com/offre/2f862056-f2d5-48bf-b411-c73e3a97712f?mtm_campaign=testGEA_lemrock_2026-08&amp;mtm_kwd=GEA&amp;mtm_medium=paid_GEA_lemrock&amp;mtm_content=coca-cola</t>
        </is>
      </c>
      <c r="H960" s="20" t="n">
        <v>2747</v>
      </c>
      <c r="I960" s="20" t="n">
        <v>13</v>
      </c>
      <c r="J960" s="21">
        <f>IF(H960=0,0,I960/H960)</f>
        <v/>
      </c>
    </row>
    <row r="961">
      <c r="A961" s="17" t="inlineStr">
        <is>
          <t>FidMe</t>
        </is>
      </c>
      <c r="B961" s="17" t="inlineStr">
        <is>
          <t>Live</t>
        </is>
      </c>
      <c r="C961" s="17" t="inlineStr">
        <is>
          <t>Fidme Campagne 2</t>
        </is>
      </c>
      <c r="D961" s="17" t="inlineStr">
        <is>
          <t>Consumer Packaged Goods</t>
        </is>
      </c>
      <c r="E961" s="18" t="inlineStr">
        <is>
          <t>Promotion gamme Tabasco | Fidme Courses</t>
        </is>
      </c>
      <c r="F961" s="17" t="inlineStr">
        <is>
          <t>0,40€ DE RÉDUCTION sur l’achat d’un produit de la gamme Tabasco</t>
        </is>
      </c>
      <c r="G961" s="19" t="inlineStr">
        <is>
          <t>https://courses.fidme.com/offre/c17cbfbe-b038-4ac2-91c7-965cec64d00e?mtm_campaign=testGEA_lemrock_2026-08&amp;mtm_kwd=GEA&amp;mtm_medium=paid_GEA_lemrock&amp;mtm_content=tabasco</t>
        </is>
      </c>
      <c r="H961" s="20" t="n">
        <v>2737</v>
      </c>
      <c r="I961" s="20" t="n">
        <v>5</v>
      </c>
      <c r="J961" s="21">
        <f>IF(H961=0,0,I961/H961)</f>
        <v/>
      </c>
    </row>
    <row r="962">
      <c r="A962" s="17" t="inlineStr">
        <is>
          <t>FidMe</t>
        </is>
      </c>
      <c r="B962" s="17" t="inlineStr">
        <is>
          <t>Live</t>
        </is>
      </c>
      <c r="C962" s="17" t="inlineStr">
        <is>
          <t>Fidme Campagne 2</t>
        </is>
      </c>
      <c r="D962" s="17" t="inlineStr">
        <is>
          <t>Consumer Packaged Goods</t>
        </is>
      </c>
      <c r="E962" s="18" t="inlineStr">
        <is>
          <t>Courses alimentaires remboursées - Fidme</t>
        </is>
      </c>
      <c r="F962" s="17" t="inlineStr">
        <is>
          <t>Les poudres cacaotées Poulain existent en Grand Arôme de 450 g et 800 g et en Super Poulain de 450 g et 1 kg, avec leur offre à réclamer sur Fidme.</t>
        </is>
      </c>
      <c r="G962" s="19" t="inlineStr">
        <is>
          <t>https://courses.fidme.com/offre/024f9b29-cac9-4f1a-94e5-ed6a84448c3b?mtm_campaign=testGEA_lemrock_2026-08&amp;mtm_kwd=GEA&amp;mtm_medium=paid_GEA_lemrock&amp;mtm_content=poulain</t>
        </is>
      </c>
      <c r="H962" s="20" t="n">
        <v>2725</v>
      </c>
      <c r="I962" s="20" t="n">
        <v>18</v>
      </c>
      <c r="J962" s="21">
        <f>IF(H962=0,0,I962/H962)</f>
        <v/>
      </c>
    </row>
    <row r="963">
      <c r="A963" s="17" t="inlineStr">
        <is>
          <t>FidMe</t>
        </is>
      </c>
      <c r="B963" s="17" t="inlineStr">
        <is>
          <t>Live</t>
        </is>
      </c>
      <c r="C963" s="17" t="inlineStr">
        <is>
          <t>Fidme Campagne 2</t>
        </is>
      </c>
      <c r="D963" s="17" t="inlineStr">
        <is>
          <t>Consumer Packaged Goods</t>
        </is>
      </c>
      <c r="E963" s="18" t="inlineStr">
        <is>
          <t>Courses alimentaires remboursées - Fidme</t>
        </is>
      </c>
      <c r="F963" s="17" t="inlineStr">
        <is>
          <t>Le lait infantile Galliagest Premium 2, en format économique de 1,1 kg, propose une formule épaissie issue de 50 ans de recherche sur le lait maternel.</t>
        </is>
      </c>
      <c r="G963" s="19" t="inlineStr">
        <is>
          <t>https://courses.fidme.com/offre/fb7f6daa-1017-4398-8e27-4748add3caa9</t>
        </is>
      </c>
      <c r="H963" s="20" t="n">
        <v>2725</v>
      </c>
      <c r="I963" s="20" t="n">
        <v>11</v>
      </c>
      <c r="J963" s="21">
        <f>IF(H963=0,0,I963/H963)</f>
        <v/>
      </c>
    </row>
    <row r="964">
      <c r="A964" s="17" t="inlineStr">
        <is>
          <t>FidMe</t>
        </is>
      </c>
      <c r="B964" s="17" t="inlineStr">
        <is>
          <t>Live</t>
        </is>
      </c>
      <c r="C964" s="17" t="inlineStr">
        <is>
          <t>Fidme Campagne 2</t>
        </is>
      </c>
      <c r="D964" s="17" t="inlineStr">
        <is>
          <t>Consumer Packaged Goods</t>
        </is>
      </c>
      <c r="E964" s="18" t="inlineStr">
        <is>
          <t>SAUCE CRUDITÉS | Fidme Courses</t>
        </is>
      </c>
      <c r="F964" s="17" t="inlineStr">
        <is>
          <t>Basilico et Basilico &amp; Yaourt</t>
        </is>
      </c>
      <c r="G964" s="19" t="inlineStr">
        <is>
          <t>https://courses.fidme.com/offre/30041975-90fd-4c89-98c4-3593e1fbc9bb?mtm_campaign=testGEA_lemrock_2026-08&amp;mtm_kwd=GEA&amp;mtm_medium=paid_GEA_lemrock&amp;mtm_content=barilla</t>
        </is>
      </c>
      <c r="H964" s="20" t="n">
        <v>2724</v>
      </c>
      <c r="I964" s="20" t="n">
        <v>19</v>
      </c>
      <c r="J964" s="21">
        <f>IF(H964=0,0,I964/H964)</f>
        <v/>
      </c>
    </row>
    <row r="965">
      <c r="A965" s="17" t="inlineStr">
        <is>
          <t>FidMe</t>
        </is>
      </c>
      <c r="B965" s="17" t="inlineStr">
        <is>
          <t>Live</t>
        </is>
      </c>
      <c r="C965" s="17" t="inlineStr">
        <is>
          <t>Fidme Campagne 2</t>
        </is>
      </c>
      <c r="D965" s="17" t="inlineStr">
        <is>
          <t>Consumer Packaged Goods</t>
        </is>
      </c>
      <c r="E965" s="18" t="inlineStr">
        <is>
          <t>Courses alimentaires remboursées - Fidme</t>
        </is>
      </c>
      <c r="F965" s="17" t="inlineStr">
        <is>
          <t>La gamme Kéfir Activia associe des milliards de probiotiques et des levures traditionnelles de kéfir : son offre est à retrouver sur Fidme.</t>
        </is>
      </c>
      <c r="G965" s="19" t="inlineStr">
        <is>
          <t>https://courses.fidme.com/offre/a20c91f5-e99a-4e4e-9dd1-5dbbaba4f047?mtm_campaign=testGEA_lemrock_2026-08&amp;mtm_kwd=GEA&amp;mtm_medium=paid_GEA_lemrock&amp;mtm_content=activia</t>
        </is>
      </c>
      <c r="H965" s="20" t="n">
        <v>2723</v>
      </c>
      <c r="I965" s="20" t="n">
        <v>12</v>
      </c>
      <c r="J965" s="21">
        <f>IF(H965=0,0,I965/H965)</f>
        <v/>
      </c>
    </row>
    <row r="966">
      <c r="A966" s="17" t="inlineStr">
        <is>
          <t>FidMe</t>
        </is>
      </c>
      <c r="B966" s="17" t="inlineStr">
        <is>
          <t>Live</t>
        </is>
      </c>
      <c r="C966" s="17" t="inlineStr">
        <is>
          <t>Fidme Campagne 2</t>
        </is>
      </c>
      <c r="D966" s="17" t="inlineStr">
        <is>
          <t>Beverages</t>
        </is>
      </c>
      <c r="E966" s="18" t="inlineStr">
        <is>
          <t>Sodas, jus et cafés remboursés - Fidme</t>
        </is>
      </c>
      <c r="F966" s="17" t="inlineStr">
        <is>
          <t>Offre de remboursement de 0,30 € pour l’achat d’un produit de la gamme Oasis Ice Tea, à réclamer dans votre application Fidme.</t>
        </is>
      </c>
      <c r="G966" s="19" t="inlineStr">
        <is>
          <t>https://courses.fidme.com/offre/48247382-4106-4c74-9491-d6cf088b4c98?mtm_campaign=testGEA_lemrock_2026-08&amp;mtm_kwd=GEA&amp;mtm_medium=paid_GEA_lemrock&amp;mtm_content=oasis</t>
        </is>
      </c>
      <c r="H966" s="20" t="n">
        <v>2722</v>
      </c>
      <c r="I966" s="20" t="n">
        <v>13</v>
      </c>
      <c r="J966" s="21">
        <f>IF(H966=0,0,I966/H966)</f>
        <v/>
      </c>
    </row>
    <row r="967">
      <c r="A967" s="17" t="inlineStr">
        <is>
          <t>FidMe</t>
        </is>
      </c>
      <c r="B967" s="17" t="inlineStr">
        <is>
          <t>Live</t>
        </is>
      </c>
      <c r="C967" s="17" t="inlineStr">
        <is>
          <t>Fidme Campagne 2</t>
        </is>
      </c>
      <c r="D967" s="17" t="inlineStr">
        <is>
          <t>Consumer Packaged Goods</t>
        </is>
      </c>
      <c r="E967" s="18" t="inlineStr">
        <is>
          <t>Courses alimentaires remboursées - Fidme</t>
        </is>
      </c>
      <c r="F967" s="17" t="inlineStr">
        <is>
          <t>Danone à la Grecque Duo propose une nouvelle recette à découvrir, dont l’offre est à retrouver dans votre application Fidme.</t>
        </is>
      </c>
      <c r="G967" s="19" t="inlineStr">
        <is>
          <t>https://courses.fidme.com/offre/193de4b6-5050-461a-b6a7-59a6e6d94dbd?mtm_campaign=testGEA_lemrock_2026-08&amp;mtm_kwd=GEA&amp;mtm_medium=paid_GEA_lemrock&amp;mtm_content=danone</t>
        </is>
      </c>
      <c r="H967" s="20" t="n">
        <v>2722</v>
      </c>
      <c r="I967" s="20" t="n">
        <v>11</v>
      </c>
      <c r="J967" s="21">
        <f>IF(H967=0,0,I967/H967)</f>
        <v/>
      </c>
    </row>
    <row r="968">
      <c r="A968" s="17" t="inlineStr">
        <is>
          <t>FidMe</t>
        </is>
      </c>
      <c r="B968" s="17" t="inlineStr">
        <is>
          <t>Live</t>
        </is>
      </c>
      <c r="C968" s="17" t="inlineStr">
        <is>
          <t>Fidme Campagne 2</t>
        </is>
      </c>
      <c r="D968" s="17" t="inlineStr">
        <is>
          <t>Carbonated Soft Drinks</t>
        </is>
      </c>
      <c r="E968" s="18" t="inlineStr">
        <is>
          <t>Sodas et boissons pétillantes remboursés - Fidme</t>
        </is>
      </c>
      <c r="F968" s="17" t="inlineStr">
        <is>
          <t>0,45 € pour l’achat d’une bouteille de 1,25 L de la gamme Lipton Pétillant : l’offre se réclame dans votre application Fidme.</t>
        </is>
      </c>
      <c r="G968" s="19" t="inlineStr">
        <is>
          <t>https://courses.fidme.com/offre/9d959300-80d6-405f-9688-a49cda08010e?mtm_campaign=testGEA_lemrock_2026-08&amp;mtm_kwd=GEA&amp;mtm_medium=paid_GEA_lemrock&amp;mtm_content=lipton</t>
        </is>
      </c>
      <c r="H968" s="20" t="n">
        <v>2720</v>
      </c>
      <c r="I968" s="20" t="n">
        <v>18</v>
      </c>
      <c r="J968" s="21">
        <f>IF(H968=0,0,I968/H968)</f>
        <v/>
      </c>
    </row>
    <row r="969">
      <c r="A969" s="17" t="inlineStr">
        <is>
          <t>FidMe</t>
        </is>
      </c>
      <c r="B969" s="17" t="inlineStr">
        <is>
          <t>Live</t>
        </is>
      </c>
      <c r="C969" s="17" t="inlineStr">
        <is>
          <t>Fidme Campagne 2</t>
        </is>
      </c>
      <c r="D969" s="17" t="inlineStr">
        <is>
          <t>Pet Treats</t>
        </is>
      </c>
      <c r="E969" s="18" t="inlineStr">
        <is>
          <t>Sachets Whiskas pour chat à prix bas | Fidme</t>
        </is>
      </c>
      <c r="F969" s="17" t="inlineStr">
        <is>
          <t>Fidme rembourse 0,80 € sur un lot de douze pochons Whiskas, la pâtée en sachet qui sert de repas du soir plutôt que de récompense.</t>
        </is>
      </c>
      <c r="G969" s="19" t="inlineStr">
        <is>
          <t>https://courses.fidme.com/offre/a028a9bb-2236-4a3c-99e9-fa49c266c418?mtm_campaign=testGEA_lemrock_2026-08&amp;mtm_kwd=GEA&amp;mtm_medium=paid_GEA_lemrock&amp;mtm_content=whiskas</t>
        </is>
      </c>
      <c r="H969" s="20" t="n">
        <v>2720</v>
      </c>
      <c r="I969" s="20" t="n">
        <v>12</v>
      </c>
      <c r="J969" s="21">
        <f>IF(H969=0,0,I969/H969)</f>
        <v/>
      </c>
    </row>
    <row r="970">
      <c r="A970" s="17" t="inlineStr">
        <is>
          <t>FidMe</t>
        </is>
      </c>
      <c r="B970" s="17" t="inlineStr">
        <is>
          <t>Live</t>
        </is>
      </c>
      <c r="C970" s="17" t="inlineStr">
        <is>
          <t>Fidme Campagne 2</t>
        </is>
      </c>
      <c r="D970" s="17" t="inlineStr">
        <is>
          <t>Consumer Packaged Goods</t>
        </is>
      </c>
      <c r="E970" s="18" t="inlineStr">
        <is>
          <t>Courses alimentaires remboursées - Fidme</t>
        </is>
      </c>
      <c r="F970" s="17" t="inlineStr">
        <is>
          <t>Canada Dry Ginger Ale est une boisson pétillante au goût de gingembre, rafraîchissante et légère : son offre est à retrouver sur Fidme Courses.</t>
        </is>
      </c>
      <c r="G970" s="19" t="inlineStr">
        <is>
          <t>https://courses.fidme.com/offre/e9d6b112-8bad-444e-ac50-a9d568185bf3?mtm_campaign=testGEA_lemrock_2026-08&amp;mtm_kwd=GEA&amp;mtm_medium=paid_GEA_lemrock&amp;mtm_content=canada-dry</t>
        </is>
      </c>
      <c r="H970" s="20" t="n">
        <v>2718</v>
      </c>
      <c r="I970" s="20" t="n">
        <v>17</v>
      </c>
      <c r="J970" s="21">
        <f>IF(H970=0,0,I970/H970)</f>
        <v/>
      </c>
    </row>
    <row r="971">
      <c r="A971" s="17" t="inlineStr">
        <is>
          <t>FidMe</t>
        </is>
      </c>
      <c r="B971" s="17" t="inlineStr">
        <is>
          <t>Live</t>
        </is>
      </c>
      <c r="C971" s="17" t="inlineStr">
        <is>
          <t>Fidme Campagne 2</t>
        </is>
      </c>
      <c r="D971" s="17" t="inlineStr">
        <is>
          <t>Consumer Packaged Goods</t>
        </is>
      </c>
      <c r="E971" s="18" t="inlineStr">
        <is>
          <t>Courses alimentaires remboursées - Fidme</t>
        </is>
      </c>
      <c r="F971" s="17" t="inlineStr">
        <is>
          <t>Offre de remboursement de 0,30 € pour l’achat d’un produit de la gamme Oasis Ice Tea, à réclamer dans votre application Fidme.</t>
        </is>
      </c>
      <c r="G971" s="19" t="inlineStr">
        <is>
          <t>https://courses.fidme.com/offre/48247382-4106-4c74-9491-d6cf088b4c98?mtm_campaign=testGEA_lemrock_2026-08&amp;mtm_kwd=GEA&amp;mtm_medium=paid_GEA_lemrock&amp;mtm_content=oasis</t>
        </is>
      </c>
      <c r="H971" s="20" t="n">
        <v>2706</v>
      </c>
      <c r="I971" s="20" t="n">
        <v>14</v>
      </c>
      <c r="J971" s="21">
        <f>IF(H971=0,0,I971/H971)</f>
        <v/>
      </c>
    </row>
    <row r="972">
      <c r="A972" s="17" t="inlineStr">
        <is>
          <t>FidMe</t>
        </is>
      </c>
      <c r="B972" s="17" t="inlineStr">
        <is>
          <t>Live</t>
        </is>
      </c>
      <c r="C972" s="17" t="inlineStr">
        <is>
          <t>Fidme Campagne 2</t>
        </is>
      </c>
      <c r="D972" s="17" t="inlineStr">
        <is>
          <t>Consumer Packaged Goods</t>
        </is>
      </c>
      <c r="E972" s="18" t="inlineStr">
        <is>
          <t>HARIBO P!K Miami 200g | Fidme Courses</t>
        </is>
      </c>
      <c r="F972" s="17" t="inlineStr">
        <is>
          <t>Redécouvrez l'incontournable HARIBO P!K Miami</t>
        </is>
      </c>
      <c r="G972" s="19" t="inlineStr">
        <is>
          <t>https://courses.fidme.com/offre/4a717306-0fb2-4e52-93c6-b1b93c811211?mtm_campaign=testGEA_lemrock_2026-08&amp;mtm_kwd=GEA&amp;mtm_medium=paid_GEA_lemrock&amp;mtm_content=haribo</t>
        </is>
      </c>
      <c r="H972" s="20" t="n">
        <v>2699</v>
      </c>
      <c r="I972" s="20" t="n">
        <v>13</v>
      </c>
      <c r="J972" s="21">
        <f>IF(H972=0,0,I972/H972)</f>
        <v/>
      </c>
    </row>
    <row r="973">
      <c r="A973" s="17" t="inlineStr">
        <is>
          <t>FidMe</t>
        </is>
      </c>
      <c r="B973" s="17" t="inlineStr">
        <is>
          <t>Live</t>
        </is>
      </c>
      <c r="C973" s="17" t="inlineStr">
        <is>
          <t>Fidme Campagne 2</t>
        </is>
      </c>
      <c r="D973" s="17" t="inlineStr">
        <is>
          <t>Consumer Packaged Goods</t>
        </is>
      </c>
      <c r="E973" s="18" t="inlineStr">
        <is>
          <t>Courses alimentaires remboursées - Fidme</t>
        </is>
      </c>
      <c r="F973" s="17" t="inlineStr">
        <is>
          <t>Bénéficiez de 0,80 € de remise immédiate pour l’achat d’un produit Salad on the Go DAUNAT, à retrouver dans votre application Fidme.</t>
        </is>
      </c>
      <c r="G973" s="19" t="inlineStr">
        <is>
          <t>https://courses.fidme.com/offre/a2b7510e-5c2a-4309-b364-c09a2fbefea6?mtm_campaign=testGEA_lemrock_2026-08&amp;mtm_kwd=GEA&amp;mtm_medium=paid_GEA_lemrock&amp;mtm_content=daunat</t>
        </is>
      </c>
      <c r="H973" s="20" t="n">
        <v>2699</v>
      </c>
      <c r="I973" s="20" t="n">
        <v>9</v>
      </c>
      <c r="J973" s="21">
        <f>IF(H973=0,0,I973/H973)</f>
        <v/>
      </c>
    </row>
    <row r="974">
      <c r="A974" s="17" t="inlineStr">
        <is>
          <t>FidMe</t>
        </is>
      </c>
      <c r="B974" s="17" t="inlineStr">
        <is>
          <t>Live</t>
        </is>
      </c>
      <c r="C974" s="17" t="inlineStr">
        <is>
          <t>Fidme Campagne 2</t>
        </is>
      </c>
      <c r="D974" s="17" t="inlineStr">
        <is>
          <t>Carbonated Soft Drinks</t>
        </is>
      </c>
      <c r="E974" s="18" t="inlineStr">
        <is>
          <t>Sodas et boissons pétillantes remboursés - Fidme</t>
        </is>
      </c>
      <c r="F974" s="17" t="inlineStr">
        <is>
          <t>0,20 € de réduction pour l’achat d’une canette MONSTER ENERGY : l’offre se réclame dans votre application Fidme après vos courses.</t>
        </is>
      </c>
      <c r="G974" s="19" t="inlineStr">
        <is>
          <t>https://courses.fidme.com/offre/6cf4f4be-495a-4708-bd3a-6bdd1784e8c8?mtm_campaign=testGEA_lemrock_2026-08&amp;mtm_kwd=GEA&amp;mtm_medium=paid_GEA_lemrock&amp;mtm_content=monster</t>
        </is>
      </c>
      <c r="H974" s="20" t="n">
        <v>2697</v>
      </c>
      <c r="I974" s="20" t="n">
        <v>12</v>
      </c>
      <c r="J974" s="21">
        <f>IF(H974=0,0,I974/H974)</f>
        <v/>
      </c>
    </row>
    <row r="975">
      <c r="A975" s="17" t="inlineStr">
        <is>
          <t>FidMe</t>
        </is>
      </c>
      <c r="B975" s="17" t="inlineStr">
        <is>
          <t>Live</t>
        </is>
      </c>
      <c r="C975" s="17" t="inlineStr">
        <is>
          <t>Fidme Campagne 2</t>
        </is>
      </c>
      <c r="D975" s="17" t="inlineStr">
        <is>
          <t>Consumer Packaged Goods</t>
        </is>
      </c>
      <c r="E975" s="18" t="inlineStr">
        <is>
          <t>Courses alimentaires remboursées - Fidme</t>
        </is>
      </c>
      <c r="F975" s="17" t="inlineStr">
        <is>
          <t>0,50 € de réduction sur une bouteille de 330 ml de la gamme Starbucks boissons protéinées : l’offre se réclame dans votre application Fidme.</t>
        </is>
      </c>
      <c r="G975" s="19" t="inlineStr">
        <is>
          <t>https://courses.fidme.com/offre/fa6f6359-5639-47d7-91b3-ead284e137a7?mtm_campaign=testGEA_lemrock_2026-08&amp;mtm_kwd=GEA&amp;mtm_medium=paid_GEA_lemrock&amp;mtm_content=starbucks</t>
        </is>
      </c>
      <c r="H975" s="20" t="n">
        <v>2690</v>
      </c>
      <c r="I975" s="20" t="n">
        <v>16</v>
      </c>
      <c r="J975" s="21">
        <f>IF(H975=0,0,I975/H975)</f>
        <v/>
      </c>
    </row>
    <row r="976">
      <c r="A976" s="17" t="inlineStr">
        <is>
          <t>FidMe</t>
        </is>
      </c>
      <c r="B976" s="17" t="inlineStr">
        <is>
          <t>Live</t>
        </is>
      </c>
      <c r="C976" s="17" t="inlineStr">
        <is>
          <t>Fidme Campagne 2</t>
        </is>
      </c>
      <c r="D976" s="17" t="inlineStr">
        <is>
          <t>Consumer Packaged Goods</t>
        </is>
      </c>
      <c r="E976" s="18" t="inlineStr">
        <is>
          <t>Courses alimentaires remboursées - Fidme</t>
        </is>
      </c>
      <c r="F976" s="17" t="inlineStr">
        <is>
          <t>2 € pour l’achat d’un pack de 3 ou 4 surligneurs STABILO BOSS ORIGINAL : l’offre de remboursement se réclame dans votre application Fidme.</t>
        </is>
      </c>
      <c r="G976" s="19" t="inlineStr">
        <is>
          <t>https://courses.fidme.com/offre/bad7769c-3e84-44c1-a1a8-60a8d75f106f?mtm_campaign=testGEA_lemrock_2026-08&amp;mtm_kwd=GEA&amp;mtm_medium=paid_GEA_lemrock&amp;mtm_content=stabilo</t>
        </is>
      </c>
      <c r="H976" s="20" t="n">
        <v>2686</v>
      </c>
      <c r="I976" s="20" t="n">
        <v>13</v>
      </c>
      <c r="J976" s="21">
        <f>IF(H976=0,0,I976/H976)</f>
        <v/>
      </c>
    </row>
    <row r="977">
      <c r="A977" s="17" t="inlineStr">
        <is>
          <t>FidMe</t>
        </is>
      </c>
      <c r="B977" s="17" t="inlineStr">
        <is>
          <t>Live</t>
        </is>
      </c>
      <c r="C977" s="17" t="inlineStr">
        <is>
          <t>Fidme Campagne 2</t>
        </is>
      </c>
      <c r="D977" s="17" t="inlineStr">
        <is>
          <t>Consumer Packaged Goods</t>
        </is>
      </c>
      <c r="E977" s="18" t="inlineStr">
        <is>
          <t>Courses alimentaires remboursées - Fidme</t>
        </is>
      </c>
      <c r="F977" s="17" t="inlineStr">
        <is>
          <t>Les boissons végétales Bjorg, au rayon lait UHT, sont idéales au petit-déjeuner, en pause gourmande et pour des cafés barista à la maison.</t>
        </is>
      </c>
      <c r="G977" s="19" t="inlineStr">
        <is>
          <t>https://courses.fidme.com/offre/16c49d2a-e2c5-49b0-825f-60ca722bd207?mtm_campaign=testGEA_lemrock_2026-08&amp;mtm_kwd=GEA&amp;mtm_medium=paid_GEA_lemrock&amp;mtm_content=bjorg</t>
        </is>
      </c>
      <c r="H977" s="20" t="n">
        <v>2683</v>
      </c>
      <c r="I977" s="20" t="n">
        <v>13</v>
      </c>
      <c r="J977" s="21">
        <f>IF(H977=0,0,I977/H977)</f>
        <v/>
      </c>
    </row>
    <row r="978">
      <c r="A978" s="17" t="inlineStr">
        <is>
          <t>FidMe</t>
        </is>
      </c>
      <c r="B978" s="17" t="inlineStr">
        <is>
          <t>Live</t>
        </is>
      </c>
      <c r="C978" s="17" t="inlineStr">
        <is>
          <t>Fidme Campagne 2</t>
        </is>
      </c>
      <c r="D978" s="17" t="inlineStr">
        <is>
          <t>Consumer Packaged Goods</t>
        </is>
      </c>
      <c r="E978" s="18" t="inlineStr">
        <is>
          <t>Lutti Candy Paper | Fidme Courses</t>
        </is>
      </c>
      <c r="F978" s="17" t="inlineStr">
        <is>
          <t>Découvre les nouveaux Candy Paper Lutti.</t>
        </is>
      </c>
      <c r="G978" s="19" t="inlineStr">
        <is>
          <t>https://courses.fidme.com/offre/18fc4b8e-beeb-4b12-9e3c-4f0470bc0192?mtm_campaign=testGEA_lemrock_2026-08&amp;mtm_kwd=GEA&amp;mtm_medium=paid_GEA_lemrock&amp;mtm_content=lutti</t>
        </is>
      </c>
      <c r="H978" s="20" t="n">
        <v>2681</v>
      </c>
      <c r="I978" s="20" t="n">
        <v>18</v>
      </c>
      <c r="J978" s="21">
        <f>IF(H978=0,0,I978/H978)</f>
        <v/>
      </c>
    </row>
    <row r="979">
      <c r="A979" s="17" t="inlineStr">
        <is>
          <t>FidMe</t>
        </is>
      </c>
      <c r="B979" s="17" t="inlineStr">
        <is>
          <t>Live</t>
        </is>
      </c>
      <c r="C979" s="17" t="inlineStr">
        <is>
          <t>Fidme Campagne 2</t>
        </is>
      </c>
      <c r="D979" s="17" t="inlineStr">
        <is>
          <t>Consumer Packaged Goods</t>
        </is>
      </c>
      <c r="E979" s="18" t="inlineStr">
        <is>
          <t>Courses alimentaires remboursées - Fidme</t>
        </is>
      </c>
      <c r="F979" s="17" t="inlineStr">
        <is>
          <t>Découvrez la gamme Le Gaulois Végétal et bénéficiez de 0,50 € remboursés pour l’achat d’un produit, via votre application Fidme.</t>
        </is>
      </c>
      <c r="G979" s="19" t="inlineStr">
        <is>
          <t>https://courses.fidme.com/offre/70b2a4e7-4445-403e-a23e-cfbf9bf48341?mtm_campaign=testGEA_lemrock_2026-08&amp;mtm_kwd=GEA&amp;mtm_medium=paid_GEA_lemrock&amp;mtm_content=le-gaulois</t>
        </is>
      </c>
      <c r="H979" s="20" t="n">
        <v>2678</v>
      </c>
      <c r="I979" s="20" t="n">
        <v>16</v>
      </c>
      <c r="J979" s="21">
        <f>IF(H979=0,0,I979/H979)</f>
        <v/>
      </c>
    </row>
    <row r="980">
      <c r="A980" s="17" t="inlineStr">
        <is>
          <t>FidMe</t>
        </is>
      </c>
      <c r="B980" s="17" t="inlineStr">
        <is>
          <t>Live</t>
        </is>
      </c>
      <c r="C980" s="17" t="inlineStr">
        <is>
          <t>Fidme Campagne 2</t>
        </is>
      </c>
      <c r="D980" s="17" t="inlineStr">
        <is>
          <t>Consumer Packaged Goods</t>
        </is>
      </c>
      <c r="E980" s="18" t="inlineStr">
        <is>
          <t>Côte d'Or X Biscoff | Fidme Courses</t>
        </is>
      </c>
      <c r="F980" s="17" t="inlineStr">
        <is>
          <t>Le parfait équilibre entre intensité et croustillant</t>
        </is>
      </c>
      <c r="G980" s="19" t="inlineStr">
        <is>
          <t>https://courses.fidme.com/offre/4764fbf7-a62d-41d8-bdd6-eae1a3560c59?mtm_campaign=testGEA_lemrock_2026-08&amp;mtm_kwd=GEA&amp;mtm_medium=paid_GEA_lemrock&amp;mtm_content=cote-dor</t>
        </is>
      </c>
      <c r="H980" s="20" t="n">
        <v>2664</v>
      </c>
      <c r="I980" s="20" t="n">
        <v>16</v>
      </c>
      <c r="J980" s="21">
        <f>IF(H980=0,0,I980/H980)</f>
        <v/>
      </c>
    </row>
    <row r="981">
      <c r="A981" s="17" t="inlineStr">
        <is>
          <t>FidMe</t>
        </is>
      </c>
      <c r="B981" s="17" t="inlineStr">
        <is>
          <t>Live</t>
        </is>
      </c>
      <c r="C981" s="17" t="inlineStr">
        <is>
          <t>Fidme Campagne 2</t>
        </is>
      </c>
      <c r="D981" s="17" t="inlineStr">
        <is>
          <t>Consumer Packaged Goods</t>
        </is>
      </c>
      <c r="E981" s="18" t="inlineStr">
        <is>
          <t>Courses alimentaires remboursées - Fidme</t>
        </is>
      </c>
      <c r="F981" s="17" t="inlineStr">
        <is>
          <t>0,20 € de réduction pour l’achat d’une canette MONSTER ENERGY : l’offre se réclame dans votre application Fidme après vos courses.</t>
        </is>
      </c>
      <c r="G981" s="19" t="inlineStr">
        <is>
          <t>https://courses.fidme.com/offre/6cf4f4be-495a-4708-bd3a-6bdd1784e8c8?mtm_campaign=testGEA_lemrock_2026-08&amp;mtm_kwd=GEA&amp;mtm_medium=paid_GEA_lemrock&amp;mtm_content=monster</t>
        </is>
      </c>
      <c r="H981" s="20" t="n">
        <v>2664</v>
      </c>
      <c r="I981" s="20" t="n">
        <v>15</v>
      </c>
      <c r="J981" s="21">
        <f>IF(H981=0,0,I981/H981)</f>
        <v/>
      </c>
    </row>
    <row r="982">
      <c r="A982" s="17" t="inlineStr">
        <is>
          <t>FidMe</t>
        </is>
      </c>
      <c r="B982" s="17" t="inlineStr">
        <is>
          <t>Live</t>
        </is>
      </c>
      <c r="C982" s="17" t="inlineStr">
        <is>
          <t>Fidme Campagne 2</t>
        </is>
      </c>
      <c r="D982" s="17" t="inlineStr">
        <is>
          <t>Consumer Packaged Goods</t>
        </is>
      </c>
      <c r="E982" s="18" t="inlineStr">
        <is>
          <t>Courses alimentaires remboursées - Fidme</t>
        </is>
      </c>
      <c r="F982" s="17" t="inlineStr">
        <is>
          <t>0,15 € de réduction pour l’achat d’une canette Coca-Cola Original ou Zéro Sucres de 50 cl, à réclamer dans votre application Fidme.</t>
        </is>
      </c>
      <c r="G982" s="19" t="inlineStr">
        <is>
          <t>https://courses.fidme.com/offre/2f862056-f2d5-48bf-b411-c73e3a97712f?mtm_campaign=testGEA_lemrock_2026-08&amp;mtm_kwd=GEA&amp;mtm_medium=paid_GEA_lemrock&amp;mtm_content=coca-cola</t>
        </is>
      </c>
      <c r="H982" s="20" t="n">
        <v>2662</v>
      </c>
      <c r="I982" s="20" t="n">
        <v>12</v>
      </c>
      <c r="J982" s="21">
        <f>IF(H982=0,0,I982/H982)</f>
        <v/>
      </c>
    </row>
    <row r="983">
      <c r="A983" s="17" t="inlineStr">
        <is>
          <t>FidMe</t>
        </is>
      </c>
      <c r="B983" s="17" t="inlineStr">
        <is>
          <t>Live</t>
        </is>
      </c>
      <c r="C983" s="17" t="inlineStr">
        <is>
          <t>Fidme Campagne 2</t>
        </is>
      </c>
      <c r="D983" s="17" t="inlineStr">
        <is>
          <t>Consumer Packaged Goods</t>
        </is>
      </c>
      <c r="E983" s="18" t="inlineStr">
        <is>
          <t>Courses alimentaires remboursées - Fidme</t>
        </is>
      </c>
      <c r="F983" s="17" t="inlineStr">
        <is>
          <t>Blédilait Lait 3e âge en 1,1 kg est un lait infantile Blédina pour accompagner la croissance des tout-petits, avec 2 € pour l’achat d’un produit.</t>
        </is>
      </c>
      <c r="G983" s="19" t="inlineStr">
        <is>
          <t>https://courses.fidme.com/offre/788c51b4-11e0-4972-9cdf-b7754b8bbfbd</t>
        </is>
      </c>
      <c r="H983" s="20" t="n">
        <v>2662</v>
      </c>
      <c r="I983" s="20" t="n">
        <v>7</v>
      </c>
      <c r="J983" s="21">
        <f>IF(H983=0,0,I983/H983)</f>
        <v/>
      </c>
    </row>
    <row r="984">
      <c r="A984" s="17" t="inlineStr">
        <is>
          <t>FidMe</t>
        </is>
      </c>
      <c r="B984" s="17" t="inlineStr">
        <is>
          <t>Live</t>
        </is>
      </c>
      <c r="C984" s="17" t="inlineStr">
        <is>
          <t>Fidme Campagne 2</t>
        </is>
      </c>
      <c r="D984" s="17" t="inlineStr">
        <is>
          <t>Consumer Packaged Goods</t>
        </is>
      </c>
      <c r="E984" s="18" t="inlineStr">
        <is>
          <t>Courses alimentaires remboursées - Fidme</t>
        </is>
      </c>
      <c r="F984" s="17" t="inlineStr">
        <is>
          <t>Le café en grains L’OR vous emmène au cœur des plus grandes terres de café : retrouvez son offre dans votre application Fidme.</t>
        </is>
      </c>
      <c r="G984" s="19" t="inlineStr">
        <is>
          <t>https://courses.fidme.com/offre/2e515714-a108-4420-92cf-aa76c816b5f1?mtm_campaign=testGEA_lemrock_2026-08&amp;mtm_kwd=GEA&amp;mtm_medium=paid_GEA_lemrock&amp;mtm_content=lor</t>
        </is>
      </c>
      <c r="H984" s="20" t="n">
        <v>2661</v>
      </c>
      <c r="I984" s="20" t="n">
        <v>10</v>
      </c>
      <c r="J984" s="21">
        <f>IF(H984=0,0,I984/H984)</f>
        <v/>
      </c>
    </row>
    <row r="985">
      <c r="A985" s="17" t="inlineStr">
        <is>
          <t>FidMe</t>
        </is>
      </c>
      <c r="B985" s="17" t="inlineStr">
        <is>
          <t>Live</t>
        </is>
      </c>
      <c r="C985" s="17" t="inlineStr">
        <is>
          <t>Fidme Campagne 2</t>
        </is>
      </c>
      <c r="D985" s="17" t="inlineStr">
        <is>
          <t>Consumer Packaged Goods</t>
        </is>
      </c>
      <c r="E985" s="18" t="inlineStr">
        <is>
          <t>Courses alimentaires remboursées - Fidme</t>
        </is>
      </c>
      <c r="F985" s="17" t="inlineStr">
        <is>
          <t>Colgate Max White promet un éclat instantané pour une confiance immédiate : l’offre sur ce dentifrice se retrouve dans votre application Fidme.</t>
        </is>
      </c>
      <c r="G985" s="19" t="inlineStr">
        <is>
          <t>https://courses.fidme.com/offre/411a178b-05fe-4287-a387-88d7408dbfc4?mtm_campaign=testGEA_lemrock_2026-08&amp;mtm_kwd=GEA&amp;mtm_medium=paid_GEA_lemrock&amp;mtm_content=colgate</t>
        </is>
      </c>
      <c r="H985" s="20" t="n">
        <v>2656</v>
      </c>
      <c r="I985" s="20" t="n">
        <v>11</v>
      </c>
      <c r="J985" s="21">
        <f>IF(H985=0,0,I985/H985)</f>
        <v/>
      </c>
    </row>
    <row r="986">
      <c r="A986" s="17" t="inlineStr">
        <is>
          <t>FidMe</t>
        </is>
      </c>
      <c r="B986" s="17" t="inlineStr">
        <is>
          <t>Live</t>
        </is>
      </c>
      <c r="C986" s="17" t="inlineStr">
        <is>
          <t>Fidme Campagne 2</t>
        </is>
      </c>
      <c r="D986" s="17" t="inlineStr">
        <is>
          <t>Consumer Packaged Goods</t>
        </is>
      </c>
      <c r="E986" s="18" t="inlineStr">
        <is>
          <t>Courses alimentaires remboursées - Fidme</t>
        </is>
      </c>
      <c r="F986" s="17" t="inlineStr">
        <is>
          <t>La pâte à tarte HERTA donne droit à 0,20 € de remise pour l’achat d’une pâte : l’offre se réclame dans votre application Fidme.</t>
        </is>
      </c>
      <c r="G986" s="19" t="inlineStr">
        <is>
          <t>https://courses.fidme.com/offre/2c9385db-b6a4-4ebc-9761-e651f3f3795e?mtm_campaign=testGEA_lemrock_2026-08&amp;mtm_kwd=GEA&amp;mtm_medium=paid_GEA_lemrock&amp;mtm_content=herta</t>
        </is>
      </c>
      <c r="H986" s="20" t="n">
        <v>2647</v>
      </c>
      <c r="I986" s="20" t="n">
        <v>16</v>
      </c>
      <c r="J986" s="21">
        <f>IF(H986=0,0,I986/H986)</f>
        <v/>
      </c>
    </row>
    <row r="987">
      <c r="A987" s="17" t="inlineStr">
        <is>
          <t>FidMe</t>
        </is>
      </c>
      <c r="B987" s="17" t="inlineStr">
        <is>
          <t>Live</t>
        </is>
      </c>
      <c r="C987" s="17" t="inlineStr">
        <is>
          <t>Fidme Campagne 2</t>
        </is>
      </c>
      <c r="D987" s="17" t="inlineStr">
        <is>
          <t>Consumer Packaged Goods</t>
        </is>
      </c>
      <c r="E987" s="18" t="inlineStr">
        <is>
          <t>Courses alimentaires remboursées - Fidme</t>
        </is>
      </c>
      <c r="F987" s="17" t="inlineStr">
        <is>
          <t>Blédichef, ce sont des petits plats pour bébés cuisinés en France, sans sel ajouté et avec des morceaux calibrés selon l’âge, avec 0,50 € pour un produit.</t>
        </is>
      </c>
      <c r="G987" s="19" t="inlineStr">
        <is>
          <t>https://courses.fidme.com/offre/155bd186-ef48-46e6-995f-7bb777193f43</t>
        </is>
      </c>
      <c r="H987" s="20" t="n">
        <v>2615</v>
      </c>
      <c r="I987" s="20" t="n">
        <v>15</v>
      </c>
      <c r="J987" s="21">
        <f>IF(H987=0,0,I987/H987)</f>
        <v/>
      </c>
    </row>
    <row r="988">
      <c r="A988" s="17" t="inlineStr">
        <is>
          <t>FidMe</t>
        </is>
      </c>
      <c r="B988" s="17" t="inlineStr">
        <is>
          <t>Live</t>
        </is>
      </c>
      <c r="C988" s="17" t="inlineStr">
        <is>
          <t>Fidme Campagne 2</t>
        </is>
      </c>
      <c r="D988" s="17" t="inlineStr">
        <is>
          <t>Yaourts, desserts et glaces</t>
        </is>
      </c>
      <c r="E988" s="18" t="inlineStr">
        <is>
          <t>Desserts aux fruits Charles &amp; Alice -0,40 € | Fidme</t>
        </is>
      </c>
      <c r="F988" s="17" t="inlineStr">
        <is>
          <t>0,40 € remboursés sur un pack de 8, 12 ou 16 desserts aux fruits Charles &amp; Alice. Activez l’offre dans l’appli Fidme et scannez votre ticket après l’achat.</t>
        </is>
      </c>
      <c r="G988" s="19" t="inlineStr">
        <is>
          <t>https://courses.fidme.com/offre/347cd800-c364-4c85-a13f-816823a3ff6b</t>
        </is>
      </c>
      <c r="H988" s="20" t="n">
        <v>2516</v>
      </c>
      <c r="I988" s="20" t="n">
        <v>3</v>
      </c>
      <c r="J988" s="21">
        <f>IF(H988=0,0,I988/H988)</f>
        <v/>
      </c>
    </row>
    <row r="989">
      <c r="A989" s="17" t="inlineStr">
        <is>
          <t>FidMe</t>
        </is>
      </c>
      <c r="B989" s="17" t="inlineStr">
        <is>
          <t>Live</t>
        </is>
      </c>
      <c r="C989" s="17" t="inlineStr">
        <is>
          <t>Fidme Campagne 2</t>
        </is>
      </c>
      <c r="D989" s="17" t="inlineStr">
        <is>
          <t>Légumes et conserves</t>
        </is>
      </c>
      <c r="E989" s="18" t="inlineStr">
        <is>
          <t>Sauce tomates cuisinées Mutti -0,45 € | Fidme</t>
        </is>
      </c>
      <c r="F989" s="17" t="inlineStr">
        <is>
          <t>0,45 € remboursés sur une Sauce Tomates Cuisinées Mutti pour vos pâtes. Activez l’offre dans l’appli Fidme, achetez en magasin et scannez votre ticket.</t>
        </is>
      </c>
      <c r="G989" s="19" t="inlineStr">
        <is>
          <t>https://courses.fidme.com/offre/c4d7eb5c-1664-4df2-a1c3-c09c7b119035</t>
        </is>
      </c>
      <c r="H989" s="20" t="n">
        <v>2423</v>
      </c>
      <c r="I989" s="20" t="n">
        <v>4</v>
      </c>
      <c r="J989" s="21">
        <f>IF(H989=0,0,I989/H989)</f>
        <v/>
      </c>
    </row>
    <row r="990">
      <c r="A990" s="17" t="inlineStr">
        <is>
          <t>FidMe</t>
        </is>
      </c>
      <c r="B990" s="17" t="inlineStr">
        <is>
          <t>Live</t>
        </is>
      </c>
      <c r="C990" s="17" t="inlineStr">
        <is>
          <t>Fidme Campagne 2</t>
        </is>
      </c>
      <c r="D990" s="17" t="inlineStr">
        <is>
          <t>Légumes et conserves</t>
        </is>
      </c>
      <c r="E990" s="18" t="inlineStr">
        <is>
          <t>Légumes Bonduelle nouveau look -0,40 € | Fidme</t>
        </is>
      </c>
      <c r="F990" s="17" t="inlineStr">
        <is>
          <t>Bonduelle change d’emballage, ses recettes de légumes restent les mêmes. 0,40 € remboursés en activant l’offre dans l’appli Fidme, puis en scannant le ticket.</t>
        </is>
      </c>
      <c r="G990" s="19" t="inlineStr">
        <is>
          <t>https://courses.fidme.com/offre/643dd0c3-345c-4f5d-b37c-4974051ee5f4</t>
        </is>
      </c>
      <c r="H990" s="20" t="n">
        <v>2322</v>
      </c>
      <c r="I990" s="20" t="n">
        <v>4</v>
      </c>
      <c r="J990" s="21">
        <f>IF(H990=0,0,I990/H990)</f>
        <v/>
      </c>
    </row>
    <row r="991">
      <c r="A991" s="17" t="inlineStr">
        <is>
          <t>FidMe</t>
        </is>
      </c>
      <c r="B991" s="17" t="inlineStr">
        <is>
          <t>Live</t>
        </is>
      </c>
      <c r="C991" s="17" t="inlineStr">
        <is>
          <t>Fidme Campagne 2</t>
        </is>
      </c>
      <c r="D991" s="17" t="inlineStr">
        <is>
          <t>Légumes et conserves</t>
        </is>
      </c>
      <c r="E991" s="18" t="inlineStr">
        <is>
          <t>Purée de tomates Mutti zéro résidu -0,50 € | Fidme</t>
        </is>
      </c>
      <c r="F991" s="17" t="inlineStr">
        <is>
          <t>Purée de tomates Mutti Zéro Résidu de Pesticides, en 500 g ou 3 x 200 g, 0,50 € remboursés via l’appli Fidme après activation de l’offre et scan du ticket.</t>
        </is>
      </c>
      <c r="G991" s="19" t="inlineStr">
        <is>
          <t>https://courses.fidme.com/offre/94c6b9dd-2a9a-48e1-9d05-e6a859c7d631</t>
        </is>
      </c>
      <c r="H991" s="20" t="n">
        <v>2156</v>
      </c>
      <c r="I991" s="20" t="n">
        <v>8</v>
      </c>
      <c r="J991" s="21">
        <f>IF(H991=0,0,I991/H991)</f>
        <v/>
      </c>
    </row>
    <row r="992">
      <c r="A992" s="17" t="inlineStr">
        <is>
          <t>FidMe</t>
        </is>
      </c>
      <c r="B992" s="17" t="inlineStr">
        <is>
          <t>Live</t>
        </is>
      </c>
      <c r="C992" s="17" t="inlineStr">
        <is>
          <t>Fidme Campagne 2</t>
        </is>
      </c>
      <c r="D992" s="17" t="inlineStr">
        <is>
          <t>Fromages, beurres et lait</t>
        </is>
      </c>
      <c r="E992" s="18" t="inlineStr">
        <is>
          <t>Beurre L’Extra Tendre Elle &amp; Vire -0,50 € | Fidme</t>
        </is>
      </c>
      <c r="F992" s="17" t="inlineStr">
        <is>
          <t>L’Extra Tendre Elle &amp; Vire se tartine dès la sortie du frigo. 0,50 € remboursés en activant l’offre dans l’appli Fidme et en scannant votre ticket de caisse.</t>
        </is>
      </c>
      <c r="G992" s="19" t="inlineStr">
        <is>
          <t>https://courses.fidme.com/offre/d51fabe7-cb3b-4e97-8993-4132b338218e</t>
        </is>
      </c>
      <c r="H992" s="20" t="n">
        <v>2105</v>
      </c>
      <c r="I992" s="20" t="n">
        <v>5</v>
      </c>
      <c r="J992" s="21">
        <f>IF(H992=0,0,I992/H992)</f>
        <v/>
      </c>
    </row>
    <row r="993">
      <c r="A993" s="17" t="inlineStr">
        <is>
          <t>FidMe</t>
        </is>
      </c>
      <c r="B993" s="17" t="inlineStr">
        <is>
          <t>Live</t>
        </is>
      </c>
      <c r="C993" s="17" t="inlineStr">
        <is>
          <t>Fidme Campagne 2</t>
        </is>
      </c>
      <c r="D993" s="17" t="inlineStr">
        <is>
          <t>Épicerie : pâtes, biscuits et gâteaux</t>
        </is>
      </c>
      <c r="E993" s="18" t="inlineStr">
        <is>
          <t>Pâtes Barilla Al Bronzo -0,30 € | Fidme</t>
        </is>
      </c>
      <c r="F993" s="17" t="inlineStr">
        <is>
          <t>0,30 € remboursés sur un paquet de pâtes Barilla Al Bronzo, tréfilées au bronze pour retenir la sauce. Activez l’offre dans l’appli Fidme, scannez le ticket.</t>
        </is>
      </c>
      <c r="G993" s="19" t="inlineStr">
        <is>
          <t>https://courses.fidme.com/offre/941f45f1-df7a-45c7-88df-242fadf1dc34</t>
        </is>
      </c>
      <c r="H993" s="20" t="n">
        <v>2072</v>
      </c>
      <c r="I993" s="20" t="n">
        <v>3</v>
      </c>
      <c r="J993" s="21">
        <f>IF(H993=0,0,I993/H993)</f>
        <v/>
      </c>
    </row>
    <row r="994">
      <c r="A994" s="17" t="inlineStr">
        <is>
          <t>FidMe</t>
        </is>
      </c>
      <c r="B994" s="17" t="inlineStr">
        <is>
          <t>Live</t>
        </is>
      </c>
      <c r="C994" s="17" t="inlineStr">
        <is>
          <t>Fidme Campagne 2</t>
        </is>
      </c>
      <c r="D994" s="17" t="inlineStr">
        <is>
          <t>Charcuterie, apéro et plats prêts</t>
        </is>
      </c>
      <c r="E994" s="18" t="inlineStr">
        <is>
          <t>Jambon de volaille Le Gaulois -0,45 € | Fidme</t>
        </is>
      </c>
      <c r="F994" s="17" t="inlineStr">
        <is>
          <t>0,45 € remboursés sur un produit de la gamme charcuterie de volaille Le Gaulois. Activez le bon dans l’appli Fidme, achetez en magasin, scannez le ticket.</t>
        </is>
      </c>
      <c r="G994" s="19" t="inlineStr">
        <is>
          <t>https://courses.fidme.com/offre/35a76585-6c6e-4382-9f3c-699092022e92</t>
        </is>
      </c>
      <c r="H994" s="20" t="n">
        <v>1833</v>
      </c>
      <c r="I994" s="20" t="n">
        <v>1</v>
      </c>
      <c r="J994" s="21">
        <f>IF(H994=0,0,I994/H994)</f>
        <v/>
      </c>
    </row>
    <row r="995">
      <c r="A995" s="17" t="inlineStr">
        <is>
          <t>FidMe</t>
        </is>
      </c>
      <c r="B995" s="17" t="inlineStr">
        <is>
          <t>Live</t>
        </is>
      </c>
      <c r="C995" s="17" t="inlineStr">
        <is>
          <t>Fidme Campagne 2</t>
        </is>
      </c>
      <c r="D995" s="17" t="inlineStr">
        <is>
          <t>Yaourts, desserts et glaces</t>
        </is>
      </c>
      <c r="E995" s="18" t="inlineStr">
        <is>
          <t>Sorbets plein fruits Charles &amp; Alice -1,10 € | Fidme</t>
        </is>
      </c>
      <c r="F995" s="17" t="inlineStr">
        <is>
          <t>1,10 € remboursé sur un sorbet ou une glace végétale Charles &amp; Alice, plein fruits. Activez l’offre dans l’appli Fidme et scannez votre ticket après l’achat.</t>
        </is>
      </c>
      <c r="G995" s="19" t="inlineStr">
        <is>
          <t>https://courses.fidme.com/offre/dcdb0585-e2b8-4464-910d-40082cf2e100</t>
        </is>
      </c>
      <c r="H995" s="20" t="n">
        <v>1829</v>
      </c>
      <c r="I995" s="20" t="n">
        <v>4</v>
      </c>
      <c r="J995" s="21">
        <f>IF(H995=0,0,I995/H995)</f>
        <v/>
      </c>
    </row>
    <row r="996">
      <c r="A996" s="17" t="inlineStr">
        <is>
          <t>FidMe</t>
        </is>
      </c>
      <c r="B996" s="17" t="inlineStr">
        <is>
          <t>Live</t>
        </is>
      </c>
      <c r="C996" s="17" t="inlineStr">
        <is>
          <t>Fidme Campagne 2</t>
        </is>
      </c>
      <c r="D996" s="17" t="inlineStr">
        <is>
          <t>Fromages, beurres et lait</t>
        </is>
      </c>
      <c r="E996" s="18" t="inlineStr">
        <is>
          <t>Lait Candia + pack 6 x 1 L -1,50 € | Fidme</t>
        </is>
      </c>
      <c r="F996" s="17" t="inlineStr">
        <is>
          <t>1,50 € remboursé sur un pack de 6 bouteilles d’1 L de lait Candia +. Activez le bon dans l’appli Fidme, achetez en magasin et scannez votre ticket de caisse.</t>
        </is>
      </c>
      <c r="G996" s="19" t="inlineStr">
        <is>
          <t>https://courses.fidme.com/offre/979dc9d7-a4d1-4105-9baf-bb9275e01217</t>
        </is>
      </c>
      <c r="H996" s="20" t="n">
        <v>1546</v>
      </c>
      <c r="I996" s="20" t="n">
        <v>4</v>
      </c>
      <c r="J996" s="21">
        <f>IF(H996=0,0,I996/H996)</f>
        <v/>
      </c>
    </row>
    <row r="997">
      <c r="A997" s="17" t="inlineStr">
        <is>
          <t>FidMe</t>
        </is>
      </c>
      <c r="B997" s="17" t="inlineStr">
        <is>
          <t>Live</t>
        </is>
      </c>
      <c r="C997" s="17" t="inlineStr">
        <is>
          <t>Fidme Campagne 2</t>
        </is>
      </c>
      <c r="D997" s="17" t="inlineStr">
        <is>
          <t>Épicerie : pâtes, biscuits et gâteaux</t>
        </is>
      </c>
      <c r="E997" s="18" t="inlineStr">
        <is>
          <t>Biscuits Baiocchi pistache Mulino Bianco -0,50 € | Fidme</t>
        </is>
      </c>
      <c r="F997" s="17" t="inlineStr">
        <is>
          <t>Les Baiocchi Mulino Bianco fourrés à la pistache, avec 0,50 € remboursés : activez l’offre dans l’appli Fidme, achetez en magasin et scannez le ticket.</t>
        </is>
      </c>
      <c r="G997" s="19" t="inlineStr">
        <is>
          <t>https://courses.fidme.com/offre/2191f6cc-3a31-406a-9f4d-b1506ac6300d</t>
        </is>
      </c>
      <c r="H997" s="20" t="n">
        <v>1535</v>
      </c>
      <c r="I997" s="20" t="n">
        <v>7</v>
      </c>
      <c r="J997" s="21">
        <f>IF(H997=0,0,I997/H997)</f>
        <v/>
      </c>
    </row>
    <row r="998">
      <c r="A998" s="17" t="inlineStr">
        <is>
          <t>FidMe</t>
        </is>
      </c>
      <c r="B998" s="17" t="inlineStr">
        <is>
          <t>Live</t>
        </is>
      </c>
      <c r="C998" s="17" t="inlineStr">
        <is>
          <t>Fidme Campagne 2</t>
        </is>
      </c>
      <c r="D998" s="17" t="inlineStr">
        <is>
          <t>Charcuterie, apéro et plats prêts</t>
        </is>
      </c>
      <c r="E998" s="18" t="inlineStr">
        <is>
          <t>Veau Tendriade -0,50 € | Fidme</t>
        </is>
      </c>
      <c r="F998" s="17" t="inlineStr">
        <is>
          <t>0,50 € remboursés sur un produit de la gamme veau Tendriade, 100 % plaisir, 0 % prise de tête. Activez l’offre dans l’appli Fidme et scannez votre ticket.</t>
        </is>
      </c>
      <c r="G998" s="19" t="inlineStr">
        <is>
          <t>https://courses.fidme.com/offre/cb300ea9-26fc-4073-83e0-dab3689a83a6</t>
        </is>
      </c>
      <c r="H998" s="20" t="n">
        <v>1506</v>
      </c>
      <c r="I998" s="20" t="n">
        <v>6</v>
      </c>
      <c r="J998" s="21">
        <f>IF(H998=0,0,I998/H998)</f>
        <v/>
      </c>
    </row>
    <row r="999">
      <c r="A999" s="17" t="inlineStr">
        <is>
          <t>FidMe</t>
        </is>
      </c>
      <c r="B999" s="17" t="inlineStr">
        <is>
          <t>Live</t>
        </is>
      </c>
      <c r="C999" s="17" t="inlineStr">
        <is>
          <t>Fidme Campagne 2</t>
        </is>
      </c>
      <c r="D999" s="17" t="inlineStr">
        <is>
          <t>Épicerie : pâtes, biscuits et gâteaux</t>
        </is>
      </c>
      <c r="E999" s="18" t="inlineStr">
        <is>
          <t>Sucre de canne La Perruche -0,30 € | Fidme</t>
        </is>
      </c>
      <c r="F999" s="17" t="inlineStr">
        <is>
          <t>0,30 € remboursés sur un produit de la gamme La Perruche, le sucre de canne pur. Activez le bon dans l’appli Fidme, achetez en magasin, scannez le ticket.</t>
        </is>
      </c>
      <c r="G999" s="19" t="inlineStr">
        <is>
          <t>https://courses.fidme.com/offre/a0a0482a-0991-48b9-9f30-6f954aa5dbf0</t>
        </is>
      </c>
      <c r="H999" s="20" t="n">
        <v>1409</v>
      </c>
      <c r="I999" s="20" t="n">
        <v>1</v>
      </c>
      <c r="J999" s="21">
        <f>IF(H999=0,0,I999/H999)</f>
        <v/>
      </c>
    </row>
    <row r="1000">
      <c r="A1000" s="17" t="inlineStr">
        <is>
          <t>FidMe</t>
        </is>
      </c>
      <c r="B1000" s="17" t="inlineStr">
        <is>
          <t>Live</t>
        </is>
      </c>
      <c r="C1000" s="17" t="inlineStr">
        <is>
          <t>Fidme Campagne 2</t>
        </is>
      </c>
      <c r="D1000" s="17" t="inlineStr">
        <is>
          <t>Épicerie : pâtes, biscuits et gâteaux</t>
        </is>
      </c>
      <c r="E1000" s="18" t="inlineStr">
        <is>
          <t>Pâtes Barilla Protein+ -0,50 € | Fidme</t>
        </is>
      </c>
      <c r="F1000" s="17" t="inlineStr">
        <is>
          <t>Le goût Barilla avec des protéines en plus : 0,50 € remboursés sur les pâtes Protein+ en activant l’offre dans l’appli Fidme et en scannant votre ticket.</t>
        </is>
      </c>
      <c r="G1000" s="19" t="inlineStr">
        <is>
          <t>https://courses.fidme.com/offre/ec2f0743-8018-49f3-94ca-1fda2edb45e5</t>
        </is>
      </c>
      <c r="H1000" s="20" t="n">
        <v>1397</v>
      </c>
      <c r="I1000" s="20" t="n">
        <v>5</v>
      </c>
      <c r="J1000" s="21">
        <f>IF(H1000=0,0,I1000/H1000)</f>
        <v/>
      </c>
    </row>
    <row r="1001">
      <c r="A1001" s="17" t="inlineStr">
        <is>
          <t>FidMe</t>
        </is>
      </c>
      <c r="B1001" s="17" t="inlineStr">
        <is>
          <t>Live</t>
        </is>
      </c>
      <c r="C1001" s="17" t="inlineStr">
        <is>
          <t>Fidme Campagne 2</t>
        </is>
      </c>
      <c r="D1001" s="17" t="inlineStr">
        <is>
          <t>Fromages, beurres et lait</t>
        </is>
      </c>
      <c r="E1001" s="18" t="inlineStr">
        <is>
          <t>Cheddar Xtra fondant Kraft -0,60 € | Fidme</t>
        </is>
      </c>
      <c r="F1001" s="17" t="inlineStr">
        <is>
          <t>Le cheddar Xtra fondant Kraft pour vos recettes du quotidien, avec 0,60 € remboursés : activez l’offre dans l’appli Fidme, achetez et scannez votre ticket.</t>
        </is>
      </c>
      <c r="G1001" s="19" t="inlineStr">
        <is>
          <t>https://courses.fidme.com/offre/8f2a4339-788d-4ccc-b28a-17b4b068711a</t>
        </is>
      </c>
      <c r="H1001" s="20" t="n">
        <v>1391</v>
      </c>
      <c r="I1001" s="20" t="n">
        <v>5</v>
      </c>
      <c r="J1001" s="21">
        <f>IF(H1001=0,0,I1001/H1001)</f>
        <v/>
      </c>
    </row>
    <row r="1002">
      <c r="A1002" s="17" t="inlineStr">
        <is>
          <t>FidMe</t>
        </is>
      </c>
      <c r="B1002" s="17" t="inlineStr">
        <is>
          <t>Live</t>
        </is>
      </c>
      <c r="C1002" s="17" t="inlineStr">
        <is>
          <t>Fidme Campagne 2</t>
        </is>
      </c>
      <c r="D1002" s="17" t="inlineStr">
        <is>
          <t>Vin</t>
        </is>
      </c>
      <c r="E1002" s="18" t="inlineStr">
        <is>
          <t>Vin Roche Mazet Signature -0,20 € | Fidme</t>
        </is>
      </c>
      <c r="F1002" s="17" t="inlineStr">
        <is>
          <t>0,20 € remboursés sur une bouteille de la gamme Roche Mazet Signature. Activez l’offre dans l’appli Fidme, achetez en magasin et scannez votre ticket.</t>
        </is>
      </c>
      <c r="G1002" s="19" t="inlineStr">
        <is>
          <t>https://courses.fidme.com/offre/c3a677a2-e4e0-4a08-8727-9ac01d85c5d7</t>
        </is>
      </c>
      <c r="H1002" s="20" t="n">
        <v>1381</v>
      </c>
      <c r="I1002" s="20" t="n">
        <v>3</v>
      </c>
      <c r="J1002" s="21">
        <f>IF(H1002=0,0,I1002/H1002)</f>
        <v/>
      </c>
    </row>
    <row r="1003">
      <c r="A1003" s="17" t="inlineStr">
        <is>
          <t>FidMe</t>
        </is>
      </c>
      <c r="B1003" s="17" t="inlineStr">
        <is>
          <t>Live</t>
        </is>
      </c>
      <c r="C1003" s="17" t="inlineStr">
        <is>
          <t>Fidme Campagne 2</t>
        </is>
      </c>
      <c r="D1003" s="17" t="inlineStr">
        <is>
          <t>Légumes et conserves</t>
        </is>
      </c>
      <c r="E1003" s="18" t="inlineStr">
        <is>
          <t>Salades de légumes Cassegrain -0,70 € | Fidme</t>
        </is>
      </c>
      <c r="F1003" s="17" t="inlineStr">
        <is>
          <t>Les nouvelles salades Cassegrain avec 0,70 € remboursés : activez l’offre dans l’appli Fidme, achetez en magasin et scannez votre ticket de caisse.</t>
        </is>
      </c>
      <c r="G1003" s="19" t="inlineStr">
        <is>
          <t>https://courses.fidme.com/offre/e5b129f0-81df-4a4c-9dae-c045661e2702</t>
        </is>
      </c>
      <c r="H1003" s="20" t="n">
        <v>1211</v>
      </c>
      <c r="I1003" s="20" t="n">
        <v>6</v>
      </c>
      <c r="J1003" s="21">
        <f>IF(H1003=0,0,I1003/H1003)</f>
        <v/>
      </c>
    </row>
    <row r="1004">
      <c r="A1004" s="17" t="inlineStr">
        <is>
          <t>FidMe</t>
        </is>
      </c>
      <c r="B1004" s="17" t="inlineStr">
        <is>
          <t>Live</t>
        </is>
      </c>
      <c r="C1004" s="17" t="inlineStr">
        <is>
          <t>Fidme Campagne 2</t>
        </is>
      </c>
      <c r="D1004" s="17" t="inlineStr">
        <is>
          <t>Yaourts, desserts et glaces</t>
        </is>
      </c>
      <c r="E1004" s="18" t="inlineStr">
        <is>
          <t>Yaourts Panier de Yoplait x4 -0,45 € | Fidme</t>
        </is>
      </c>
      <c r="F1004" s="17" t="inlineStr">
        <is>
          <t>0,45 € remboursés sur un pack de 4 Panier de Yoplait, les yaourts aux morceaux de fruits. Activez l’offre dans l’appli Fidme et scannez votre ticket.</t>
        </is>
      </c>
      <c r="G1004" s="19" t="inlineStr">
        <is>
          <t>https://courses.fidme.com/offre/91d31ee7-2439-42d5-91e2-82ce7b204e70</t>
        </is>
      </c>
      <c r="H1004" s="20" t="n">
        <v>1052</v>
      </c>
      <c r="I1004" s="20" t="n">
        <v>3</v>
      </c>
      <c r="J1004" s="21">
        <f>IF(H1004=0,0,I1004/H1004)</f>
        <v/>
      </c>
    </row>
    <row r="1005">
      <c r="A1005" s="17" t="inlineStr">
        <is>
          <t>FidMe</t>
        </is>
      </c>
      <c r="B1005" s="17" t="inlineStr">
        <is>
          <t>Live</t>
        </is>
      </c>
      <c r="C1005" s="17" t="inlineStr">
        <is>
          <t>Fidme Campagne 2</t>
        </is>
      </c>
      <c r="D1005" s="17" t="inlineStr">
        <is>
          <t>Yaourts, desserts et glaces</t>
        </is>
      </c>
      <c r="E1005" s="18" t="inlineStr">
        <is>
          <t>Kéfir Lactel multivitaminé ou citron -0,50 € | Fidme</t>
        </is>
      </c>
      <c r="F1005" s="17" t="inlineStr">
        <is>
          <t>Kéfir Lactel en version Multivitaminé ou Citron, 0,50 € remboursés : activez le bon dans l’appli Fidme avant de passer en caisse, puis scannez le ticket.</t>
        </is>
      </c>
      <c r="G1005" s="19" t="inlineStr">
        <is>
          <t>https://courses.fidme.com/offre/7cfceccb-ee07-43f8-a840-3d179f4282af</t>
        </is>
      </c>
      <c r="H1005" s="20" t="n">
        <v>949</v>
      </c>
      <c r="I1005" s="20" t="n">
        <v>4</v>
      </c>
      <c r="J1005" s="21">
        <f>IF(H1005=0,0,I1005/H1005)</f>
        <v/>
      </c>
    </row>
    <row r="1006">
      <c r="A1006" s="17" t="inlineStr">
        <is>
          <t>FidMe</t>
        </is>
      </c>
      <c r="B1006" s="17" t="inlineStr">
        <is>
          <t>Live</t>
        </is>
      </c>
      <c r="C1006" s="17" t="inlineStr">
        <is>
          <t>Fidme Campagne 2</t>
        </is>
      </c>
      <c r="D1006" s="17" t="inlineStr">
        <is>
          <t>Boissons</t>
        </is>
      </c>
      <c r="E1006" s="18" t="inlineStr">
        <is>
          <t>Café en grains L'OR | Fidme Courses</t>
        </is>
      </c>
      <c r="F1006" s="17" t="inlineStr">
        <is>
          <t>Voyagez au cœur des plus grandes Terres de café</t>
        </is>
      </c>
      <c r="G1006" s="19" t="inlineStr">
        <is>
          <t>https://courses.fidme.com/offre/2e515714-a108-4420-92cf-aa76c816b5f1?mtm_campaign=testGEA_lemrock_2026-08&amp;mtm_kwd=GEA&amp;mtm_medium=paid_GEA_lemrock&amp;mtm_content=lor</t>
        </is>
      </c>
      <c r="H1006" s="20" t="n">
        <v>943</v>
      </c>
      <c r="I1006" s="20" t="n">
        <v>6</v>
      </c>
      <c r="J1006" s="21">
        <f>IF(H1006=0,0,I1006/H1006)</f>
        <v/>
      </c>
    </row>
    <row r="1007">
      <c r="A1007" s="17" t="inlineStr">
        <is>
          <t>FidMe</t>
        </is>
      </c>
      <c r="B1007" s="17" t="inlineStr">
        <is>
          <t>Live</t>
        </is>
      </c>
      <c r="C1007" s="17" t="inlineStr">
        <is>
          <t>Fidme Campagne 2</t>
        </is>
      </c>
      <c r="D1007" s="17" t="inlineStr">
        <is>
          <t>Eau filtrée et gazéifiée</t>
        </is>
      </c>
      <c r="E1007" s="18" t="inlineStr">
        <is>
          <t>Gamme SodaStream -1,50 € | Fidme</t>
        </is>
      </c>
      <c r="F1007" s="17" t="inlineStr">
        <is>
          <t>1,50 € remboursé sur un produit de la gamme SodaStream pour gazéifier votre eau à la maison. Activez l’offre dans l’appli Fidme et scannez votre ticket.</t>
        </is>
      </c>
      <c r="G1007" s="19" t="inlineStr">
        <is>
          <t>https://courses.fidme.com/offre/b3380063-379b-4596-b6ca-c2206d289e96</t>
        </is>
      </c>
      <c r="H1007" s="20" t="n">
        <v>916</v>
      </c>
      <c r="I1007" s="20" t="n">
        <v>2</v>
      </c>
      <c r="J1007" s="21">
        <f>IF(H1007=0,0,I1007/H1007)</f>
        <v/>
      </c>
    </row>
    <row r="1008">
      <c r="A1008" s="17" t="inlineStr">
        <is>
          <t>FidMe</t>
        </is>
      </c>
      <c r="B1008" s="17" t="inlineStr">
        <is>
          <t>Live</t>
        </is>
      </c>
      <c r="C1008" s="17" t="inlineStr">
        <is>
          <t>Fidme Campagne 2</t>
        </is>
      </c>
      <c r="D1008" s="17" t="inlineStr">
        <is>
          <t>Épicerie : pâtes, biscuits et gâteaux</t>
        </is>
      </c>
      <c r="E1008" s="18" t="inlineStr">
        <is>
          <t>Pinsa à garnir Harrys -0,70 € | Fidme</t>
        </is>
      </c>
      <c r="F1008" s="17" t="inlineStr">
        <is>
          <t>La Pinsa Harrys à garnir selon vos envies, 0,70 € remboursés en activant l’offre dans l’appli Fidme et en scannant votre ticket de caisse après l’achat.</t>
        </is>
      </c>
      <c r="G1008" s="19" t="inlineStr">
        <is>
          <t>https://courses.fidme.com/offre/b678e86b-eca8-4bcc-aee8-7109157cf0ab</t>
        </is>
      </c>
      <c r="H1008" s="20" t="n">
        <v>872</v>
      </c>
      <c r="I1008" s="20" t="n">
        <v>5</v>
      </c>
      <c r="J1008" s="21">
        <f>IF(H1008=0,0,I1008/H1008)</f>
        <v/>
      </c>
    </row>
    <row r="1009">
      <c r="A1009" s="17" t="inlineStr">
        <is>
          <t>FidMe</t>
        </is>
      </c>
      <c r="B1009" s="17" t="inlineStr">
        <is>
          <t>Live</t>
        </is>
      </c>
      <c r="C1009" s="17" t="inlineStr">
        <is>
          <t>Fidme Campagne 2</t>
        </is>
      </c>
      <c r="D1009" s="17" t="inlineStr">
        <is>
          <t>Bonbons et chewing-gums</t>
        </is>
      </c>
      <c r="E1009" s="18" t="inlineStr">
        <is>
          <t>Bonbons Amos -0,40 € | Fidme</t>
        </is>
      </c>
      <c r="F1009" s="17" t="inlineStr">
        <is>
          <t>Amos, une dose de smile en bonbons, avec 0,40 € remboursés : activez l’offre dans l’appli Fidme, achetez en magasin et scannez votre ticket de caisse.</t>
        </is>
      </c>
      <c r="G1009" s="19" t="inlineStr">
        <is>
          <t>https://courses.fidme.com/offre/69751611-2713-4201-b447-df561353f1da</t>
        </is>
      </c>
      <c r="H1009" s="20" t="n">
        <v>862</v>
      </c>
      <c r="I1009" s="20" t="n">
        <v>3</v>
      </c>
      <c r="J1009" s="21">
        <f>IF(H1009=0,0,I1009/H1009)</f>
        <v/>
      </c>
    </row>
    <row r="1010">
      <c r="A1010" s="17" t="inlineStr">
        <is>
          <t>FidMe</t>
        </is>
      </c>
      <c r="B1010" s="17" t="inlineStr">
        <is>
          <t>Live</t>
        </is>
      </c>
      <c r="C1010" s="17" t="inlineStr">
        <is>
          <t>Fidme Campagne 2</t>
        </is>
      </c>
      <c r="D1010" s="17" t="inlineStr">
        <is>
          <t>Fromages, beurres et lait</t>
        </is>
      </c>
      <c r="E1010" s="18" t="inlineStr">
        <is>
          <t>Margarine végétale Flora sans lactose -0,40 € | Fidme</t>
        </is>
      </c>
      <c r="F1010" s="17" t="inlineStr">
        <is>
          <t>Flora 100 % végétale, sans lactose, pour tartiner et cuisiner : 0,40 € remboursés via l’appli Fidme après activation de l’offre et scan de votre ticket.</t>
        </is>
      </c>
      <c r="G1010" s="19" t="inlineStr">
        <is>
          <t>https://courses.fidme.com/offre/9cf2e0ea-01a4-4c94-bddc-e59baadd33db</t>
        </is>
      </c>
      <c r="H1010" s="20" t="n">
        <v>774</v>
      </c>
      <c r="I1010" s="20" t="n">
        <v>4</v>
      </c>
      <c r="J1010" s="21">
        <f>IF(H1010=0,0,I1010/H1010)</f>
        <v/>
      </c>
    </row>
    <row r="1011">
      <c r="A1011" s="17" t="inlineStr">
        <is>
          <t>FidMe</t>
        </is>
      </c>
      <c r="B1011" s="17" t="inlineStr">
        <is>
          <t>Live</t>
        </is>
      </c>
      <c r="C1011" s="17" t="inlineStr">
        <is>
          <t>Fidme Campagne 2</t>
        </is>
      </c>
      <c r="D1011" s="17" t="inlineStr">
        <is>
          <t>Yaourts, desserts et glaces</t>
        </is>
      </c>
      <c r="E1011" s="18" t="inlineStr">
        <is>
          <t>Yaourt grec Delta pot 1 kg -1 € | Fidme</t>
        </is>
      </c>
      <c r="F1011" s="17" t="inlineStr">
        <is>
          <t>1 € remboursé sur un pot d’1 kg de véritable yaourt grec Delta, 0 % ou 10 %. Activez l’offre dans l’appli Fidme, puis scannez votre ticket après l’achat.</t>
        </is>
      </c>
      <c r="G1011" s="19" t="inlineStr">
        <is>
          <t>https://courses.fidme.com/offre/13eb77d8-fde8-4af0-bce6-7cdeb3c4851c</t>
        </is>
      </c>
      <c r="H1011" s="20" t="n">
        <v>772</v>
      </c>
      <c r="I1011" s="20" t="n">
        <v>5</v>
      </c>
      <c r="J1011" s="21">
        <f>IF(H1011=0,0,I1011/H1011)</f>
        <v/>
      </c>
    </row>
    <row r="1012">
      <c r="A1012" s="17" t="inlineStr">
        <is>
          <t>FidMe</t>
        </is>
      </c>
      <c r="B1012" s="17" t="inlineStr">
        <is>
          <t>Live</t>
        </is>
      </c>
      <c r="C1012" s="17" t="inlineStr">
        <is>
          <t>Fidme Campagne 2</t>
        </is>
      </c>
      <c r="D1012" s="17" t="inlineStr">
        <is>
          <t>Charcuterie, apéro et plats prêts</t>
        </is>
      </c>
      <c r="E1012" s="18" t="inlineStr">
        <is>
          <t>Bouchées fromage surgelées Galbani -0,60 € | Fidme</t>
        </is>
      </c>
      <c r="F1012" s="17" t="inlineStr">
        <is>
          <t>Les fromages Président et Galbani en bouchées fondantes au rayon surgelé : 0,60 € remboursés en activant l’offre dans l’appli Fidme et en scannant le ticket.</t>
        </is>
      </c>
      <c r="G1012" s="19" t="inlineStr">
        <is>
          <t>https://courses.fidme.com/offre/cde3b3db-4882-46d1-a5a5-76512adbdf5b</t>
        </is>
      </c>
      <c r="H1012" s="20" t="n">
        <v>766</v>
      </c>
      <c r="I1012" s="20" t="n">
        <v>5</v>
      </c>
      <c r="J1012" s="21">
        <f>IF(H1012=0,0,I1012/H1012)</f>
        <v/>
      </c>
    </row>
    <row r="1013">
      <c r="A1013" s="17" t="inlineStr">
        <is>
          <t>FidMe</t>
        </is>
      </c>
      <c r="B1013" s="17" t="inlineStr">
        <is>
          <t>Live</t>
        </is>
      </c>
      <c r="C1013" s="17" t="inlineStr">
        <is>
          <t>Fidme Campagne 2</t>
        </is>
      </c>
      <c r="D1013" s="17" t="inlineStr">
        <is>
          <t>Charcuterie, apéro et plats prêts</t>
        </is>
      </c>
      <c r="E1013" s="18" t="inlineStr">
        <is>
          <t>Alternatives végétales Accro -0,50 € | Fidme</t>
        </is>
      </c>
      <c r="F1013" s="17" t="inlineStr">
        <is>
          <t>Accro, le végétal qui envoie du goût : 0,50 € remboursés sur un produit de la gamme en activant l’offre dans l’appli Fidme et en scannant votre ticket.</t>
        </is>
      </c>
      <c r="G1013" s="19" t="inlineStr">
        <is>
          <t>https://courses.fidme.com/offre/365e852f-10a5-4c24-a208-c9d993282e9b</t>
        </is>
      </c>
      <c r="H1013" s="20" t="n">
        <v>764</v>
      </c>
      <c r="I1013" s="20" t="n">
        <v>4</v>
      </c>
      <c r="J1013" s="21">
        <f>IF(H1013=0,0,I1013/H1013)</f>
        <v/>
      </c>
    </row>
    <row r="1014">
      <c r="A1014" s="17" t="inlineStr">
        <is>
          <t>FidMe</t>
        </is>
      </c>
      <c r="B1014" s="17" t="inlineStr">
        <is>
          <t>Live</t>
        </is>
      </c>
      <c r="C1014" s="17" t="inlineStr">
        <is>
          <t>Fidme Campagne 2</t>
        </is>
      </c>
      <c r="D1014" s="17" t="inlineStr">
        <is>
          <t>Fromages, beurres et lait</t>
        </is>
      </c>
      <c r="E1014" s="18" t="inlineStr">
        <is>
          <t>Margarine St Hubert Oméga 3 -0,40 € | Fidme</t>
        </is>
      </c>
      <c r="F1014" s="17" t="inlineStr">
        <is>
          <t>St Hubert Oméga 3, la matière grasse à tartiner riche en oméga 3, 0,40 € remboursés en activant l’offre dans l’appli Fidme puis en scannant votre ticket.</t>
        </is>
      </c>
      <c r="G1014" s="19" t="inlineStr">
        <is>
          <t>https://courses.fidme.com/offre/67698b6d-a1a9-4a41-a76d-7671dc856641</t>
        </is>
      </c>
      <c r="H1014" s="20" t="n">
        <v>750</v>
      </c>
      <c r="I1014" s="20" t="n">
        <v>4</v>
      </c>
      <c r="J1014" s="21">
        <f>IF(H1014=0,0,I1014/H1014)</f>
        <v/>
      </c>
    </row>
    <row r="1015">
      <c r="A1015" s="17" t="inlineStr">
        <is>
          <t>FidMe</t>
        </is>
      </c>
      <c r="B1015" s="17" t="inlineStr">
        <is>
          <t>Live</t>
        </is>
      </c>
      <c r="C1015" s="17" t="inlineStr">
        <is>
          <t>Fidme Campagne 2</t>
        </is>
      </c>
      <c r="D1015" s="17" t="inlineStr">
        <is>
          <t>Bonbons et chewing-gums</t>
        </is>
      </c>
      <c r="E1015" s="18" t="inlineStr">
        <is>
          <t>Haribo P!K Flash et P!K Les P’tits -0,30 € | Fidme</t>
        </is>
      </c>
      <c r="F1015" s="17" t="inlineStr">
        <is>
          <t>Les nouveautés Haribo P!K Flash et P!K Les P’tits avec 0,30 € remboursés : activez l’offre dans l’appli Fidme, achetez en magasin et scannez le ticket.</t>
        </is>
      </c>
      <c r="G1015" s="19" t="inlineStr">
        <is>
          <t>https://courses.fidme.com/offre/1e001f54-26c5-4e29-b935-5517e88c66b0</t>
        </is>
      </c>
      <c r="H1015" s="20" t="n">
        <v>743</v>
      </c>
      <c r="I1015" s="20" t="n">
        <v>4</v>
      </c>
      <c r="J1015" s="21">
        <f>IF(H1015=0,0,I1015/H1015)</f>
        <v/>
      </c>
    </row>
    <row r="1016">
      <c r="A1016" s="17" t="inlineStr">
        <is>
          <t>FidMe</t>
        </is>
      </c>
      <c r="B1016" s="17" t="inlineStr">
        <is>
          <t>Live</t>
        </is>
      </c>
      <c r="C1016" s="17" t="inlineStr">
        <is>
          <t>Fidme Campagne 2</t>
        </is>
      </c>
      <c r="D1016" s="17" t="inlineStr">
        <is>
          <t>Soins visage et hygiène</t>
        </is>
      </c>
      <c r="E1016" s="18" t="inlineStr">
        <is>
          <t>Soins Neutrogena toutes gammes -0,90 € | Fidme</t>
        </is>
      </c>
      <c r="F1016" s="17" t="inlineStr">
        <is>
          <t>0,90 € remboursés sur l’ensemble des gammes Neutrogena, crèmes mains et soins visage compris. Activez l’offre dans l’appli Fidme et scannez votre ticket.</t>
        </is>
      </c>
      <c r="G1016" s="19" t="inlineStr">
        <is>
          <t>https://courses.fidme.com/offre/ee8b13f8-910d-436b-89dd-616aabcd5785</t>
        </is>
      </c>
      <c r="H1016" s="20" t="n">
        <v>736</v>
      </c>
      <c r="I1016" s="20" t="n">
        <v>6</v>
      </c>
      <c r="J1016" s="21">
        <f>IF(H1016=0,0,I1016/H1016)</f>
        <v/>
      </c>
    </row>
    <row r="1017">
      <c r="A1017" s="17" t="inlineStr">
        <is>
          <t>FidMe</t>
        </is>
      </c>
      <c r="B1017" s="17" t="inlineStr">
        <is>
          <t>Live</t>
        </is>
      </c>
      <c r="C1017" s="17" t="inlineStr">
        <is>
          <t>Fidme Campagne 2</t>
        </is>
      </c>
      <c r="D1017" s="17" t="inlineStr">
        <is>
          <t>Eau filtrée et gazéifiée</t>
        </is>
      </c>
      <c r="E1017" s="18" t="inlineStr">
        <is>
          <t>Filtres à eau Brita Maxtra Pro -1,80 € | Fidme</t>
        </is>
      </c>
      <c r="F1017" s="17" t="inlineStr">
        <is>
          <t>1,80 € remboursés sur un produit de la gamme Brita Maxtra Pro pour votre carafe filtrante. Offre à activer dans l’appli Fidme, remise après scan du ticket.</t>
        </is>
      </c>
      <c r="G1017" s="19" t="inlineStr">
        <is>
          <t>https://courses.fidme.com/offre/0b295937-f8d1-4c8d-ad39-8664dbdefd3f</t>
        </is>
      </c>
      <c r="H1017" s="20" t="n">
        <v>721</v>
      </c>
      <c r="I1017" s="20" t="n">
        <v>1</v>
      </c>
      <c r="J1017" s="21">
        <f>IF(H1017=0,0,I1017/H1017)</f>
        <v/>
      </c>
    </row>
    <row r="1018">
      <c r="A1018" s="17" t="inlineStr">
        <is>
          <t>FidMe</t>
        </is>
      </c>
      <c r="B1018" s="17" t="inlineStr">
        <is>
          <t>Live</t>
        </is>
      </c>
      <c r="C1018" s="17" t="inlineStr">
        <is>
          <t>Fidme Campagne 2</t>
        </is>
      </c>
      <c r="D1018" s="17" t="inlineStr">
        <is>
          <t>Bonbons et chewing-gums</t>
        </is>
      </c>
      <c r="E1018" s="18" t="inlineStr">
        <is>
          <t>Bonbons Lutti Bubblizz -0,40 € | Fidme</t>
        </is>
      </c>
      <c r="F1018" s="17" t="inlineStr">
        <is>
          <t>La gamme Bubblizz Lutti au goût bubble gum, avec 0,40 € remboursés en activant l’offre dans l’appli Fidme et en scannant votre ticket de caisse en magasin.</t>
        </is>
      </c>
      <c r="G1018" s="19" t="inlineStr">
        <is>
          <t>https://courses.fidme.com/offre/f9bebe3e-9b74-4294-8592-657738e17270</t>
        </is>
      </c>
      <c r="H1018" s="20" t="n">
        <v>688</v>
      </c>
      <c r="I1018" s="20" t="n">
        <v>4</v>
      </c>
      <c r="J1018" s="21">
        <f>IF(H1018=0,0,I1018/H1018)</f>
        <v/>
      </c>
    </row>
    <row r="1019">
      <c r="A1019" s="17" t="inlineStr">
        <is>
          <t>FidMe</t>
        </is>
      </c>
      <c r="B1019" s="17" t="inlineStr">
        <is>
          <t>Live</t>
        </is>
      </c>
      <c r="C1019" s="17" t="inlineStr">
        <is>
          <t>Fidme Campagne 2</t>
        </is>
      </c>
      <c r="D1019" s="17" t="inlineStr">
        <is>
          <t>Sodas et thé glacé</t>
        </is>
      </c>
      <c r="E1019" s="18" t="inlineStr">
        <is>
          <t>Coca-Cola 850 ml -0,20 € | Fidme</t>
        </is>
      </c>
      <c r="F1019" s="17" t="inlineStr">
        <is>
          <t>0,20 € remboursés sur une bouteille Coca-Cola Original ou Zéro Sucres 850 ml. Activez l’offre dans l’appli Fidme, achetez en magasin et scannez le ticket.</t>
        </is>
      </c>
      <c r="G1019" s="19" t="inlineStr">
        <is>
          <t>https://courses.fidme.com/offre/a7ba56b7-0ff8-4935-bc0f-52bf29fccb67</t>
        </is>
      </c>
      <c r="H1019" s="20" t="n">
        <v>686</v>
      </c>
      <c r="I1019" s="20" t="n">
        <v>7</v>
      </c>
      <c r="J1019" s="21">
        <f>IF(H1019=0,0,I1019/H1019)</f>
        <v/>
      </c>
    </row>
    <row r="1020">
      <c r="A1020" s="17" t="inlineStr">
        <is>
          <t>FidMe</t>
        </is>
      </c>
      <c r="B1020" s="17" t="inlineStr">
        <is>
          <t>Live</t>
        </is>
      </c>
      <c r="C1020" s="17" t="inlineStr">
        <is>
          <t>Fidme Campagne 2</t>
        </is>
      </c>
      <c r="D1020" s="17" t="inlineStr">
        <is>
          <t>Charcuterie, apéro et plats prêts</t>
        </is>
      </c>
      <c r="E1020" s="18" t="inlineStr">
        <is>
          <t>Houmous Diipie -0,60 € | Fidme</t>
        </is>
      </c>
      <c r="F1020" s="17" t="inlineStr">
        <is>
          <t>0,60 € remboursés pour un houmous Diipie acheté en magasin. Activez l’offre dans l’appli Fidme avant les courses, puis scannez votre ticket de caisse.</t>
        </is>
      </c>
      <c r="G1020" s="19" t="inlineStr">
        <is>
          <t>https://courses.fidme.com/offre/a43f1cf6-c5f0-45f0-a242-95d97dab3352</t>
        </is>
      </c>
      <c r="H1020" s="20" t="n">
        <v>680</v>
      </c>
      <c r="I1020" s="20" t="n">
        <v>6</v>
      </c>
      <c r="J1020" s="21">
        <f>IF(H1020=0,0,I1020/H1020)</f>
        <v/>
      </c>
    </row>
    <row r="1021">
      <c r="A1021" s="17" t="inlineStr">
        <is>
          <t>FidMe</t>
        </is>
      </c>
      <c r="B1021" s="17" t="inlineStr">
        <is>
          <t>Live</t>
        </is>
      </c>
      <c r="C1021" s="17" t="inlineStr">
        <is>
          <t>Fidme Campagne 2</t>
        </is>
      </c>
      <c r="D1021" s="17" t="inlineStr">
        <is>
          <t>Charcuterie, apéro et plats prêts</t>
        </is>
      </c>
      <c r="E1021" s="18" t="inlineStr">
        <is>
          <t>Salade repas Daunat -0,80 € | Fidme</t>
        </is>
      </c>
      <c r="F1021" s="17" t="inlineStr">
        <is>
          <t>Un bon de 0,80 € sur une salade repas Daunat : activez-le dans l’appli Fidme, achetez la salade en magasin et scannez votre ticket pour être remboursé.</t>
        </is>
      </c>
      <c r="G1021" s="19" t="inlineStr">
        <is>
          <t>https://courses.fidme.com/offre/9919edc3-526d-4527-9e93-2e86e4dea341</t>
        </is>
      </c>
      <c r="H1021" s="20" t="n">
        <v>670</v>
      </c>
      <c r="I1021" s="20" t="n">
        <v>6</v>
      </c>
      <c r="J1021" s="21">
        <f>IF(H1021=0,0,I1021/H1021)</f>
        <v/>
      </c>
    </row>
    <row r="1022">
      <c r="A1022" s="17" t="inlineStr">
        <is>
          <t>FidMe</t>
        </is>
      </c>
      <c r="B1022" s="17" t="inlineStr">
        <is>
          <t>Live</t>
        </is>
      </c>
      <c r="C1022" s="17" t="inlineStr">
        <is>
          <t>Fidme Campagne 2</t>
        </is>
      </c>
      <c r="D1022" s="17" t="inlineStr">
        <is>
          <t>Fromages, beurres et lait</t>
        </is>
      </c>
      <c r="E1022" s="18" t="inlineStr">
        <is>
          <t>Beurre de Normandie Elle &amp; Vire 250 g -0,70 € | Fidme</t>
        </is>
      </c>
      <c r="F1022" s="17" t="inlineStr">
        <is>
          <t>0,70 € remboursés sur un produit de la gamme Le Beurre de Normandie Elle &amp; Vire 250 g. Activez l’offre dans l’appli Fidme et scannez votre ticket après l’achat.</t>
        </is>
      </c>
      <c r="G1022" s="19" t="inlineStr">
        <is>
          <t>https://courses.fidme.com/offre/3feb35b8-363d-43ad-b308-f243c6b41a87</t>
        </is>
      </c>
      <c r="H1022" s="20" t="n">
        <v>666</v>
      </c>
      <c r="I1022" s="20" t="n">
        <v>2</v>
      </c>
      <c r="J1022" s="21">
        <f>IF(H1022=0,0,I1022/H1022)</f>
        <v/>
      </c>
    </row>
    <row r="1023">
      <c r="A1023" s="17" t="inlineStr">
        <is>
          <t>FidMe</t>
        </is>
      </c>
      <c r="B1023" s="17" t="inlineStr">
        <is>
          <t>Live</t>
        </is>
      </c>
      <c r="C1023" s="17" t="inlineStr">
        <is>
          <t>Fidme Campagne 2</t>
        </is>
      </c>
      <c r="D1023" s="17" t="inlineStr">
        <is>
          <t>Bonbons et chewing-gums</t>
        </is>
      </c>
      <c r="E1023" s="18" t="inlineStr">
        <is>
          <t>Lutti Candy Paper -0,25 € | Fidme</t>
        </is>
      </c>
      <c r="F1023" s="17" t="inlineStr">
        <is>
          <t>Les nouveaux Candy Paper Lutti, des feuilles de bonbon à dérouler, avec 0,25 € remboursés : activez l’offre dans l’appli Fidme et scannez votre ticket.</t>
        </is>
      </c>
      <c r="G1023" s="19" t="inlineStr">
        <is>
          <t>https://courses.fidme.com/offre/b9d3dce9-2bad-44c6-b508-4bd1301a4ab7</t>
        </is>
      </c>
      <c r="H1023" s="20" t="n">
        <v>653</v>
      </c>
      <c r="I1023" s="20" t="n">
        <v>3</v>
      </c>
      <c r="J1023" s="21">
        <f>IF(H1023=0,0,I1023/H1023)</f>
        <v/>
      </c>
    </row>
    <row r="1024">
      <c r="A1024" s="17" t="inlineStr">
        <is>
          <t>FidMe</t>
        </is>
      </c>
      <c r="B1024" s="17" t="inlineStr">
        <is>
          <t>Live</t>
        </is>
      </c>
      <c r="C1024" s="17" t="inlineStr">
        <is>
          <t>Fidme Campagne 2</t>
        </is>
      </c>
      <c r="D1024" s="17" t="inlineStr">
        <is>
          <t>Soins visage et hygiène</t>
        </is>
      </c>
      <c r="E1024" s="18" t="inlineStr">
        <is>
          <t>Protections Tena Discreet -1 € | Fidme</t>
        </is>
      </c>
      <c r="F1024" s="17" t="inlineStr">
        <is>
          <t>1 € remboursé sur un produit de la gamme Tena Discreet, les protections fines pour fuites urinaires. Activez l’offre dans l’appli Fidme, scannez votre ticket.</t>
        </is>
      </c>
      <c r="G1024" s="19" t="inlineStr">
        <is>
          <t>https://courses.fidme.com/offre/bbb9bc57-a4bc-4e33-a0d7-a81ca03ff507</t>
        </is>
      </c>
      <c r="H1024" s="20" t="n">
        <v>626</v>
      </c>
      <c r="I1024" s="20" t="n">
        <v>4</v>
      </c>
      <c r="J1024" s="21">
        <f>IF(H1024=0,0,I1024/H1024)</f>
        <v/>
      </c>
    </row>
    <row r="1025">
      <c r="A1025" s="17" t="inlineStr">
        <is>
          <t>FidMe</t>
        </is>
      </c>
      <c r="B1025" s="17" t="inlineStr">
        <is>
          <t>Live</t>
        </is>
      </c>
      <c r="C1025" s="17" t="inlineStr">
        <is>
          <t>Fidme Campagne 2</t>
        </is>
      </c>
      <c r="D1025" s="17" t="inlineStr">
        <is>
          <t>Soins visage et hygiène</t>
        </is>
      </c>
      <c r="E1025" s="18" t="inlineStr">
        <is>
          <t>Masques et sérums visage Schaebens -0,50 € | Fidme</t>
        </is>
      </c>
      <c r="F1025" s="17" t="inlineStr">
        <is>
          <t>Sérums, patchs anti-imperfections et masques visage Schaebens : 0,50 € remboursés en activant l’offre dans l’appli Fidme et en scannant votre ticket.</t>
        </is>
      </c>
      <c r="G1025" s="19" t="inlineStr">
        <is>
          <t>https://courses.fidme.com/offre/de746817-cd59-4a7b-b679-daf97e101451</t>
        </is>
      </c>
      <c r="H1025" s="20" t="n">
        <v>612</v>
      </c>
      <c r="I1025" s="20" t="n">
        <v>3</v>
      </c>
      <c r="J1025" s="21">
        <f>IF(H1025=0,0,I1025/H1025)</f>
        <v/>
      </c>
    </row>
    <row r="1026">
      <c r="A1026" s="17" t="inlineStr">
        <is>
          <t>FidMe</t>
        </is>
      </c>
      <c r="B1026" s="17" t="inlineStr">
        <is>
          <t>Live</t>
        </is>
      </c>
      <c r="C1026" s="17" t="inlineStr">
        <is>
          <t>Fidme Campagne 2</t>
        </is>
      </c>
      <c r="D1026" s="17" t="inlineStr">
        <is>
          <t>Fromages, beurres et lait</t>
        </is>
      </c>
      <c r="E1026" s="18" t="inlineStr">
        <is>
          <t>Fol Épi tranches -0,50 € | Fidme</t>
        </is>
      </c>
      <c r="F1026" s="17" t="inlineStr">
        <is>
          <t>0,50 € remboursés sur un produit de la gamme Fol Épi tranches : activez l’offre dans l’appli Fidme, achetez en magasin et scannez votre ticket de caisse.</t>
        </is>
      </c>
      <c r="G1026" s="19" t="inlineStr">
        <is>
          <t>https://courses.fidme.com/offre/8f335cce-a2fd-494b-ad7c-b059eb8ad2fa</t>
        </is>
      </c>
      <c r="H1026" s="20" t="n">
        <v>601</v>
      </c>
      <c r="I1026" s="20" t="n">
        <v>2</v>
      </c>
      <c r="J1026" s="21">
        <f>IF(H1026=0,0,I1026/H1026)</f>
        <v/>
      </c>
    </row>
    <row r="1027">
      <c r="A1027" s="17" t="inlineStr">
        <is>
          <t>FidMe</t>
        </is>
      </c>
      <c r="B1027" s="17" t="inlineStr">
        <is>
          <t>Live</t>
        </is>
      </c>
      <c r="C1027" s="17" t="inlineStr">
        <is>
          <t>Fidme Campagne 2</t>
        </is>
      </c>
      <c r="D1027" s="17" t="inlineStr">
        <is>
          <t>Sodas et thé glacé</t>
        </is>
      </c>
      <c r="E1027" s="18" t="inlineStr">
        <is>
          <t>Coca-Cola et Fanta achetés ensemble -0,40 € | Fidme</t>
        </is>
      </c>
      <c r="F1027" s="17" t="inlineStr">
        <is>
          <t>Achetez un Coca-Cola et un Fanta en même temps et récupérez 0,40 € : l’offre s’active dans l’appli Fidme et se rembourse sur votre ticket de caisse.</t>
        </is>
      </c>
      <c r="G1027" s="19" t="inlineStr">
        <is>
          <t>https://courses.fidme.com/offre/6466e0bc-186c-4234-8fe6-d605c8367891</t>
        </is>
      </c>
      <c r="H1027" s="20" t="n">
        <v>588</v>
      </c>
      <c r="I1027" s="20" t="n">
        <v>3</v>
      </c>
      <c r="J1027" s="21">
        <f>IF(H1027=0,0,I1027/H1027)</f>
        <v/>
      </c>
    </row>
    <row r="1028">
      <c r="A1028" s="17" t="inlineStr">
        <is>
          <t>FidMe</t>
        </is>
      </c>
      <c r="B1028" s="17" t="inlineStr">
        <is>
          <t>Live</t>
        </is>
      </c>
      <c r="C1028" s="17" t="inlineStr">
        <is>
          <t>Fidme Campagne 2</t>
        </is>
      </c>
      <c r="D1028" s="17" t="inlineStr">
        <is>
          <t>Sodas et thé glacé</t>
        </is>
      </c>
      <c r="E1028" s="18" t="inlineStr">
        <is>
          <t>Thé glacé Fuze Tea -0,20 € | Fidme</t>
        </is>
      </c>
      <c r="F1028" s="17" t="inlineStr">
        <is>
          <t>0,20 € remboursés sur un produit de la gamme Fuze Tea. Activez l’offre dans l’appli Fidme avant vos courses, puis scannez votre ticket de caisse en rentrant.</t>
        </is>
      </c>
      <c r="G1028" s="19" t="inlineStr">
        <is>
          <t>https://courses.fidme.com/offre/a698f616-9414-40e2-bdf5-446c144bd61d</t>
        </is>
      </c>
      <c r="H1028" s="20" t="n">
        <v>584</v>
      </c>
      <c r="I1028" s="20" t="n">
        <v>2</v>
      </c>
      <c r="J1028" s="21">
        <f>IF(H1028=0,0,I1028/H1028)</f>
        <v/>
      </c>
    </row>
    <row r="1029">
      <c r="A1029" s="17" t="inlineStr">
        <is>
          <t>FidMe</t>
        </is>
      </c>
      <c r="B1029" s="17" t="inlineStr">
        <is>
          <t>Live</t>
        </is>
      </c>
      <c r="C1029" s="17" t="inlineStr">
        <is>
          <t>Fidme Campagne 2</t>
        </is>
      </c>
      <c r="D1029" s="17" t="inlineStr">
        <is>
          <t>Sodas et thé glacé</t>
        </is>
      </c>
      <c r="E1029" s="18" t="inlineStr">
        <is>
          <t>Coca-Cola Zéro Caféine Zéro Sucres -0,20 € | Fidme</t>
        </is>
      </c>
      <c r="F1029" s="17" t="inlineStr">
        <is>
          <t>Un produit de la gamme Coca-Cola Zéro Caféine Zéro Sucres acheté en magasin, 0,20 € rendus via l’appli Fidme après scan de votre ticket de caisse.</t>
        </is>
      </c>
      <c r="G1029" s="19" t="inlineStr">
        <is>
          <t>https://courses.fidme.com/offre/fc8ba692-11e1-4878-946d-5db6582187ab</t>
        </is>
      </c>
      <c r="H1029" s="20" t="n">
        <v>584</v>
      </c>
      <c r="I1029" s="20" t="n">
        <v>0</v>
      </c>
      <c r="J1029" s="21">
        <f>IF(H1029=0,0,I1029/H1029)</f>
        <v/>
      </c>
    </row>
    <row r="1030">
      <c r="A1030" s="17" t="inlineStr">
        <is>
          <t>FidMe</t>
        </is>
      </c>
      <c r="B1030" s="17" t="inlineStr">
        <is>
          <t>Live</t>
        </is>
      </c>
      <c r="C1030" s="17" t="inlineStr">
        <is>
          <t>Fidme Campagne 2</t>
        </is>
      </c>
      <c r="D1030" s="17" t="inlineStr">
        <is>
          <t>Bonbons et chewing-gums</t>
        </is>
      </c>
      <c r="E1030" s="18" t="inlineStr">
        <is>
          <t>Chewing-gums Lutti Bubble -0,40 € | Fidme</t>
        </is>
      </c>
      <c r="F1030" s="17" t="inlineStr">
        <is>
          <t>Mega Bubble, Bubblizz et Tubble Gum : 0,40 € remboursés sur la gamme Bubble Lutti. Activez l’offre dans l’appli Fidme, achetez en magasin et scannez le ticket.</t>
        </is>
      </c>
      <c r="G1030" s="19" t="inlineStr">
        <is>
          <t>https://courses.fidme.com/offre/fa3c6e0d-71e1-47b8-aca2-68bad147a579</t>
        </is>
      </c>
      <c r="H1030" s="20" t="n">
        <v>581</v>
      </c>
      <c r="I1030" s="20" t="n">
        <v>4</v>
      </c>
      <c r="J1030" s="21">
        <f>IF(H1030=0,0,I1030/H1030)</f>
        <v/>
      </c>
    </row>
    <row r="1031">
      <c r="A1031" s="17" t="inlineStr">
        <is>
          <t>FidMe</t>
        </is>
      </c>
      <c r="B1031" s="17" t="inlineStr">
        <is>
          <t>Live</t>
        </is>
      </c>
      <c r="C1031" s="17" t="inlineStr">
        <is>
          <t>Fidme Campagne 2</t>
        </is>
      </c>
      <c r="D1031" s="17" t="inlineStr">
        <is>
          <t>Sacs poubelle</t>
        </is>
      </c>
      <c r="E1031" s="18" t="inlineStr">
        <is>
          <t>Sacs poubelle Handy Bag -0,60 € | Fidme</t>
        </is>
      </c>
      <c r="F1031" s="17" t="inlineStr">
        <is>
          <t>0,60 € remboursés sur des sacs poubelle Handy Bag, résistants et pratiques. Activez l’offre dans l’appli Fidme, achetez en magasin et scannez votre ticket.</t>
        </is>
      </c>
      <c r="G1031" s="19" t="inlineStr">
        <is>
          <t>https://courses.fidme.com/offre/4a68be59-b53e-4623-8046-c70193d30d2a</t>
        </is>
      </c>
      <c r="H1031" s="20" t="n">
        <v>580</v>
      </c>
      <c r="I1031" s="20" t="n">
        <v>3</v>
      </c>
      <c r="J1031" s="21">
        <f>IF(H1031=0,0,I1031/H1031)</f>
        <v/>
      </c>
    </row>
    <row r="1032">
      <c r="A1032" s="17" t="inlineStr">
        <is>
          <t>FidMe</t>
        </is>
      </c>
      <c r="B1032" s="17" t="inlineStr">
        <is>
          <t>Live</t>
        </is>
      </c>
      <c r="C1032" s="17" t="inlineStr">
        <is>
          <t>Fidme Campagne 2</t>
        </is>
      </c>
      <c r="D1032" s="17" t="inlineStr">
        <is>
          <t>Boissons</t>
        </is>
      </c>
      <c r="E1032" s="18" t="inlineStr">
        <is>
          <t>Boissons végétales Bjorg au rayon lait UHT | Fidme Courses</t>
        </is>
      </c>
      <c r="F1032" s="17" t="inlineStr">
        <is>
          <t>Des boissons végétales Bjorg idéales au petit-déjeuner, en pause gourmande et pour des cafés barista à la maison !</t>
        </is>
      </c>
      <c r="G1032" s="19" t="inlineStr">
        <is>
          <t>https://courses.fidme.com/offre/16c49d2a-e2c5-49b0-825f-60ca722bd207?mtm_campaign=testGEA_lemrock_2026-08&amp;mtm_kwd=GEA&amp;mtm_medium=paid_GEA_lemrock&amp;mtm_content=bjorg</t>
        </is>
      </c>
      <c r="H1032" s="20" t="n">
        <v>438</v>
      </c>
      <c r="I1032" s="20" t="n">
        <v>3</v>
      </c>
      <c r="J1032" s="21">
        <f>IF(H1032=0,0,I1032/H1032)</f>
        <v/>
      </c>
    </row>
    <row r="1033">
      <c r="A1033" s="17" t="inlineStr">
        <is>
          <t>FidMe</t>
        </is>
      </c>
      <c r="B1033" s="17" t="inlineStr">
        <is>
          <t>Live</t>
        </is>
      </c>
      <c r="C1033" s="17" t="inlineStr">
        <is>
          <t>Fidme Campagne 2</t>
        </is>
      </c>
      <c r="D1033" s="17" t="inlineStr">
        <is>
          <t>Boissons</t>
        </is>
      </c>
      <c r="E1033" s="18" t="inlineStr">
        <is>
          <t>LIPTON PETILLANT | Fidme Courses</t>
        </is>
      </c>
      <c r="F1033" s="17" t="inlineStr">
        <is>
          <t>0,45€ pour l'achat d'une bouteille 1,25L de la gamme Lipton Pétillant</t>
        </is>
      </c>
      <c r="G1033" s="19" t="inlineStr">
        <is>
          <t>https://courses.fidme.com/offre/9d959300-80d6-405f-9688-a49cda08010e?mtm_campaign=testGEA_lemrock_2026-08&amp;mtm_kwd=GEA&amp;mtm_medium=paid_GEA_lemrock&amp;mtm_content=lipton</t>
        </is>
      </c>
      <c r="H1033" s="20" t="n">
        <v>393</v>
      </c>
      <c r="I1033" s="20" t="n">
        <v>2</v>
      </c>
      <c r="J1033" s="21">
        <f>IF(H1033=0,0,I1033/H1033)</f>
        <v/>
      </c>
    </row>
    <row r="1034">
      <c r="A1034" s="17" t="inlineStr">
        <is>
          <t>FidMe</t>
        </is>
      </c>
      <c r="B1034" s="17" t="inlineStr">
        <is>
          <t>Live</t>
        </is>
      </c>
      <c r="C1034" s="17" t="inlineStr">
        <is>
          <t>Fidme Campagne 2</t>
        </is>
      </c>
      <c r="D1034" s="17" t="inlineStr">
        <is>
          <t>Boissons</t>
        </is>
      </c>
      <c r="E1034" s="18" t="inlineStr">
        <is>
          <t>Poulain Poudres | Fidme Courses</t>
        </is>
      </c>
      <c r="F1034" s="17" t="inlineStr">
        <is>
          <t>Poulain Poudres Cacaotées : Grand Arôme 450g et 800g, et Super Poulain 450g et 1kg</t>
        </is>
      </c>
      <c r="G1034" s="19" t="inlineStr">
        <is>
          <t>https://courses.fidme.com/offre/024f9b29-cac9-4f1a-94e5-ed6a84448c3b?mtm_campaign=testGEA_lemrock_2026-08&amp;mtm_kwd=GEA&amp;mtm_medium=paid_GEA_lemrock&amp;mtm_content=poulain</t>
        </is>
      </c>
      <c r="H1034" s="20" t="n">
        <v>329</v>
      </c>
      <c r="I1034" s="20" t="n">
        <v>1</v>
      </c>
      <c r="J1034" s="21">
        <f>IF(H1034=0,0,I1034/H1034)</f>
        <v/>
      </c>
    </row>
    <row r="1035">
      <c r="A1035" s="17" t="inlineStr">
        <is>
          <t>FidMe</t>
        </is>
      </c>
      <c r="B1035" s="17" t="inlineStr">
        <is>
          <t>Live</t>
        </is>
      </c>
      <c r="C1035" s="17" t="inlineStr">
        <is>
          <t>Fidme Campagne 2</t>
        </is>
      </c>
      <c r="D1035" s="17" t="inlineStr">
        <is>
          <t>Boissons</t>
        </is>
      </c>
      <c r="E1035" s="18" t="inlineStr">
        <is>
          <t>REDUCTION OASIS ICE TEA | Fidme Courses</t>
        </is>
      </c>
      <c r="F1035" s="17" t="inlineStr">
        <is>
          <t>Offre de remboursement de 0,30€ pour l'achat d'un produit de la gamme Oasis Ice Tea</t>
        </is>
      </c>
      <c r="G1035" s="19" t="inlineStr">
        <is>
          <t>https://courses.fidme.com/offre/48247382-4106-4c74-9491-d6cf088b4c98?mtm_campaign=testGEA_lemrock_2026-08&amp;mtm_kwd=GEA&amp;mtm_medium=paid_GEA_lemrock&amp;mtm_content=oasis</t>
        </is>
      </c>
      <c r="H1035" s="20" t="n">
        <v>289</v>
      </c>
      <c r="I1035" s="20" t="n">
        <v>1</v>
      </c>
      <c r="J1035" s="21">
        <f>IF(H1035=0,0,I1035/H1035)</f>
        <v/>
      </c>
    </row>
    <row r="1036">
      <c r="A1036" s="17" t="inlineStr">
        <is>
          <t>FidMe</t>
        </is>
      </c>
      <c r="B1036" s="17" t="inlineStr">
        <is>
          <t>Live</t>
        </is>
      </c>
      <c r="C1036" s="17" t="inlineStr">
        <is>
          <t>Fidme Campagne 2</t>
        </is>
      </c>
      <c r="D1036" s="17" t="inlineStr">
        <is>
          <t>Boissons</t>
        </is>
      </c>
      <c r="E1036" s="18" t="inlineStr">
        <is>
          <t>0,15€ de réduction pour l'achat d'une canette Coca-Cola</t>
        </is>
      </c>
      <c r="F1036" s="17" t="inlineStr">
        <is>
          <t>0,15€ de réduction pour l'achat d'une canette Coca-Cola Original ou Zéro Sucres 50cl !!</t>
        </is>
      </c>
      <c r="G1036" s="19" t="inlineStr">
        <is>
          <t>https://courses.fidme.com/offre/2f862056-f2d5-48bf-b411-c73e3a97712f?mtm_campaign=testGEA_lemrock_2026-08&amp;mtm_kwd=GEA&amp;mtm_medium=paid_GEA_lemrock&amp;mtm_content=coca-cola</t>
        </is>
      </c>
      <c r="H1036" s="20" t="n">
        <v>286</v>
      </c>
      <c r="I1036" s="20" t="n">
        <v>1</v>
      </c>
      <c r="J1036" s="21">
        <f>IF(H1036=0,0,I1036/H1036)</f>
        <v/>
      </c>
    </row>
    <row r="1037">
      <c r="A1037" s="17" t="inlineStr">
        <is>
          <t>FidMe</t>
        </is>
      </c>
      <c r="B1037" s="17" t="inlineStr">
        <is>
          <t>Live</t>
        </is>
      </c>
      <c r="C1037" s="17" t="inlineStr">
        <is>
          <t>Fidme Campagne 2</t>
        </is>
      </c>
      <c r="D1037" s="17" t="inlineStr">
        <is>
          <t>Boissons</t>
        </is>
      </c>
      <c r="E1037" s="18" t="inlineStr">
        <is>
          <t>Tropicana Vitamines+ et Fibres+ | Fidme Courses</t>
        </is>
      </c>
      <c r="F1037" s="17" t="inlineStr">
        <is>
          <t>Faîtes le plein de vitamines et de fibres pour bien commencer la journée !</t>
        </is>
      </c>
      <c r="G1037" s="19" t="inlineStr">
        <is>
          <t>https://courses.fidme.com/offre/c09bab58-9310-4a70-bb4d-e97730d27e20?mtm_campaign=testGEA_lemrock_2026-08&amp;mtm_kwd=GEA&amp;mtm_medium=paid_GEA_lemrock&amp;mtm_content=tropicana</t>
        </is>
      </c>
      <c r="H1037" s="20" t="n">
        <v>269</v>
      </c>
      <c r="I1037" s="20" t="n">
        <v>0</v>
      </c>
      <c r="J1037" s="21">
        <f>IF(H1037=0,0,I1037/H1037)</f>
        <v/>
      </c>
    </row>
    <row r="1038">
      <c r="A1038" s="17" t="inlineStr">
        <is>
          <t>FidMe</t>
        </is>
      </c>
      <c r="B1038" s="17" t="inlineStr">
        <is>
          <t>Live</t>
        </is>
      </c>
      <c r="C1038" s="17" t="inlineStr">
        <is>
          <t>Fidme Campagne 2</t>
        </is>
      </c>
      <c r="D1038" s="17" t="inlineStr">
        <is>
          <t>Boissons</t>
        </is>
      </c>
      <c r="E1038" s="18" t="inlineStr">
        <is>
          <t>Starbucks® Protein Drink | Fidme Courses</t>
        </is>
      </c>
      <c r="F1038" s="17" t="inlineStr">
        <is>
          <t>0.50€ de réduction sur une bouteille de la gamme Starbucks® boissons protéinées 330ml</t>
        </is>
      </c>
      <c r="G1038" s="19" t="inlineStr">
        <is>
          <t>https://courses.fidme.com/offre/fa6f6359-5639-47d7-91b3-ead284e137a7?mtm_campaign=testGEA_lemrock_2026-08&amp;mtm_kwd=GEA&amp;mtm_medium=paid_GEA_lemrock&amp;mtm_content=starbucks</t>
        </is>
      </c>
      <c r="H1038" s="20" t="n">
        <v>265</v>
      </c>
      <c r="I1038" s="20" t="n">
        <v>2</v>
      </c>
      <c r="J1038" s="21">
        <f>IF(H1038=0,0,I1038/H1038)</f>
        <v/>
      </c>
    </row>
    <row r="1039">
      <c r="A1039" s="17" t="inlineStr">
        <is>
          <t>FidMe</t>
        </is>
      </c>
      <c r="B1039" s="17" t="inlineStr">
        <is>
          <t>Live</t>
        </is>
      </c>
      <c r="C1039" s="17" t="inlineStr">
        <is>
          <t>Fidme Campagne 2</t>
        </is>
      </c>
      <c r="D1039" s="17" t="inlineStr">
        <is>
          <t>Boissons</t>
        </is>
      </c>
      <c r="E1039" s="18" t="inlineStr">
        <is>
          <t>0,20€ de réduction pour l'achat d'une canette MONSTER</t>
        </is>
      </c>
      <c r="F1039" s="17" t="inlineStr">
        <is>
          <t>0,20€ de réduction pour l'achat d'une canette MONSTER ENERGY !</t>
        </is>
      </c>
      <c r="G1039" s="19" t="inlineStr">
        <is>
          <t>https://courses.fidme.com/offre/6cf4f4be-495a-4708-bd3a-6bdd1784e8c8?mtm_campaign=testGEA_lemrock_2026-08&amp;mtm_kwd=GEA&amp;mtm_medium=paid_GEA_lemrock&amp;mtm_content=monster</t>
        </is>
      </c>
      <c r="H1039" s="20" t="n">
        <v>262</v>
      </c>
      <c r="I1039" s="20" t="n">
        <v>3</v>
      </c>
      <c r="J1039" s="21">
        <f>IF(H1039=0,0,I1039/H1039)</f>
        <v/>
      </c>
    </row>
    <row r="1040">
      <c r="A1040" s="17" t="inlineStr">
        <is>
          <t>FidMe</t>
        </is>
      </c>
      <c r="B1040" s="17" t="inlineStr">
        <is>
          <t>Live</t>
        </is>
      </c>
      <c r="C1040" s="17" t="inlineStr">
        <is>
          <t>Fidme Campagne 2</t>
        </is>
      </c>
      <c r="D1040" s="17" t="inlineStr">
        <is>
          <t>Boissons</t>
        </is>
      </c>
      <c r="E1040" s="18" t="inlineStr">
        <is>
          <t>Canada Dry Ginger Ale | Fidme Courses</t>
        </is>
      </c>
      <c r="F1040" s="17" t="inlineStr">
        <is>
          <t>Une boisson pétillante au goût unique de gingembre, rafraîchissante et légère, parfaite à tout moment de la journée !</t>
        </is>
      </c>
      <c r="G1040" s="19" t="inlineStr">
        <is>
          <t>https://courses.fidme.com/offre/e9d6b112-8bad-444e-ac50-a9d568185bf3?mtm_campaign=testGEA_lemrock_2026-08&amp;mtm_kwd=GEA&amp;mtm_medium=paid_GEA_lemrock&amp;mtm_content=canada-dry</t>
        </is>
      </c>
      <c r="H1040" s="20" t="n">
        <v>245</v>
      </c>
      <c r="I1040" s="20" t="n">
        <v>3</v>
      </c>
      <c r="J1040" s="21">
        <f>IF(H1040=0,0,I1040/H1040)</f>
        <v/>
      </c>
    </row>
    <row r="1041">
      <c r="A1041" s="17" t="inlineStr">
        <is>
          <t>Pour de Bon</t>
        </is>
      </c>
      <c r="B1041" s="17" t="inlineStr">
        <is>
          <t>Live</t>
        </is>
      </c>
      <c r="C1041" s="17" t="inlineStr">
        <is>
          <t>Pour De Bon</t>
        </is>
      </c>
      <c r="D1041" s="17" t="inlineStr">
        <is>
          <t>Poissons et fruits de mer</t>
        </is>
      </c>
      <c r="E1041" s="18" t="inlineStr">
        <is>
          <t>[Précommande] Colis Raviolis Bœuf-carotte 4x250g</t>
        </is>
      </c>
      <c r="F1041" s="17" t="inlineStr">
        <is>
          <t>Achat [Précommande] Colis Raviolis Bœuf-carotte 4x250g en direct de Lioravi, l'authentique pâte fraîche ! avec Pourdebon. Lot de 4 barquettes de raviolis bœuf-carotte biologiques.</t>
        </is>
      </c>
      <c r="G1041" s="19" t="inlineStr">
        <is>
          <t>https://www.pourdebon.com/colis-raviolis-boeuf-carotte-4x250g-p16671?utm_source=partenaire&amp;utm_medium=Lemrock&amp;utm_content=Lemrock&amp;utm_campaign=Lemrock</t>
        </is>
      </c>
      <c r="H1041" s="20" t="n">
        <v>32369</v>
      </c>
      <c r="I1041" s="20" t="n">
        <v>61</v>
      </c>
      <c r="J1041" s="21">
        <f>IF(H1041=0,0,I1041/H1041)</f>
        <v/>
      </c>
    </row>
    <row r="1042">
      <c r="A1042" s="17" t="inlineStr">
        <is>
          <t>Pour de Bon</t>
        </is>
      </c>
      <c r="B1042" s="17" t="inlineStr">
        <is>
          <t>Live</t>
        </is>
      </c>
      <c r="C1042" s="17" t="inlineStr">
        <is>
          <t>Pour De Bon</t>
        </is>
      </c>
      <c r="D1042" s="17" t="inlineStr">
        <is>
          <t>Poissons et fruits de mer</t>
        </is>
      </c>
      <c r="E1042" s="18" t="inlineStr">
        <is>
          <t>Huitres Gratinées Au Champagne Et À L’orange - 4 Pièces</t>
        </is>
      </c>
      <c r="F1042" s="17" t="inlineStr">
        <is>
          <t>Achat Huitres Gratinées Au Champagne Et À L’orange - 4 Pièces en direct de Aquaprawna Traiteur avec Pourdebon. Aromatisée au champagne, et à l’orange, notre recette d'huitres</t>
        </is>
      </c>
      <c r="G1042" s="19" t="inlineStr">
        <is>
          <t>https://www.pourdebon.com/huitres-gratinees-au-champagne-et-a-l-orange-4-pieces-p11038?utm_source=partenaire&amp;utm_medium=Lemrock&amp;utm_content=Lemrock&amp;utm_campaign=Lemrock</t>
        </is>
      </c>
      <c r="H1042" s="20" t="n">
        <v>18787</v>
      </c>
      <c r="I1042" s="20" t="n">
        <v>39</v>
      </c>
      <c r="J1042" s="21">
        <f>IF(H1042=0,0,I1042/H1042)</f>
        <v/>
      </c>
    </row>
    <row r="1043">
      <c r="A1043" s="17" t="inlineStr">
        <is>
          <t>Pour de Bon</t>
        </is>
      </c>
      <c r="B1043" s="17" t="inlineStr">
        <is>
          <t>Live</t>
        </is>
      </c>
      <c r="C1043" s="17" t="inlineStr">
        <is>
          <t>Pour De Bon</t>
        </is>
      </c>
      <c r="D1043" s="17" t="inlineStr">
        <is>
          <t>Pains et douceurs artisanales</t>
        </is>
      </c>
      <c r="E1043" s="18" t="inlineStr">
        <is>
          <t>Pain D'épices Au Miel - En direct de La Maison des Abeilles</t>
        </is>
      </c>
      <c r="F1043" s="17" t="inlineStr">
        <is>
          <t>Une recette authentique pour un résultat ultra-gourmand, qui fait le bonheur des petits et des grands ! Riche en miel (30%), moelleux et savoureux. Nos suggestions : A déguster</t>
        </is>
      </c>
      <c r="G1043" s="19" t="inlineStr">
        <is>
          <t>https://www.pourdebon.com/pain-d-epices-au-miel-p4631</t>
        </is>
      </c>
      <c r="H1043" s="20" t="n">
        <v>14814</v>
      </c>
      <c r="I1043" s="20" t="n">
        <v>72</v>
      </c>
      <c r="J1043" s="21">
        <f>IF(H1043=0,0,I1043/H1043)</f>
        <v/>
      </c>
    </row>
    <row r="1044">
      <c r="A1044" s="17" t="inlineStr">
        <is>
          <t>Pour de Bon</t>
        </is>
      </c>
      <c r="B1044" s="17" t="inlineStr">
        <is>
          <t>Live</t>
        </is>
      </c>
      <c r="C1044" s="17" t="inlineStr">
        <is>
          <t>Pour De Bon</t>
        </is>
      </c>
      <c r="D1044" s="17" t="inlineStr">
        <is>
          <t>Fromages et crèmerie</t>
        </is>
      </c>
      <c r="E1044" s="18" t="inlineStr">
        <is>
          <t>Fromage blanc frais lissé 7% - 50cl - En direct de</t>
        </is>
      </c>
      <c r="F1044" s="17" t="inlineStr">
        <is>
          <t>Le Fromage blanc lissé, d’un aspect lisse et satiné est onctueux. Ilse mariera à merveille dans vos recettes salées ou sucrées, avec une cuillère de confiture, de miel , … ou tout</t>
        </is>
      </c>
      <c r="G1044" s="19" t="inlineStr">
        <is>
          <t>https://www.pourdebon.com/fromage-blanc-frais-lisse-7-50cl-p203</t>
        </is>
      </c>
      <c r="H1044" s="20" t="n">
        <v>14181</v>
      </c>
      <c r="I1044" s="20" t="n">
        <v>47</v>
      </c>
      <c r="J1044" s="21">
        <f>IF(H1044=0,0,I1044/H1044)</f>
        <v/>
      </c>
    </row>
    <row r="1045">
      <c r="A1045" s="17" t="inlineStr">
        <is>
          <t>Pour de Bon</t>
        </is>
      </c>
      <c r="B1045" s="17" t="inlineStr">
        <is>
          <t>Live</t>
        </is>
      </c>
      <c r="C1045" s="17" t="inlineStr">
        <is>
          <t>Pour De Bon</t>
        </is>
      </c>
      <c r="D1045" s="17" t="inlineStr">
        <is>
          <t>Pains et douceurs artisanales</t>
        </is>
      </c>
      <c r="E1045" s="18" t="inlineStr">
        <is>
          <t>Farz Gwiniszh Du Ou Pain Breton Au Sarrasin - En direct de</t>
        </is>
      </c>
      <c r="F1045" s="17" t="inlineStr">
        <is>
          <t>Le farz gwiniszh du est une spécialité à base de farine de sarrasin (blé noir) encore appelée ''pain breton''. Très pratique en conserve, il se réchauffe 5 min au micro ondes</t>
        </is>
      </c>
      <c r="G1045" s="19" t="inlineStr">
        <is>
          <t>https://www.pourdebon.com/farz-gwiniszh-du-ou-pain-breton-au-sarrasin-p5128</t>
        </is>
      </c>
      <c r="H1045" s="20" t="n">
        <v>13158</v>
      </c>
      <c r="I1045" s="20" t="n">
        <v>73</v>
      </c>
      <c r="J1045" s="21">
        <f>IF(H1045=0,0,I1045/H1045)</f>
        <v/>
      </c>
    </row>
    <row r="1046">
      <c r="A1046" s="17" t="inlineStr">
        <is>
          <t>Pour de Bon</t>
        </is>
      </c>
      <c r="B1046" s="17" t="inlineStr">
        <is>
          <t>Live</t>
        </is>
      </c>
      <c r="C1046" s="17" t="inlineStr">
        <is>
          <t>Pour De Bon</t>
        </is>
      </c>
      <c r="D1046" s="17" t="inlineStr">
        <is>
          <t>Charcuterie, confits et terrines</t>
        </is>
      </c>
      <c r="E1046" s="18" t="inlineStr">
        <is>
          <t>Rôti de veau bio dans l'épaule** (race limousine) - 500g</t>
        </is>
      </c>
      <c r="F1046" s="17" t="inlineStr">
        <is>
          <t>Rôti de veau bio dans l'épaule** (race limousine) - 500g.Roti dans l'épaule de veau 500g, un beau morceau tendre et moelleux à daguster après une cuisson cocotte 1h dans four dans</t>
        </is>
      </c>
      <c r="G1046" s="19" t="inlineStr">
        <is>
          <t>https://www.pourdebon.com/roti-de-veau-bio-dans-l-epaule-race-limousine-500g-p2454</t>
        </is>
      </c>
      <c r="H1046" s="20" t="n">
        <v>12167</v>
      </c>
      <c r="I1046" s="20" t="n">
        <v>54</v>
      </c>
      <c r="J1046" s="21">
        <f>IF(H1046=0,0,I1046/H1046)</f>
        <v/>
      </c>
    </row>
    <row r="1047">
      <c r="A1047" s="17" t="inlineStr">
        <is>
          <t>Pour de Bon</t>
        </is>
      </c>
      <c r="B1047" s="17" t="inlineStr">
        <is>
          <t>Live</t>
        </is>
      </c>
      <c r="C1047" s="17" t="inlineStr">
        <is>
          <t>Pour De Bon</t>
        </is>
      </c>
      <c r="D1047" s="17" t="inlineStr">
        <is>
          <t>Champagnes et coffrets champagne</t>
        </is>
      </c>
      <c r="E1047" s="18" t="inlineStr">
        <is>
          <t>Saveurs Divines (fraise Mara Des Bois, Champagne)</t>
        </is>
      </c>
      <c r="F1047" s="17" t="inlineStr">
        <is>
          <t>Achat Saveurs Divines (fraise Mara Des Bois, Champagne) en direct de L'Epicurien avec Pourdebon. La fraise Mara des Bois est une variété de haute qualité pa</t>
        </is>
      </c>
      <c r="G1047" s="19" t="inlineStr">
        <is>
          <t>https://www.pourdebon.com/saveurs-divines-fraise-mara-des-bois-champagne-p608?utm_source=partenaire&amp;utm_medium=Lemrock&amp;utm_content=Lemrock&amp;utm_campaign=Lemrock</t>
        </is>
      </c>
      <c r="H1047" s="20" t="n">
        <v>11828</v>
      </c>
      <c r="I1047" s="20" t="n">
        <v>28</v>
      </c>
      <c r="J1047" s="21">
        <f>IF(H1047=0,0,I1047/H1047)</f>
        <v/>
      </c>
    </row>
    <row r="1048">
      <c r="A1048" s="17" t="inlineStr">
        <is>
          <t>Pour de Bon</t>
        </is>
      </c>
      <c r="B1048" s="17" t="inlineStr">
        <is>
          <t>Live</t>
        </is>
      </c>
      <c r="C1048" s="17" t="inlineStr">
        <is>
          <t>Pour De Bon</t>
        </is>
      </c>
      <c r="D1048" s="17" t="inlineStr">
        <is>
          <t>Charcuterie, confits et terrines</t>
        </is>
      </c>
      <c r="E1048" s="18" t="inlineStr">
        <is>
          <t>Confit de 2 Magrets de Canard</t>
        </is>
      </c>
      <c r="F1048" s="17" t="inlineStr">
        <is>
          <t>Achat Confit de 2 Magrets de Canard en direct de Esprit Foie Gras avec Pourdebon. La viande est cuite dans sa graisse dont on connaît les vertus. Selon des</t>
        </is>
      </c>
      <c r="G1048" s="19" t="inlineStr">
        <is>
          <t>https://www.pourdebon.com/confit-de-2-magrets-de-canard-p4484?utm_source=partenaire&amp;utm_medium=Lemrock&amp;utm_content=Lemrock&amp;utm_campaign=Lemrock</t>
        </is>
      </c>
      <c r="H1048" s="20" t="n">
        <v>10958</v>
      </c>
      <c r="I1048" s="20" t="n">
        <v>35</v>
      </c>
      <c r="J1048" s="21">
        <f>IF(H1048=0,0,I1048/H1048)</f>
        <v/>
      </c>
    </row>
    <row r="1049">
      <c r="A1049" s="17" t="inlineStr">
        <is>
          <t>Pour de Bon</t>
        </is>
      </c>
      <c r="B1049" s="17" t="inlineStr">
        <is>
          <t>Live</t>
        </is>
      </c>
      <c r="C1049" s="17" t="inlineStr">
        <is>
          <t>Pour De Bon</t>
        </is>
      </c>
      <c r="D1049" s="17" t="inlineStr">
        <is>
          <t>Champagnes et coffrets champagne</t>
        </is>
      </c>
      <c r="E1049" s="18" t="inlineStr">
        <is>
          <t>Champagne Deneufchatel Brut Tradition 1 X 75 Cl</t>
        </is>
      </c>
      <c r="F1049" s="17" t="inlineStr">
        <is>
          <t>Achat Champagne Deneufchatel Brut Tradition 1 X 75 Cl en direct de Champagne Deneufchatel avec Pourdebon. Champagne Deneufchatel Brut Tradition possède une robe à reflets a</t>
        </is>
      </c>
      <c r="G1049" s="19" t="inlineStr">
        <is>
          <t>https://www.pourdebon.com/champagne-deneufchatel-brut-tradition-1-x-75-cl-p9473?utm_source=partenaire&amp;utm_medium=Lemrock&amp;utm_content=Lemrock&amp;utm_campaign=Lemrock</t>
        </is>
      </c>
      <c r="H1049" s="20" t="n">
        <v>10099</v>
      </c>
      <c r="I1049" s="20" t="n">
        <v>49</v>
      </c>
      <c r="J1049" s="21">
        <f>IF(H1049=0,0,I1049/H1049)</f>
        <v/>
      </c>
    </row>
    <row r="1050">
      <c r="A1050" s="17" t="inlineStr">
        <is>
          <t>Pour de Bon</t>
        </is>
      </c>
      <c r="B1050" s="17" t="inlineStr">
        <is>
          <t>Live</t>
        </is>
      </c>
      <c r="C1050" s="17" t="inlineStr">
        <is>
          <t>Pour De Bon</t>
        </is>
      </c>
      <c r="D1050" s="17" t="inlineStr">
        <is>
          <t>Charcuterie, confits et terrines</t>
        </is>
      </c>
      <c r="E1050" s="18" t="inlineStr">
        <is>
          <t>Terrine de jambonneau tranchée</t>
        </is>
      </c>
      <c r="F1050" s="17" t="inlineStr">
        <is>
          <t>Achat Terrine de jambonneau tranchée en direct de La Ferme de Cintrat avec Pourdebon. Le Jambonneau? Le jarret de porc, tout simplement ! Nos porcs sont nés, élevés</t>
        </is>
      </c>
      <c r="G1050" s="19" t="inlineStr">
        <is>
          <t>https://www.pourdebon.com/terrine-de-jambonneau-tranchee-p9700?utm_source=partenaire&amp;utm_medium=Lemrock&amp;utm_content=Lemrock&amp;utm_campaign=Lemrock</t>
        </is>
      </c>
      <c r="H1050" s="20" t="n">
        <v>9804</v>
      </c>
      <c r="I1050" s="20" t="n">
        <v>51</v>
      </c>
      <c r="J1050" s="21">
        <f>IF(H1050=0,0,I1050/H1050)</f>
        <v/>
      </c>
    </row>
    <row r="1051">
      <c r="A1051" s="17" t="inlineStr">
        <is>
          <t>Pour de Bon</t>
        </is>
      </c>
      <c r="B1051" s="17" t="inlineStr">
        <is>
          <t>Live</t>
        </is>
      </c>
      <c r="C1051" s="17" t="inlineStr">
        <is>
          <t>Pour De Bon</t>
        </is>
      </c>
      <c r="D1051" s="17" t="inlineStr">
        <is>
          <t>Fromages et crèmerie</t>
        </is>
      </c>
      <c r="E1051" s="18" t="inlineStr">
        <is>
          <t>Yaourts bi couche Fraise - 4 Pots</t>
        </is>
      </c>
      <c r="F1051" s="17" t="inlineStr">
        <is>
          <t>Achat Yaourts bi couche Fraise - 4 Pots en direct de Bastidarra - Ekia avec Pourdebon. Nos yaourts sont fabriqués à partir de lait de vache, brebis ou ch</t>
        </is>
      </c>
      <c r="G1051" s="19" t="inlineStr">
        <is>
          <t>https://www.pourdebon.com/yaourts-bi-couche-fraise-4-pots-p8685?utm_source=partenaire&amp;utm_medium=Lemrock&amp;utm_content=Lemrock&amp;utm_campaign=Lemrock</t>
        </is>
      </c>
      <c r="H1051" s="20" t="n">
        <v>9584</v>
      </c>
      <c r="I1051" s="20" t="n">
        <v>49</v>
      </c>
      <c r="J1051" s="21">
        <f>IF(H1051=0,0,I1051/H1051)</f>
        <v/>
      </c>
    </row>
    <row r="1052">
      <c r="A1052" s="17" t="inlineStr">
        <is>
          <t>Pour de Bon</t>
        </is>
      </c>
      <c r="B1052" s="17" t="inlineStr">
        <is>
          <t>Live</t>
        </is>
      </c>
      <c r="C1052" s="17" t="inlineStr">
        <is>
          <t>Pour De Bon</t>
        </is>
      </c>
      <c r="D1052" s="17" t="inlineStr">
        <is>
          <t>Charcuterie, confits et terrines</t>
        </is>
      </c>
      <c r="E1052" s="18" t="inlineStr">
        <is>
          <t>Roulé De Magret Fumé Au Foie Gras</t>
        </is>
      </c>
      <c r="F1052" s="17" t="inlineStr">
        <is>
          <t>Achat Roulé De Magret Fumé Au Foie Gras en direct de La Ferme du Luguen avec Pourdebon. La spécialité de la maison ! Surprenez vos convives par ce roul&amp;ea</t>
        </is>
      </c>
      <c r="G1052" s="19" t="inlineStr">
        <is>
          <t>https://www.pourdebon.com/roule-de-magret-fume-au-foie-gras-p11865?utm_source=partenaire&amp;utm_medium=Lemrock&amp;utm_content=Lemrock&amp;utm_campaign=Lemrock</t>
        </is>
      </c>
      <c r="H1052" s="20" t="n">
        <v>9558</v>
      </c>
      <c r="I1052" s="20" t="n">
        <v>42</v>
      </c>
      <c r="J1052" s="21">
        <f>IF(H1052=0,0,I1052/H1052)</f>
        <v/>
      </c>
    </row>
    <row r="1053">
      <c r="A1053" s="17" t="inlineStr">
        <is>
          <t>Pour de Bon</t>
        </is>
      </c>
      <c r="B1053" s="17" t="inlineStr">
        <is>
          <t>Live</t>
        </is>
      </c>
      <c r="C1053" s="17" t="inlineStr">
        <is>
          <t>Pour De Bon</t>
        </is>
      </c>
      <c r="D1053" s="17" t="inlineStr">
        <is>
          <t>Épicerie fine et coffrets gourmands</t>
        </is>
      </c>
      <c r="E1053" s="18" t="inlineStr">
        <is>
          <t>Assortiment festif Pruneaux Et Chocolats - Mini Cagette</t>
        </is>
      </c>
      <c r="F1053" s="17" t="inlineStr">
        <is>
          <t>Achat Assortiment festif Pruneaux Et Chocolats - Mini Cagette Gourmande 400g en direct de Maison du Pruneau - Cueillette du Gascon avec Pourdebon. Assortiment de Pâques et Fêtes</t>
        </is>
      </c>
      <c r="G1053" s="19" t="inlineStr">
        <is>
          <t>https://www.pourdebon.com/assortiment-festif-pruneaux-et-chocolats-mini-cagette-gourmande-400g-p15148?utm_source=partenaire&amp;utm_medium=Lemrock&amp;utm_content=Lemrock&amp;utm_campaign=Lemrock</t>
        </is>
      </c>
      <c r="H1053" s="20" t="n">
        <v>9424</v>
      </c>
      <c r="I1053" s="20" t="n">
        <v>42</v>
      </c>
      <c r="J1053" s="21">
        <f>IF(H1053=0,0,I1053/H1053)</f>
        <v/>
      </c>
    </row>
    <row r="1054">
      <c r="A1054" s="17" t="inlineStr">
        <is>
          <t>Pour de Bon</t>
        </is>
      </c>
      <c r="B1054" s="17" t="inlineStr">
        <is>
          <t>Live</t>
        </is>
      </c>
      <c r="C1054" s="17" t="inlineStr">
        <is>
          <t>Pour De Bon</t>
        </is>
      </c>
      <c r="D1054" s="17" t="inlineStr">
        <is>
          <t>Refrigerated Desserts</t>
        </is>
      </c>
      <c r="E1054" s="18" t="inlineStr">
        <is>
          <t>Petit Pot De Crème Chocolat</t>
        </is>
      </c>
      <c r="F1054" s="17" t="inlineStr">
        <is>
          <t>Achat Petit Pot De Crème Chocolat en direct de La Fromagerie Marie-Anne Cantin avec Pourdebon. PETIT POT DE CRÈME CHOCOLAT sélection Marie-Anne CANTiN dot l'</t>
        </is>
      </c>
      <c r="G1054" s="19" t="inlineStr">
        <is>
          <t>https://www.pourdebon.com/petit-pot-de-creme-chocolat-p16232?utm_source=partenaire&amp;utm_medium=Lemrock&amp;utm_content=Lemrock&amp;utm_campaign=Lemrock</t>
        </is>
      </c>
      <c r="H1054" s="20" t="n">
        <v>9168</v>
      </c>
      <c r="I1054" s="20" t="n">
        <v>51</v>
      </c>
      <c r="J1054" s="21">
        <f>IF(H1054=0,0,I1054/H1054)</f>
        <v/>
      </c>
    </row>
    <row r="1055">
      <c r="A1055" s="17" t="inlineStr">
        <is>
          <t>Pour de Bon</t>
        </is>
      </c>
      <c r="B1055" s="17" t="inlineStr">
        <is>
          <t>Live</t>
        </is>
      </c>
      <c r="C1055" s="17" t="inlineStr">
        <is>
          <t>Pour De Bon</t>
        </is>
      </c>
      <c r="D1055" s="17" t="inlineStr">
        <is>
          <t>Poissons et fruits de mer</t>
        </is>
      </c>
      <c r="E1055" s="18" t="inlineStr">
        <is>
          <t>Fondant De Saumon Au Miel</t>
        </is>
      </c>
      <c r="F1055" s="17" t="inlineStr">
        <is>
          <t>Achat Fondant De Saumon Au Miel en direct de Fumage du Val de Lys avec Pourdebon. Flanc de saumon fumé avec du miel, un mélange sucré sal&amp;eac</t>
        </is>
      </c>
      <c r="G1055" s="19" t="inlineStr">
        <is>
          <t>https://www.pourdebon.com/fondant-de-saumon-au-miel-p4429?utm_source=partenaire&amp;utm_medium=Lemrock&amp;utm_content=Lemrock&amp;utm_campaign=Lemrock</t>
        </is>
      </c>
      <c r="H1055" s="20" t="n">
        <v>9159</v>
      </c>
      <c r="I1055" s="20" t="n">
        <v>20</v>
      </c>
      <c r="J1055" s="21">
        <f>IF(H1055=0,0,I1055/H1055)</f>
        <v/>
      </c>
    </row>
    <row r="1056">
      <c r="A1056" s="17" t="inlineStr">
        <is>
          <t>Pour de Bon</t>
        </is>
      </c>
      <c r="B1056" s="17" t="inlineStr">
        <is>
          <t>Live</t>
        </is>
      </c>
      <c r="C1056" s="17" t="inlineStr">
        <is>
          <t>Pour De Bon</t>
        </is>
      </c>
      <c r="D1056" s="17" t="inlineStr">
        <is>
          <t>Charcuterie, confits et terrines</t>
        </is>
      </c>
      <c r="E1056" s="18" t="inlineStr">
        <is>
          <t>Rôti de veau dans la noix de veau Bio ***(race limousine)</t>
        </is>
      </c>
      <c r="F1056" s="17" t="inlineStr">
        <is>
          <t>Rôti de veau dans la noix de veau Bio ***(race limousine) - 1 kg.Roti dans la noix de veau 1kg, un beau morceau tendre et moelleux à daguster après une cuisson cocotte 1h dans</t>
        </is>
      </c>
      <c r="G1056" s="19" t="inlineStr">
        <is>
          <t>https://www.pourdebon.com/roti-de-veau-dans-la-noix-de-veau-bio-race-limousine-1-kg-p2455</t>
        </is>
      </c>
      <c r="H1056" s="20" t="n">
        <v>8916</v>
      </c>
      <c r="I1056" s="20" t="n">
        <v>45</v>
      </c>
      <c r="J1056" s="21">
        <f>IF(H1056=0,0,I1056/H1056)</f>
        <v/>
      </c>
    </row>
    <row r="1057">
      <c r="A1057" s="17" t="inlineStr">
        <is>
          <t>Pour de Bon</t>
        </is>
      </c>
      <c r="B1057" s="17" t="inlineStr">
        <is>
          <t>Live</t>
        </is>
      </c>
      <c r="C1057" s="17" t="inlineStr">
        <is>
          <t>Pour De Bon</t>
        </is>
      </c>
      <c r="D1057" s="17" t="inlineStr">
        <is>
          <t>Fromages et crèmerie</t>
        </is>
      </c>
      <c r="E1057" s="18" t="inlineStr">
        <is>
          <t>Comté 12 mois AOP - En direct de BEILLEVAIRE</t>
        </is>
      </c>
      <c r="F1057" s="17" t="inlineStr">
        <is>
          <t>Joyau de la Franche-Comté. Il a une pâte jaune tendre, d’où se dégagent des arômes de fruits secs. Avec le temps, de mini cristaux parsèment le comté. On appelle cela la tyrosine</t>
        </is>
      </c>
      <c r="G1057" s="19" t="inlineStr">
        <is>
          <t>https://www.pourdebon.com/comte-12-mois-aop-p151</t>
        </is>
      </c>
      <c r="H1057" s="20" t="n">
        <v>8322</v>
      </c>
      <c r="I1057" s="20" t="n">
        <v>49</v>
      </c>
      <c r="J1057" s="21">
        <f>IF(H1057=0,0,I1057/H1057)</f>
        <v/>
      </c>
    </row>
    <row r="1058">
      <c r="A1058" s="17" t="inlineStr">
        <is>
          <t>Pour de Bon</t>
        </is>
      </c>
      <c r="B1058" s="17" t="inlineStr">
        <is>
          <t>Live</t>
        </is>
      </c>
      <c r="C1058" s="17" t="inlineStr">
        <is>
          <t>Pour De Bon</t>
        </is>
      </c>
      <c r="D1058" s="17" t="inlineStr">
        <is>
          <t>Pains et douceurs artisanales</t>
        </is>
      </c>
      <c r="E1058" s="18" t="inlineStr">
        <is>
          <t>Clementine Aux Saveurs De Pain D'epices - En direct de</t>
        </is>
      </c>
      <c r="F1058" s="17" t="inlineStr">
        <is>
          <t>Pour la confection de cette confiture, L'Épicurien utilise des clémentines de Corse, une variété IGP (indication d'origine protégée). Sa chair est juteuse et acidulée.</t>
        </is>
      </c>
      <c r="G1058" s="19" t="inlineStr">
        <is>
          <t>https://www.pourdebon.com/clementine-aux-saveurs-de-pain-d-epices-p633</t>
        </is>
      </c>
      <c r="H1058" s="20" t="n">
        <v>8209</v>
      </c>
      <c r="I1058" s="20" t="n">
        <v>44</v>
      </c>
      <c r="J1058" s="21">
        <f>IF(H1058=0,0,I1058/H1058)</f>
        <v/>
      </c>
    </row>
    <row r="1059">
      <c r="A1059" s="17" t="inlineStr">
        <is>
          <t>Pour de Bon</t>
        </is>
      </c>
      <c r="B1059" s="17" t="inlineStr">
        <is>
          <t>Live</t>
        </is>
      </c>
      <c r="C1059" s="17" t="inlineStr">
        <is>
          <t>Pour De Bon</t>
        </is>
      </c>
      <c r="D1059" s="17" t="inlineStr">
        <is>
          <t>Épicerie fine et coffrets gourmands</t>
        </is>
      </c>
      <c r="E1059" s="18" t="inlineStr">
        <is>
          <t>[Précommande] Colis Raviolis Bœuf-carotte 4x250g</t>
        </is>
      </c>
      <c r="F1059" s="17" t="inlineStr">
        <is>
          <t>Achat [Précommande] Colis Raviolis Bœuf-carotte 4x250g en direct de Lioravi, l'authentique pâte fraîche ! avec Pourdebon. Lot de 4 barquettes de raviolis bœuf-carotte biologiques.</t>
        </is>
      </c>
      <c r="G1059" s="19" t="inlineStr">
        <is>
          <t>https://www.pourdebon.com/colis-raviolis-boeuf-carotte-4x250g-p16671?utm_source=partenaire&amp;utm_medium=Lemrock&amp;utm_content=Lemrock&amp;utm_campaign=Lemrock</t>
        </is>
      </c>
      <c r="H1059" s="20" t="n">
        <v>7844</v>
      </c>
      <c r="I1059" s="20" t="n">
        <v>55</v>
      </c>
      <c r="J1059" s="21">
        <f>IF(H1059=0,0,I1059/H1059)</f>
        <v/>
      </c>
    </row>
    <row r="1060">
      <c r="A1060" s="17" t="inlineStr">
        <is>
          <t>Pour de Bon</t>
        </is>
      </c>
      <c r="B1060" s="17" t="inlineStr">
        <is>
          <t>Live</t>
        </is>
      </c>
      <c r="C1060" s="17" t="inlineStr">
        <is>
          <t>Pour De Bon</t>
        </is>
      </c>
      <c r="D1060" s="17" t="inlineStr">
        <is>
          <t>Épicerie salée : pâtes, riz, huiles et condiments</t>
        </is>
      </c>
      <c r="E1060" s="18" t="inlineStr">
        <is>
          <t>Pâtes fraîches et ravioles d’artisans prix bas | Pour De Bon</t>
        </is>
      </c>
      <c r="F1060" s="17" t="inlineStr">
        <is>
          <t>Pâtes fraîches de Pasta Piemonte, Ravioles Mère Maury et Boni, fabriquées par l’artisan pastier et expédiées en frais, livrées à domicile dès 20 € de commande.</t>
        </is>
      </c>
      <c r="G1060" s="19" t="inlineStr">
        <is>
          <t>https://www.pourdebon.com/pates-fraiches-c74</t>
        </is>
      </c>
      <c r="H1060" s="20" t="n">
        <v>7756</v>
      </c>
      <c r="I1060" s="20" t="n">
        <v>35</v>
      </c>
      <c r="J1060" s="21">
        <f>IF(H1060=0,0,I1060/H1060)</f>
        <v/>
      </c>
    </row>
    <row r="1061">
      <c r="A1061" s="17" t="inlineStr">
        <is>
          <t>Pour de Bon</t>
        </is>
      </c>
      <c r="B1061" s="17" t="inlineStr">
        <is>
          <t>Live</t>
        </is>
      </c>
      <c r="C1061" s="17" t="inlineStr">
        <is>
          <t>Pour De Bon</t>
        </is>
      </c>
      <c r="D1061" s="17" t="inlineStr">
        <is>
          <t>Fromages et crèmerie</t>
        </is>
      </c>
      <c r="E1061" s="18" t="inlineStr">
        <is>
          <t>Fromage frais aux fruits - Assortiment de 4 - En direct de</t>
        </is>
      </c>
      <c r="F1061" s="17" t="inlineStr">
        <is>
          <t>Assortiment de 4 Fromages Frais aux Fruits Le Fromage frais aux fruits, c’est une louche de fromage blanc lissédélicatement posée sur un fond de confiture. C’est un équilibre</t>
        </is>
      </c>
      <c r="G1061" s="19" t="inlineStr">
        <is>
          <t>https://www.pourdebon.com/fromage-frais-aux-fruits-assortiment-de-4-p206</t>
        </is>
      </c>
      <c r="H1061" s="20" t="n">
        <v>7475</v>
      </c>
      <c r="I1061" s="20" t="n">
        <v>47</v>
      </c>
      <c r="J1061" s="21">
        <f>IF(H1061=0,0,I1061/H1061)</f>
        <v/>
      </c>
    </row>
    <row r="1062">
      <c r="A1062" s="17" t="inlineStr">
        <is>
          <t>Pour de Bon</t>
        </is>
      </c>
      <c r="B1062" s="17" t="inlineStr">
        <is>
          <t>Live</t>
        </is>
      </c>
      <c r="C1062" s="17" t="inlineStr">
        <is>
          <t>Pour De Bon</t>
        </is>
      </c>
      <c r="D1062" s="17" t="inlineStr">
        <is>
          <t>Gifts and Holiday Items</t>
        </is>
      </c>
      <c r="E1062" s="18" t="inlineStr">
        <is>
          <t>Cadeaux gourmands et coffrets - Pour De Bon</t>
        </is>
      </c>
      <c r="F1062" s="17" t="inlineStr">
        <is>
          <t>Le coffret Champagne et Safran arrive en direct du producteur des Ardennes : un cadeau gourmand déjà composé, à offrir tel quel.</t>
        </is>
      </c>
      <c r="G1062" s="19" t="inlineStr">
        <is>
          <t>https://www.pourdebon.com/coffret-cadeau-champagne-et-safran-p9412?utm_source=partenaire&amp;utm_medium=Lemrock&amp;utm_content=Lemrock&amp;utm_campaign=Lemrock</t>
        </is>
      </c>
      <c r="H1062" s="20" t="n">
        <v>7283</v>
      </c>
      <c r="I1062" s="20" t="n">
        <v>68</v>
      </c>
      <c r="J1062" s="21">
        <f>IF(H1062=0,0,I1062/H1062)</f>
        <v/>
      </c>
    </row>
    <row r="1063">
      <c r="A1063" s="17" t="inlineStr">
        <is>
          <t>Pour de Bon</t>
        </is>
      </c>
      <c r="B1063" s="17" t="inlineStr">
        <is>
          <t>Live</t>
        </is>
      </c>
      <c r="C1063" s="17" t="inlineStr">
        <is>
          <t>Pour De Bon</t>
        </is>
      </c>
      <c r="D1063" s="17" t="inlineStr">
        <is>
          <t>Fromages et crèmerie</t>
        </is>
      </c>
      <c r="E1063" s="18" t="inlineStr">
        <is>
          <t>Yaourts au Lait Cru de Vache parfums panachés: Natures x3</t>
        </is>
      </c>
      <c r="F1063" s="17" t="inlineStr">
        <is>
          <t>Achat Yaourts au Lait Cru de Vache parfums panachés: Natures x3, Vanille x3, Abricot x3, Fraise x3 en direct de Ferme Chambon avec Pourdebon. Nos yaourts sont réalisés à partir de</t>
        </is>
      </c>
      <c r="G1063" s="19" t="inlineStr">
        <is>
          <t>https://www.pourdebon.com/yaourts-au-lait-cru-de-vache-parfums-panaches-natures-x3-vanille-x3-abricot-x3-fraise-x3-p13837?utm_source=partenaire&amp;utm_medium=Lemrock&amp;utm_content=Lemrock&amp;utm_campaign=Lemrock</t>
        </is>
      </c>
      <c r="H1063" s="20" t="n">
        <v>7241</v>
      </c>
      <c r="I1063" s="20" t="n">
        <v>30</v>
      </c>
      <c r="J1063" s="21">
        <f>IF(H1063=0,0,I1063/H1063)</f>
        <v/>
      </c>
    </row>
    <row r="1064">
      <c r="A1064" s="17" t="inlineStr">
        <is>
          <t>Pour de Bon</t>
        </is>
      </c>
      <c r="B1064" s="17" t="inlineStr">
        <is>
          <t>Live</t>
        </is>
      </c>
      <c r="C1064" s="17" t="inlineStr">
        <is>
          <t>Pour De Bon</t>
        </is>
      </c>
      <c r="D1064" s="17" t="inlineStr">
        <is>
          <t>Gifts and Holiday Items</t>
        </is>
      </c>
      <c r="E1064" s="18" t="inlineStr">
        <is>
          <t>Coffrets cadeaux gourmands - Pour De Bon</t>
        </is>
      </c>
      <c r="F1064" s="17" t="inlineStr">
        <is>
          <t>Le coffret dégustation réunit trois bouteilles de champagne, expédiées en direct de Champagne Deneufchatel avec Pour De Bon.</t>
        </is>
      </c>
      <c r="G1064" s="19" t="inlineStr">
        <is>
          <t>https://www.pourdebon.com/coffret-degustation-de-champagne-p11676?utm_source=partenaire&amp;utm_medium=Lemrock&amp;utm_content=Lemrock&amp;utm_campaign=Lemrock</t>
        </is>
      </c>
      <c r="H1064" s="20" t="n">
        <v>7109</v>
      </c>
      <c r="I1064" s="20" t="n">
        <v>28</v>
      </c>
      <c r="J1064" s="21">
        <f>IF(H1064=0,0,I1064/H1064)</f>
        <v/>
      </c>
    </row>
    <row r="1065">
      <c r="A1065" s="17" t="inlineStr">
        <is>
          <t>Pour de Bon</t>
        </is>
      </c>
      <c r="B1065" s="17" t="inlineStr">
        <is>
          <t>Live</t>
        </is>
      </c>
      <c r="C1065" s="17" t="inlineStr">
        <is>
          <t>Pour De Bon</t>
        </is>
      </c>
      <c r="D1065" s="17" t="inlineStr">
        <is>
          <t>Charcuterie, confits et terrines</t>
        </is>
      </c>
      <c r="E1065" s="18" t="inlineStr">
        <is>
          <t>Magrets De Canard Confits Cuisinés aux haricots blancs IGP</t>
        </is>
      </c>
      <c r="F1065" s="17" t="inlineStr">
        <is>
          <t>Achat Magrets De Canard Confits Cuisinés aux haricots blancs IGP de Castelnaudary 750 g en direct de Esprit Foie Gras avec Pourdebon. Simple en préparation, grande qualité</t>
        </is>
      </c>
      <c r="G1065" s="19" t="inlineStr">
        <is>
          <t>https://www.pourdebon.com/magrets-de-canard-confits-cuisines-aux-haricots-tarbais-label-rouge-p4489?utm_source=partenaire&amp;utm_medium=Lemrock&amp;utm_content=Lemrock&amp;utm_campaign=Lemrock</t>
        </is>
      </c>
      <c r="H1065" s="20" t="n">
        <v>7099</v>
      </c>
      <c r="I1065" s="20" t="n">
        <v>33</v>
      </c>
      <c r="J1065" s="21">
        <f>IF(H1065=0,0,I1065/H1065)</f>
        <v/>
      </c>
    </row>
    <row r="1066">
      <c r="A1066" s="17" t="inlineStr">
        <is>
          <t>Pour de Bon</t>
        </is>
      </c>
      <c r="B1066" s="17" t="inlineStr">
        <is>
          <t>Live</t>
        </is>
      </c>
      <c r="C1066" s="17" t="inlineStr">
        <is>
          <t>Pour De Bon</t>
        </is>
      </c>
      <c r="D1066" s="17" t="inlineStr">
        <is>
          <t>Champagnes et coffrets champagne</t>
        </is>
      </c>
      <c r="E1066" s="18" t="inlineStr">
        <is>
          <t>Coffret cadeau Champagne Et Safran</t>
        </is>
      </c>
      <c r="F1066" s="17" t="inlineStr">
        <is>
          <t>Achat Coffret cadeau Champagne Et Safran en direct de Le safran - l'or rouge des Ardennes avec Pourdebon. Le coffret ''Champagne &amp; Safran'' est le fruit d'une col</t>
        </is>
      </c>
      <c r="G1066" s="19" t="inlineStr">
        <is>
          <t>https://www.pourdebon.com/coffret-cadeau-champagne-et-safran-p9412?utm_source=partenaire&amp;utm_medium=Lemrock&amp;utm_content=Lemrock&amp;utm_campaign=Lemrock</t>
        </is>
      </c>
      <c r="H1066" s="20" t="n">
        <v>6915</v>
      </c>
      <c r="I1066" s="20" t="n">
        <v>25</v>
      </c>
      <c r="J1066" s="21">
        <f>IF(H1066=0,0,I1066/H1066)</f>
        <v/>
      </c>
    </row>
    <row r="1067">
      <c r="A1067" s="17" t="inlineStr">
        <is>
          <t>Pour de Bon</t>
        </is>
      </c>
      <c r="B1067" s="17" t="inlineStr">
        <is>
          <t>Live</t>
        </is>
      </c>
      <c r="C1067" s="17" t="inlineStr">
        <is>
          <t>Pour De Bon</t>
        </is>
      </c>
      <c r="D1067" s="17" t="inlineStr">
        <is>
          <t>Poissons et fruits de mer</t>
        </is>
      </c>
      <c r="E1067" s="18" t="inlineStr">
        <is>
          <t>Filet De Truite Saumonée - Lot De 1 Kg</t>
        </is>
      </c>
      <c r="F1067" s="17" t="inlineStr">
        <is>
          <t>Achat Filet De Truite Saumonée - Lot De 1 Kg en direct de Ma poissonnière avec Pourdebon. Filets de truite saumonée (rose) de 200 à 400 g/pièce , lot</t>
        </is>
      </c>
      <c r="G1067" s="19" t="inlineStr">
        <is>
          <t>https://www.pourdebon.com/filet-de-truite-saumonee-lot-de-1-kg-p7100?utm_source=partenaire&amp;utm_medium=Lemrock&amp;utm_content=Lemrock&amp;utm_campaign=Lemrock</t>
        </is>
      </c>
      <c r="H1067" s="20" t="n">
        <v>6890</v>
      </c>
      <c r="I1067" s="20" t="n">
        <v>32</v>
      </c>
      <c r="J1067" s="21">
        <f>IF(H1067=0,0,I1067/H1067)</f>
        <v/>
      </c>
    </row>
    <row r="1068">
      <c r="A1068" s="17" t="inlineStr">
        <is>
          <t>Pour de Bon</t>
        </is>
      </c>
      <c r="B1068" s="17" t="inlineStr">
        <is>
          <t>Live</t>
        </is>
      </c>
      <c r="C1068" s="17" t="inlineStr">
        <is>
          <t>Pour De Bon</t>
        </is>
      </c>
      <c r="D1068" s="17" t="inlineStr">
        <is>
          <t>Cafés, thés, jus et boissons</t>
        </is>
      </c>
      <c r="E1068" s="18" t="inlineStr">
        <is>
          <t>Cafés, thés et infusions torréfiés pas chers | Pour De Bon</t>
        </is>
      </c>
      <c r="F1068" s="17" t="inlineStr">
        <is>
          <t>Cafés, thés et infusions d’Esprit Zen, de Cafés Factorerie et de la Brûlerie de Melun Maison Anbassa, torréfiés par l’artisan et livrés dès 20 € de commande.</t>
        </is>
      </c>
      <c r="G1068" s="19" t="inlineStr">
        <is>
          <t>https://www.pourdebon.com/cafes-thes-et-infusions-c69</t>
        </is>
      </c>
      <c r="H1068" s="20" t="n">
        <v>6861</v>
      </c>
      <c r="I1068" s="20" t="n">
        <v>53</v>
      </c>
      <c r="J1068" s="21">
        <f>IF(H1068=0,0,I1068/H1068)</f>
        <v/>
      </c>
    </row>
    <row r="1069">
      <c r="A1069" s="17" t="inlineStr">
        <is>
          <t>Pour de Bon</t>
        </is>
      </c>
      <c r="B1069" s="17" t="inlineStr">
        <is>
          <t>Live</t>
        </is>
      </c>
      <c r="C1069" s="17" t="inlineStr">
        <is>
          <t>Pour De Bon</t>
        </is>
      </c>
      <c r="D1069" s="17" t="inlineStr">
        <is>
          <t>Charcuterie, confits et terrines</t>
        </is>
      </c>
      <c r="E1069" s="18" t="inlineStr">
        <is>
          <t>Coffret Prestige : Terrines, Pâtés, Jambon tranché</t>
        </is>
      </c>
      <c r="F1069" s="17" t="inlineStr">
        <is>
          <t>Achat Coffret Prestige : Terrines, Pâtés, Jambon tranché, Irouleguy en direct de Ferme les Acacias avec Pourdebon. Porc élevé et transformé à URT (64) Le coffret &amp;#</t>
        </is>
      </c>
      <c r="G1069" s="19" t="inlineStr">
        <is>
          <t>https://www.pourdebon.com/coffret-prestige-terrines-pates-jambon-tranche-irouleguy-p10117?utm_source=partenaire&amp;utm_medium=Lemrock&amp;utm_content=Lemrock&amp;utm_campaign=Lemrock</t>
        </is>
      </c>
      <c r="H1069" s="20" t="n">
        <v>6803</v>
      </c>
      <c r="I1069" s="20" t="n">
        <v>35</v>
      </c>
      <c r="J1069" s="21">
        <f>IF(H1069=0,0,I1069/H1069)</f>
        <v/>
      </c>
    </row>
    <row r="1070">
      <c r="A1070" s="17" t="inlineStr">
        <is>
          <t>Pour de Bon</t>
        </is>
      </c>
      <c r="B1070" s="17" t="inlineStr">
        <is>
          <t>Live</t>
        </is>
      </c>
      <c r="C1070" s="17" t="inlineStr">
        <is>
          <t>Pour De Bon</t>
        </is>
      </c>
      <c r="D1070" s="17" t="inlineStr">
        <is>
          <t>Champagnes et coffrets champagne</t>
        </is>
      </c>
      <c r="E1070" s="18" t="inlineStr">
        <is>
          <t>Coffret Dégustation De Champagne</t>
        </is>
      </c>
      <c r="F1070" s="17" t="inlineStr">
        <is>
          <t>Achat Coffret Dégustation De Champagne en direct de Champagne Deneufchatel avec Pourdebon. Coffret dégustation et découverte de trois bouteilles de champagne</t>
        </is>
      </c>
      <c r="G1070" s="19" t="inlineStr">
        <is>
          <t>https://www.pourdebon.com/coffret-degustation-de-champagne-p11676?utm_source=partenaire&amp;utm_medium=Lemrock&amp;utm_content=Lemrock&amp;utm_campaign=Lemrock</t>
        </is>
      </c>
      <c r="H1070" s="20" t="n">
        <v>6768</v>
      </c>
      <c r="I1070" s="20" t="n">
        <v>30</v>
      </c>
      <c r="J1070" s="21">
        <f>IF(H1070=0,0,I1070/H1070)</f>
        <v/>
      </c>
    </row>
    <row r="1071">
      <c r="A1071" s="17" t="inlineStr">
        <is>
          <t>Pour de Bon</t>
        </is>
      </c>
      <c r="B1071" s="17" t="inlineStr">
        <is>
          <t>Live</t>
        </is>
      </c>
      <c r="C1071" s="17" t="inlineStr">
        <is>
          <t>Pour De Bon</t>
        </is>
      </c>
      <c r="D1071" s="17" t="inlineStr">
        <is>
          <t>Poissons et fruits de mer</t>
        </is>
      </c>
      <c r="E1071" s="18" t="inlineStr">
        <is>
          <t>Pavé De Truite Saumonée - Lot De 1 Kg</t>
        </is>
      </c>
      <c r="F1071" s="17" t="inlineStr">
        <is>
          <t>Achat Pavé De Truite Saumonée - Lot De 1 Kg en direct de Ma poissonnière avec Pourdebon. Pavé de truite rose , pavé de 0,90 à 160 gr pièce. C</t>
        </is>
      </c>
      <c r="G1071" s="19" t="inlineStr">
        <is>
          <t>https://www.pourdebon.com/pave-de-truite-saumonee-lot-de-1-kg-p7106?utm_source=partenaire&amp;utm_medium=Lemrock&amp;utm_content=Lemrock&amp;utm_campaign=Lemrock</t>
        </is>
      </c>
      <c r="H1071" s="20" t="n">
        <v>6725</v>
      </c>
      <c r="I1071" s="20" t="n">
        <v>29</v>
      </c>
      <c r="J1071" s="21">
        <f>IF(H1071=0,0,I1071/H1071)</f>
        <v/>
      </c>
    </row>
    <row r="1072">
      <c r="A1072" s="17" t="inlineStr">
        <is>
          <t>Pour de Bon</t>
        </is>
      </c>
      <c r="B1072" s="17" t="inlineStr">
        <is>
          <t>Live</t>
        </is>
      </c>
      <c r="C1072" s="17" t="inlineStr">
        <is>
          <t>Pour De Bon</t>
        </is>
      </c>
      <c r="D1072" s="17" t="inlineStr">
        <is>
          <t>Gifts and Holiday Items</t>
        </is>
      </c>
      <c r="E1072" s="18" t="inlineStr">
        <is>
          <t>Assortiment festif Pruneaux Et Chocolats - Mini Cagette</t>
        </is>
      </c>
      <c r="F1072" s="17" t="inlineStr">
        <is>
          <t>Achat Assortiment festif Pruneaux Et Chocolats - Mini Cagette Gourmande 400g en direct de Maison du Pruneau - Cueillette du Gascon avec Pourdebon. Assortiment de Pâques et Fêtes</t>
        </is>
      </c>
      <c r="G1072" s="19" t="inlineStr">
        <is>
          <t>https://www.pourdebon.com/assortiment-festif-pruneaux-et-chocolats-mini-cagette-gourmande-400g-p15148?utm_source=partenaire&amp;utm_medium=Lemrock&amp;utm_content=Lemrock&amp;utm_campaign=Lemrock</t>
        </is>
      </c>
      <c r="H1072" s="20" t="n">
        <v>6714</v>
      </c>
      <c r="I1072" s="20" t="n">
        <v>33</v>
      </c>
      <c r="J1072" s="21">
        <f>IF(H1072=0,0,I1072/H1072)</f>
        <v/>
      </c>
    </row>
    <row r="1073">
      <c r="A1073" s="17" t="inlineStr">
        <is>
          <t>Pour de Bon</t>
        </is>
      </c>
      <c r="B1073" s="17" t="inlineStr">
        <is>
          <t>Live</t>
        </is>
      </c>
      <c r="C1073" s="17" t="inlineStr">
        <is>
          <t>Pour De Bon</t>
        </is>
      </c>
      <c r="D1073" s="17" t="inlineStr">
        <is>
          <t>Charcuterie, confits et terrines</t>
        </is>
      </c>
      <c r="E1073" s="18" t="inlineStr">
        <is>
          <t>Terrine de magret de canard au foie gras 100g</t>
        </is>
      </c>
      <c r="F1073" s="17" t="inlineStr">
        <is>
          <t>Achat Terrine de magret de canard au foie gras 100g en direct de Alban Laban avec Pourdebon. Médaille d'or au concours général agricole de Paris en</t>
        </is>
      </c>
      <c r="G1073" s="19" t="inlineStr">
        <is>
          <t>https://www.pourdebon.com/terrine-de-magret-de-canard-au-foie-gras-100g-p369?utm_source=partenaire&amp;utm_medium=Lemrock&amp;utm_content=Lemrock&amp;utm_campaign=Lemrock</t>
        </is>
      </c>
      <c r="H1073" s="20" t="n">
        <v>6365</v>
      </c>
      <c r="I1073" s="20" t="n">
        <v>32</v>
      </c>
      <c r="J1073" s="21">
        <f>IF(H1073=0,0,I1073/H1073)</f>
        <v/>
      </c>
    </row>
    <row r="1074">
      <c r="A1074" s="17" t="inlineStr">
        <is>
          <t>Pour de Bon</t>
        </is>
      </c>
      <c r="B1074" s="17" t="inlineStr">
        <is>
          <t>Live</t>
        </is>
      </c>
      <c r="C1074" s="17" t="inlineStr">
        <is>
          <t>Pour De Bon</t>
        </is>
      </c>
      <c r="D1074" s="17" t="inlineStr">
        <is>
          <t>Fromages et crèmerie</t>
        </is>
      </c>
      <c r="E1074" s="18" t="inlineStr">
        <is>
          <t>Yaourt Aux Fruits Fraise</t>
        </is>
      </c>
      <c r="F1074" s="17" t="inlineStr">
        <is>
          <t>Achat Yaourt Aux Fruits Fraise en direct de La Fromagerie Marie-Anne Cantin avec Pourdebon. YAOURT AUX FRUITS FRAISE sélection Marie-Anne CANTIN Goûter à</t>
        </is>
      </c>
      <c r="G1074" s="19" t="inlineStr">
        <is>
          <t>https://www.pourdebon.com/yaourt-aux-fruits-fraise-p5544?utm_source=partenaire&amp;utm_medium=Lemrock&amp;utm_content=Lemrock&amp;utm_campaign=Lemrock</t>
        </is>
      </c>
      <c r="H1074" s="20" t="n">
        <v>6286</v>
      </c>
      <c r="I1074" s="20" t="n">
        <v>24</v>
      </c>
      <c r="J1074" s="21">
        <f>IF(H1074=0,0,I1074/H1074)</f>
        <v/>
      </c>
    </row>
    <row r="1075">
      <c r="A1075" s="17" t="inlineStr">
        <is>
          <t>Pour de Bon</t>
        </is>
      </c>
      <c r="B1075" s="17" t="inlineStr">
        <is>
          <t>Live</t>
        </is>
      </c>
      <c r="C1075" s="17" t="inlineStr">
        <is>
          <t>Pour De Bon</t>
        </is>
      </c>
      <c r="D1075" s="17" t="inlineStr">
        <is>
          <t>Épicerie fine et coffrets gourmands</t>
        </is>
      </c>
      <c r="E1075" s="18" t="inlineStr">
        <is>
          <t>Coffret cadeau " Douceurs de Miel "</t>
        </is>
      </c>
      <c r="F1075" s="17" t="inlineStr">
        <is>
          <t>Achat Coffret cadeau " Douceurs de Miel " en direct de Le safran - l'or rouge des Ardennes avec Pourdebon. Coffret "Douceurs De Miel" Le coffret "Douceurs de Miel compre</t>
        </is>
      </c>
      <c r="G1075" s="19" t="inlineStr">
        <is>
          <t>https://www.pourdebon.com/coffret-cadeau-douceurs-de-miel-p15919?utm_source=partenaire&amp;utm_medium=Lemrock&amp;utm_content=Lemrock&amp;utm_campaign=Lemrock</t>
        </is>
      </c>
      <c r="H1075" s="20" t="n">
        <v>6106</v>
      </c>
      <c r="I1075" s="20" t="n">
        <v>26</v>
      </c>
      <c r="J1075" s="21">
        <f>IF(H1075=0,0,I1075/H1075)</f>
        <v/>
      </c>
    </row>
    <row r="1076">
      <c r="A1076" s="17" t="inlineStr">
        <is>
          <t>Pour de Bon</t>
        </is>
      </c>
      <c r="B1076" s="17" t="inlineStr">
        <is>
          <t>Live</t>
        </is>
      </c>
      <c r="C1076" s="17" t="inlineStr">
        <is>
          <t>Pour De Bon</t>
        </is>
      </c>
      <c r="D1076" s="17" t="inlineStr">
        <is>
          <t>Fromages et crèmerie</t>
        </is>
      </c>
      <c r="E1076" s="18" t="inlineStr">
        <is>
          <t>Yaourt Fraise Brassé 4*125 gr</t>
        </is>
      </c>
      <c r="F1076" s="17" t="inlineStr">
        <is>
          <t>Achat Yaourt Fraise Brassé 4*125 gr en direct de Bastidarra - Ekia avec Pourdebon. Nos yaourts sont fabriqués à partir de lait de vache, brebis ou ch</t>
        </is>
      </c>
      <c r="G1076" s="19" t="inlineStr">
        <is>
          <t>https://www.pourdebon.com/yaourt-fraise-brasse-4-125-gr-p8678?utm_source=partenaire&amp;utm_medium=Lemrock&amp;utm_content=Lemrock&amp;utm_campaign=Lemrock</t>
        </is>
      </c>
      <c r="H1076" s="20" t="n">
        <v>6030</v>
      </c>
      <c r="I1076" s="20" t="n">
        <v>37</v>
      </c>
      <c r="J1076" s="21">
        <f>IF(H1076=0,0,I1076/H1076)</f>
        <v/>
      </c>
    </row>
    <row r="1077">
      <c r="A1077" s="17" t="inlineStr">
        <is>
          <t>Pour de Bon</t>
        </is>
      </c>
      <c r="B1077" s="17" t="inlineStr">
        <is>
          <t>Live</t>
        </is>
      </c>
      <c r="C1077" s="17" t="inlineStr">
        <is>
          <t>Pour De Bon</t>
        </is>
      </c>
      <c r="D1077" s="17" t="inlineStr">
        <is>
          <t>Charcuterie, confits et terrines</t>
        </is>
      </c>
      <c r="E1077" s="18" t="inlineStr">
        <is>
          <t>Terrine De Pâté Au Jambon - 180g</t>
        </is>
      </c>
      <c r="F1077" s="17" t="inlineStr">
        <is>
          <t>Achat Terrine De Pâté Au Jambon - 180g en direct de Maison Millas avec Pourdebon. Notre terrine de pâté au jambon sec est fabriquée à p</t>
        </is>
      </c>
      <c r="G1077" s="19" t="inlineStr">
        <is>
          <t>https://www.pourdebon.com/terrine-de-pate-au-jambon-180g-p12843?utm_source=partenaire&amp;utm_medium=Lemrock&amp;utm_content=Lemrock&amp;utm_campaign=Lemrock</t>
        </is>
      </c>
      <c r="H1077" s="20" t="n">
        <v>6018</v>
      </c>
      <c r="I1077" s="20" t="n">
        <v>26</v>
      </c>
      <c r="J1077" s="21">
        <f>IF(H1077=0,0,I1077/H1077)</f>
        <v/>
      </c>
    </row>
    <row r="1078">
      <c r="A1078" s="17" t="inlineStr">
        <is>
          <t>Pour de Bon</t>
        </is>
      </c>
      <c r="B1078" s="17" t="inlineStr">
        <is>
          <t>Live</t>
        </is>
      </c>
      <c r="C1078" s="17" t="inlineStr">
        <is>
          <t>Pour De Bon</t>
        </is>
      </c>
      <c r="D1078" s="17" t="inlineStr">
        <is>
          <t>Épicerie fine et coffrets gourmands</t>
        </is>
      </c>
      <c r="E1078" s="18" t="inlineStr">
        <is>
          <t>Lentillons De La Champagne Cuisinés À La Graisse D'oie</t>
        </is>
      </c>
      <c r="F1078" s="17" t="inlineStr">
        <is>
          <t>Achat Lentillons De La Champagne Cuisinés À La Graisse D'oie en direct de Choucroute André Laurent avec Pourdebon. Au fil des années, notre expérience et notre passion nous ont</t>
        </is>
      </c>
      <c r="G1078" s="19" t="inlineStr">
        <is>
          <t>https://www.pourdebon.com/lentillons-de-la-champagne-cuisines-a-la-graisse-d-oie-p17983?utm_source=partenaire&amp;utm_medium=Lemrock&amp;utm_content=Lemrock&amp;utm_campaign=Lemrock</t>
        </is>
      </c>
      <c r="H1078" s="20" t="n">
        <v>6017</v>
      </c>
      <c r="I1078" s="20" t="n">
        <v>23</v>
      </c>
      <c r="J1078" s="21">
        <f>IF(H1078=0,0,I1078/H1078)</f>
        <v/>
      </c>
    </row>
    <row r="1079">
      <c r="A1079" s="17" t="inlineStr">
        <is>
          <t>Pour de Bon</t>
        </is>
      </c>
      <c r="B1079" s="17" t="inlineStr">
        <is>
          <t>Live</t>
        </is>
      </c>
      <c r="C1079" s="17" t="inlineStr">
        <is>
          <t>Pour De Bon</t>
        </is>
      </c>
      <c r="D1079" s="17" t="inlineStr">
        <is>
          <t>Épicerie fine et coffrets gourmands</t>
        </is>
      </c>
      <c r="E1079" s="18" t="inlineStr">
        <is>
          <t>Coffret Découverte De 4 Miels 1000g</t>
        </is>
      </c>
      <c r="F1079" s="17" t="inlineStr">
        <is>
          <t>Achat Coffret Découverte De 4 Miels 1000g en direct de Rucher du Viala avec Pourdebon. Ce coffret se présente sous la forme de 4 x 250 gr, d’un assortiment de mes mi</t>
        </is>
      </c>
      <c r="G1079" s="19" t="inlineStr">
        <is>
          <t>https://www.pourdebon.com/coffret-decouverte-de-4-miels-1000g-p3949?utm_source=partenaire&amp;utm_medium=Lemrock&amp;utm_content=Lemrock&amp;utm_campaign=Lemrock</t>
        </is>
      </c>
      <c r="H1079" s="20" t="n">
        <v>5915</v>
      </c>
      <c r="I1079" s="20" t="n">
        <v>36</v>
      </c>
      <c r="J1079" s="21">
        <f>IF(H1079=0,0,I1079/H1079)</f>
        <v/>
      </c>
    </row>
    <row r="1080">
      <c r="A1080" s="17" t="inlineStr">
        <is>
          <t>Pour de Bon</t>
        </is>
      </c>
      <c r="B1080" s="17" t="inlineStr">
        <is>
          <t>Live</t>
        </is>
      </c>
      <c r="C1080" s="17" t="inlineStr">
        <is>
          <t>Pour De Bon</t>
        </is>
      </c>
      <c r="D1080" s="17" t="inlineStr">
        <is>
          <t>Épicerie fine et coffrets gourmands</t>
        </is>
      </c>
      <c r="E1080" s="18" t="inlineStr">
        <is>
          <t>Coffret Trois Miels</t>
        </is>
      </c>
      <c r="F1080" s="17" t="inlineStr">
        <is>
          <t>Achat Coffret Trois Miels en direct de Rucher du Viala avec Pourdebon. J’ai mis dans ce coffret trois de mes miels, bien sûr en fonction des saisons et</t>
        </is>
      </c>
      <c r="G1080" s="19" t="inlineStr">
        <is>
          <t>https://www.pourdebon.com/coffret-trois-miels-p18856?utm_source=partenaire&amp;utm_medium=Lemrock&amp;utm_content=Lemrock&amp;utm_campaign=Lemrock</t>
        </is>
      </c>
      <c r="H1080" s="20" t="n">
        <v>5811</v>
      </c>
      <c r="I1080" s="20" t="n">
        <v>26</v>
      </c>
      <c r="J1080" s="21">
        <f>IF(H1080=0,0,I1080/H1080)</f>
        <v/>
      </c>
    </row>
    <row r="1081">
      <c r="A1081" s="17" t="inlineStr">
        <is>
          <t>Pour de Bon</t>
        </is>
      </c>
      <c r="B1081" s="17" t="inlineStr">
        <is>
          <t>Live</t>
        </is>
      </c>
      <c r="C1081" s="17" t="inlineStr">
        <is>
          <t>Pour De Bon</t>
        </is>
      </c>
      <c r="D1081" s="17" t="inlineStr">
        <is>
          <t>Épicerie fine et coffrets gourmands</t>
        </is>
      </c>
      <c r="E1081" s="18" t="inlineStr">
        <is>
          <t>Amandise 450gr – pâte à tartiner chocolat et éclats d'amande</t>
        </is>
      </c>
      <c r="F1081" s="17" t="inlineStr">
        <is>
          <t>Achat Amandise 450gr – pâte à tartiner chocolat et éclats d'amande en direct de Les amandes et olives du Mont Bouquet avec Pourdebon. Avez-vous déjà goûté une véritable pâte</t>
        </is>
      </c>
      <c r="G1081" s="19" t="inlineStr">
        <is>
          <t>https://www.pourdebon.com/amandise-450gr-pate-a-tartiner-chocolat-et-eclats-d-amande-p10277?utm_source=partenaire&amp;utm_medium=Lemrock&amp;utm_content=Lemrock&amp;utm_campaign=Lemrock</t>
        </is>
      </c>
      <c r="H1081" s="20" t="n">
        <v>5801</v>
      </c>
      <c r="I1081" s="20" t="n">
        <v>16</v>
      </c>
      <c r="J1081" s="21">
        <f>IF(H1081=0,0,I1081/H1081)</f>
        <v/>
      </c>
    </row>
    <row r="1082">
      <c r="A1082" s="17" t="inlineStr">
        <is>
          <t>Pour de Bon</t>
        </is>
      </c>
      <c r="B1082" s="17" t="inlineStr">
        <is>
          <t>Live</t>
        </is>
      </c>
      <c r="C1082" s="17" t="inlineStr">
        <is>
          <t>Pour De Bon</t>
        </is>
      </c>
      <c r="D1082" s="17" t="inlineStr">
        <is>
          <t>Légumes frais et de saison</t>
        </is>
      </c>
      <c r="E1082" s="18" t="inlineStr">
        <is>
          <t>Tomates, courgettes et poivrons prix bas | Pour De Bon</t>
        </is>
      </c>
      <c r="F1082" s="17" t="inlineStr">
        <is>
          <t>Tomates, aubergines, courgettes et poivrons récoltés chez Ferme Joos, L’Oliveraie du Coudon ou La Boite à Herbes, expédiés en direct et livrés chez vous.</t>
        </is>
      </c>
      <c r="G1082" s="19" t="inlineStr">
        <is>
          <t>https://www.pourdebon.com/tomates-aubergines-courgettes-poivrons-c79</t>
        </is>
      </c>
      <c r="H1082" s="20" t="n">
        <v>5765</v>
      </c>
      <c r="I1082" s="20" t="n">
        <v>51</v>
      </c>
      <c r="J1082" s="21">
        <f>IF(H1082=0,0,I1082/H1082)</f>
        <v/>
      </c>
    </row>
    <row r="1083">
      <c r="A1083" s="17" t="inlineStr">
        <is>
          <t>Pour de Bon</t>
        </is>
      </c>
      <c r="B1083" s="17" t="inlineStr">
        <is>
          <t>Live</t>
        </is>
      </c>
      <c r="C1083" s="17" t="inlineStr">
        <is>
          <t>Pour De Bon</t>
        </is>
      </c>
      <c r="D1083" s="17" t="inlineStr">
        <is>
          <t>Aperitif Spread</t>
        </is>
      </c>
      <c r="E1083" s="18" t="inlineStr">
        <is>
          <t>Terrines, pâtés et macarons apéro - Pour De Bon</t>
        </is>
      </c>
      <c r="F1083" s="17" t="inlineStr">
        <is>
          <t>Le coffret Prestige réunit terrines, pâtés et jambon tranché Irouleguy, en direct de la Ferme les Acacias, avec un porc élevé et transformé à Urt.</t>
        </is>
      </c>
      <c r="G1083" s="19" t="inlineStr">
        <is>
          <t>https://www.pourdebon.com/coffret-prestige-terrines-pates-jambon-tranche-irouleguy-p10117?utm_source=partenaire&amp;utm_medium=Lemrock&amp;utm_content=Lemrock&amp;utm_campaign=Lemrock</t>
        </is>
      </c>
      <c r="H1083" s="20" t="n">
        <v>5692</v>
      </c>
      <c r="I1083" s="20" t="n">
        <v>31</v>
      </c>
      <c r="J1083" s="21">
        <f>IF(H1083=0,0,I1083/H1083)</f>
        <v/>
      </c>
    </row>
    <row r="1084">
      <c r="A1084" s="17" t="inlineStr">
        <is>
          <t>Pour de Bon</t>
        </is>
      </c>
      <c r="B1084" s="17" t="inlineStr">
        <is>
          <t>Live</t>
        </is>
      </c>
      <c r="C1084" s="17" t="inlineStr">
        <is>
          <t>Pour De Bon</t>
        </is>
      </c>
      <c r="D1084" s="17" t="inlineStr">
        <is>
          <t>Gifts and Holiday Items</t>
        </is>
      </c>
      <c r="E1084" s="18" t="inlineStr">
        <is>
          <t>Coffrets cadeaux gourmands - Pour De Bon</t>
        </is>
      </c>
      <c r="F1084" s="17" t="inlineStr">
        <is>
          <t>Le coffret Prestige réunit terrines, pâtés et jambon tranché Irouleguy, en direct de la Ferme les Acacias, avec un porc élevé et transformé à Urt.</t>
        </is>
      </c>
      <c r="G1084" s="19" t="inlineStr">
        <is>
          <t>https://www.pourdebon.com/coffret-prestige-terrines-pates-jambon-tranche-irouleguy-p10117?utm_source=partenaire&amp;utm_medium=Lemrock&amp;utm_content=Lemrock&amp;utm_campaign=Lemrock</t>
        </is>
      </c>
      <c r="H1084" s="20" t="n">
        <v>5603</v>
      </c>
      <c r="I1084" s="20" t="n">
        <v>23</v>
      </c>
      <c r="J1084" s="21">
        <f>IF(H1084=0,0,I1084/H1084)</f>
        <v/>
      </c>
    </row>
    <row r="1085">
      <c r="A1085" s="17" t="inlineStr">
        <is>
          <t>Pour de Bon</t>
        </is>
      </c>
      <c r="B1085" s="17" t="inlineStr">
        <is>
          <t>Live</t>
        </is>
      </c>
      <c r="C1085" s="17" t="inlineStr">
        <is>
          <t>Pour De Bon</t>
        </is>
      </c>
      <c r="D1085" s="17" t="inlineStr">
        <is>
          <t>Épicerie fine et coffrets gourmands</t>
        </is>
      </c>
      <c r="E1085" s="18" t="inlineStr">
        <is>
          <t>Amandise 450g - pâte à tartiner chocolat amande</t>
        </is>
      </c>
      <c r="F1085" s="17" t="inlineStr">
        <is>
          <t>Achat Amandise 450g - pâte à tartiner chocolat amande en direct de Les amandes et olives du Mont Bouquet avec Pourdebon. Avez-vous déjà goûté une véritable pâte</t>
        </is>
      </c>
      <c r="G1085" s="19" t="inlineStr">
        <is>
          <t>https://www.pourdebon.com/amandise-450g-pate-a-tartiner-chocolat-amande-p10275?utm_source=partenaire&amp;utm_medium=Lemrock&amp;utm_content=Lemrock&amp;utm_campaign=Lemrock</t>
        </is>
      </c>
      <c r="H1085" s="20" t="n">
        <v>5523</v>
      </c>
      <c r="I1085" s="20" t="n">
        <v>36</v>
      </c>
      <c r="J1085" s="21">
        <f>IF(H1085=0,0,I1085/H1085)</f>
        <v/>
      </c>
    </row>
    <row r="1086">
      <c r="A1086" s="17" t="inlineStr">
        <is>
          <t>Pour de Bon</t>
        </is>
      </c>
      <c r="B1086" s="17" t="inlineStr">
        <is>
          <t>Live</t>
        </is>
      </c>
      <c r="C1086" s="17" t="inlineStr">
        <is>
          <t>Pour De Bon</t>
        </is>
      </c>
      <c r="D1086" s="17" t="inlineStr">
        <is>
          <t>Alcohol</t>
        </is>
      </c>
      <c r="E1086" s="18" t="inlineStr">
        <is>
          <t>Vins, bières et spiritueux - Pour De Bon</t>
        </is>
      </c>
      <c r="F1086" s="17" t="inlineStr">
        <is>
          <t>Champagne et safran dans un même coffret, en direct du producteur ardennais : une bouteille à ouvrir et un condiment à garder.</t>
        </is>
      </c>
      <c r="G1086" s="19" t="inlineStr">
        <is>
          <t>https://www.pourdebon.com/coffret-cadeau-champagne-et-safran-p9412?utm_source=partenaire&amp;utm_medium=Lemrock&amp;utm_content=Lemrock&amp;utm_campaign=Lemrock</t>
        </is>
      </c>
      <c r="H1086" s="20" t="n">
        <v>5430</v>
      </c>
      <c r="I1086" s="20" t="n">
        <v>23</v>
      </c>
      <c r="J1086" s="21">
        <f>IF(H1086=0,0,I1086/H1086)</f>
        <v/>
      </c>
    </row>
    <row r="1087">
      <c r="A1087" s="17" t="inlineStr">
        <is>
          <t>Pour de Bon</t>
        </is>
      </c>
      <c r="B1087" s="17" t="inlineStr">
        <is>
          <t>Live</t>
        </is>
      </c>
      <c r="C1087" s="17" t="inlineStr">
        <is>
          <t>Pour De Bon</t>
        </is>
      </c>
      <c r="D1087" s="17" t="inlineStr">
        <is>
          <t>Gifts and Holiday Items</t>
        </is>
      </c>
      <c r="E1087" s="18" t="inlineStr">
        <is>
          <t>Coffret cadeau " Douceurs de Miel "</t>
        </is>
      </c>
      <c r="F1087" s="17" t="inlineStr">
        <is>
          <t>Achat Coffret cadeau " Douceurs de Miel " en direct de Le safran - l'or rouge des Ardennes avec Pourdebon. Coffret "Douceurs De Miel" Le coffret "Douceurs de Miel compre</t>
        </is>
      </c>
      <c r="G1087" s="19" t="inlineStr">
        <is>
          <t>https://www.pourdebon.com/coffret-cadeau-douceurs-de-miel-p15919?utm_source=partenaire&amp;utm_medium=Lemrock&amp;utm_content=Lemrock&amp;utm_campaign=Lemrock</t>
        </is>
      </c>
      <c r="H1087" s="20" t="n">
        <v>5363</v>
      </c>
      <c r="I1087" s="20" t="n">
        <v>21</v>
      </c>
      <c r="J1087" s="21">
        <f>IF(H1087=0,0,I1087/H1087)</f>
        <v/>
      </c>
    </row>
    <row r="1088">
      <c r="A1088" s="17" t="inlineStr">
        <is>
          <t>Pour de Bon</t>
        </is>
      </c>
      <c r="B1088" s="17" t="inlineStr">
        <is>
          <t>Live</t>
        </is>
      </c>
      <c r="C1088" s="17" t="inlineStr">
        <is>
          <t>Pour De Bon</t>
        </is>
      </c>
      <c r="D1088" s="17" t="inlineStr">
        <is>
          <t>Aperitif Spread</t>
        </is>
      </c>
      <c r="E1088" s="18" t="inlineStr">
        <is>
          <t>35 Macarons Camembert</t>
        </is>
      </c>
      <c r="F1088" s="17" t="inlineStr">
        <is>
          <t>Achat 35 Macarons Camembert en direct de Les Macarondises avec Pourdebon. Les 35 macarons camembert sont garnis d'une préparation salé &amp;</t>
        </is>
      </c>
      <c r="G1088" s="19" t="inlineStr">
        <is>
          <t>https://www.pourdebon.com/35-macarons-camembert-p15276?utm_source=partenaire&amp;utm_medium=Lemrock&amp;utm_content=Lemrock&amp;utm_campaign=Lemrock</t>
        </is>
      </c>
      <c r="H1088" s="20" t="n">
        <v>5219</v>
      </c>
      <c r="I1088" s="20" t="n">
        <v>24</v>
      </c>
      <c r="J1088" s="21">
        <f>IF(H1088=0,0,I1088/H1088)</f>
        <v/>
      </c>
    </row>
    <row r="1089">
      <c r="A1089" s="17" t="inlineStr">
        <is>
          <t>Pour de Bon</t>
        </is>
      </c>
      <c r="B1089" s="17" t="inlineStr">
        <is>
          <t>Live</t>
        </is>
      </c>
      <c r="C1089" s="17" t="inlineStr">
        <is>
          <t>Pour De Bon</t>
        </is>
      </c>
      <c r="D1089" s="17" t="inlineStr">
        <is>
          <t>Gifts and Holiday Items</t>
        </is>
      </c>
      <c r="E1089" s="18" t="inlineStr">
        <is>
          <t>Coffret Trois Miels</t>
        </is>
      </c>
      <c r="F1089" s="17" t="inlineStr">
        <is>
          <t>Achat Coffret Trois Miels en direct de Rucher du Viala avec Pourdebon. J’ai mis dans ce coffret trois de mes miels, bien sûr en fonction des saisons et</t>
        </is>
      </c>
      <c r="G1089" s="19" t="inlineStr">
        <is>
          <t>https://www.pourdebon.com/coffret-trois-miels-p18856?utm_source=partenaire&amp;utm_medium=Lemrock&amp;utm_content=Lemrock&amp;utm_campaign=Lemrock</t>
        </is>
      </c>
      <c r="H1089" s="20" t="n">
        <v>5188</v>
      </c>
      <c r="I1089" s="20" t="n">
        <v>34</v>
      </c>
      <c r="J1089" s="21">
        <f>IF(H1089=0,0,I1089/H1089)</f>
        <v/>
      </c>
    </row>
    <row r="1090">
      <c r="A1090" s="17" t="inlineStr">
        <is>
          <t>Pour de Bon</t>
        </is>
      </c>
      <c r="B1090" s="17" t="inlineStr">
        <is>
          <t>Live</t>
        </is>
      </c>
      <c r="C1090" s="17" t="inlineStr">
        <is>
          <t>Pour De Bon</t>
        </is>
      </c>
      <c r="D1090" s="17" t="inlineStr">
        <is>
          <t>Épicerie fine et coffrets gourmands</t>
        </is>
      </c>
      <c r="E1090" s="18" t="inlineStr">
        <is>
          <t>Coffret Prestige : Terrines, Pâtés, Jambon tranché</t>
        </is>
      </c>
      <c r="F1090" s="17" t="inlineStr">
        <is>
          <t>Achat Coffret Prestige : Terrines, Pâtés, Jambon tranché, Irouleguy en direct de Ferme les Acacias avec Pourdebon. Porc élevé et transformé à URT (64) Le coffret &amp;#</t>
        </is>
      </c>
      <c r="G1090" s="19" t="inlineStr">
        <is>
          <t>https://www.pourdebon.com/coffret-prestige-terrines-pates-jambon-tranche-irouleguy-p10117?utm_source=partenaire&amp;utm_medium=Lemrock&amp;utm_content=Lemrock&amp;utm_campaign=Lemrock</t>
        </is>
      </c>
      <c r="H1090" s="20" t="n">
        <v>5145</v>
      </c>
      <c r="I1090" s="20" t="n">
        <v>18</v>
      </c>
      <c r="J1090" s="21">
        <f>IF(H1090=0,0,I1090/H1090)</f>
        <v/>
      </c>
    </row>
    <row r="1091">
      <c r="A1091" s="17" t="inlineStr">
        <is>
          <t>Pour de Bon</t>
        </is>
      </c>
      <c r="B1091" s="17" t="inlineStr">
        <is>
          <t>Live</t>
        </is>
      </c>
      <c r="C1091" s="17" t="inlineStr">
        <is>
          <t>Pour De Bon</t>
        </is>
      </c>
      <c r="D1091" s="17" t="inlineStr">
        <is>
          <t>Refrigerated</t>
        </is>
      </c>
      <c r="E1091" s="18" t="inlineStr">
        <is>
          <t>Fondant De Saumon Au Miel</t>
        </is>
      </c>
      <c r="F1091" s="17" t="inlineStr">
        <is>
          <t>Achat Fondant De Saumon Au Miel en direct de Fumage du Val de Lys avec Pourdebon. Flanc de saumon fumé avec du miel, un mélange sucré sal&amp;eac</t>
        </is>
      </c>
      <c r="G1091" s="19" t="inlineStr">
        <is>
          <t>https://www.pourdebon.com/fondant-de-saumon-au-miel-p4429?utm_source=partenaire&amp;utm_medium=Lemrock&amp;utm_content=Lemrock&amp;utm_campaign=Lemrock</t>
        </is>
      </c>
      <c r="H1091" s="20" t="n">
        <v>5083</v>
      </c>
      <c r="I1091" s="20" t="n">
        <v>30</v>
      </c>
      <c r="J1091" s="21">
        <f>IF(H1091=0,0,I1091/H1091)</f>
        <v/>
      </c>
    </row>
    <row r="1092">
      <c r="A1092" s="17" t="inlineStr">
        <is>
          <t>Pour de Bon</t>
        </is>
      </c>
      <c r="B1092" s="17" t="inlineStr">
        <is>
          <t>Live</t>
        </is>
      </c>
      <c r="C1092" s="17" t="inlineStr">
        <is>
          <t>Pour De Bon</t>
        </is>
      </c>
      <c r="D1092" s="17" t="inlineStr">
        <is>
          <t>Refrigerated</t>
        </is>
      </c>
      <c r="E1092" s="18" t="inlineStr">
        <is>
          <t>Fromages, poissons et viandes en direct - Pour De Bon</t>
        </is>
      </c>
      <c r="F1092" s="17" t="inlineStr">
        <is>
          <t>Le colis de raviolis bœuf-carotte biologiques réunit quatre barquettes de 250 g, en direct de Lioravi, l’authentique pâte fraîche, en précommande.</t>
        </is>
      </c>
      <c r="G1092" s="19" t="inlineStr">
        <is>
          <t>https://www.pourdebon.com/colis-raviolis-boeuf-carotte-4x250g-p16671?utm_source=partenaire&amp;utm_medium=Lemrock&amp;utm_content=Lemrock&amp;utm_campaign=Lemrock</t>
        </is>
      </c>
      <c r="H1092" s="20" t="n">
        <v>4974</v>
      </c>
      <c r="I1092" s="20" t="n">
        <v>22</v>
      </c>
      <c r="J1092" s="21">
        <f>IF(H1092=0,0,I1092/H1092)</f>
        <v/>
      </c>
    </row>
    <row r="1093">
      <c r="A1093" s="17" t="inlineStr">
        <is>
          <t>Pour de Bon</t>
        </is>
      </c>
      <c r="B1093" s="17" t="inlineStr">
        <is>
          <t>Live</t>
        </is>
      </c>
      <c r="C1093" s="17" t="inlineStr">
        <is>
          <t>Pour De Bon</t>
        </is>
      </c>
      <c r="D1093" s="17" t="inlineStr">
        <is>
          <t>Gifts and Holiday Items</t>
        </is>
      </c>
      <c r="E1093" s="18" t="inlineStr">
        <is>
          <t>35 Macarons Passion Chocolat</t>
        </is>
      </c>
      <c r="F1093" s="17" t="inlineStr">
        <is>
          <t>Achat 35 Macarons Passion Chocolat en direct de Les Macarondises avec Pourdebon. Les 35 macarons passion chocolat sont garnis d'une ganache chocolat noir au</t>
        </is>
      </c>
      <c r="G1093" s="19" t="inlineStr">
        <is>
          <t>https://www.pourdebon.com/35-macarons-passion-chocolat-p15281?utm_source=partenaire&amp;utm_medium=Lemrock&amp;utm_content=Lemrock&amp;utm_campaign=Lemrock</t>
        </is>
      </c>
      <c r="H1093" s="20" t="n">
        <v>4855</v>
      </c>
      <c r="I1093" s="20" t="n">
        <v>14</v>
      </c>
      <c r="J1093" s="21">
        <f>IF(H1093=0,0,I1093/H1093)</f>
        <v/>
      </c>
    </row>
    <row r="1094">
      <c r="A1094" s="17" t="inlineStr">
        <is>
          <t>Pour de Bon</t>
        </is>
      </c>
      <c r="B1094" s="17" t="inlineStr">
        <is>
          <t>Live</t>
        </is>
      </c>
      <c r="C1094" s="17" t="inlineStr">
        <is>
          <t>Pour De Bon</t>
        </is>
      </c>
      <c r="D1094" s="17" t="inlineStr">
        <is>
          <t>Refrigerated</t>
        </is>
      </c>
      <c r="E1094" s="18" t="inlineStr">
        <is>
          <t>Fromage frais aux fruits - Assortiment de 4 - En direct de</t>
        </is>
      </c>
      <c r="F1094" s="17" t="inlineStr">
        <is>
          <t>Assortiment de 4 Fromages Frais aux Fruits Le Fromage frais aux fruits, c’est une louche de fromage blanc lissédélicatement posée sur un fond de confiture. C’est un équilibre</t>
        </is>
      </c>
      <c r="G1094" s="19" t="inlineStr">
        <is>
          <t>https://www.pourdebon.com/fromage-frais-aux-fruits-assortiment-de-4-p206</t>
        </is>
      </c>
      <c r="H1094" s="20" t="n">
        <v>4839</v>
      </c>
      <c r="I1094" s="20" t="n">
        <v>24</v>
      </c>
      <c r="J1094" s="21">
        <f>IF(H1094=0,0,I1094/H1094)</f>
        <v/>
      </c>
    </row>
    <row r="1095">
      <c r="A1095" s="17" t="inlineStr">
        <is>
          <t>Pour de Bon</t>
        </is>
      </c>
      <c r="B1095" s="17" t="inlineStr">
        <is>
          <t>Live</t>
        </is>
      </c>
      <c r="C1095" s="17" t="inlineStr">
        <is>
          <t>Pour De Bon</t>
        </is>
      </c>
      <c r="D1095" s="17" t="inlineStr">
        <is>
          <t>Refrigerated</t>
        </is>
      </c>
      <c r="E1095" s="18" t="inlineStr">
        <is>
          <t>Fromage blanc frais lissé 7% - 50cl - En direct de</t>
        </is>
      </c>
      <c r="F1095" s="17" t="inlineStr">
        <is>
          <t>Le Fromage blanc lissé, d’un aspect lisse et satiné est onctueux. Ilse mariera à merveille dans vos recettes salées ou sucrées, avec une cuillère de confiture, de miel , … ou tout</t>
        </is>
      </c>
      <c r="G1095" s="19" t="inlineStr">
        <is>
          <t>https://www.pourdebon.com/fromage-blanc-frais-lisse-7-50cl-p203</t>
        </is>
      </c>
      <c r="H1095" s="20" t="n">
        <v>4707</v>
      </c>
      <c r="I1095" s="20" t="n">
        <v>16</v>
      </c>
      <c r="J1095" s="21">
        <f>IF(H1095=0,0,I1095/H1095)</f>
        <v/>
      </c>
    </row>
    <row r="1096">
      <c r="A1096" s="17" t="inlineStr">
        <is>
          <t>Pour de Bon</t>
        </is>
      </c>
      <c r="B1096" s="17" t="inlineStr">
        <is>
          <t>Live</t>
        </is>
      </c>
      <c r="C1096" s="17" t="inlineStr">
        <is>
          <t>Pour De Bon</t>
        </is>
      </c>
      <c r="D1096" s="17" t="inlineStr">
        <is>
          <t>Refrigerated</t>
        </is>
      </c>
      <c r="E1096" s="18" t="inlineStr">
        <is>
          <t>Yaourts bi couche Fraise - 4 Pots</t>
        </is>
      </c>
      <c r="F1096" s="17" t="inlineStr">
        <is>
          <t>Achat Yaourts bi couche Fraise - 4 Pots en direct de Bastidarra - Ekia avec Pourdebon. Nos yaourts sont fabriqués à partir de lait de vache, brebis ou ch</t>
        </is>
      </c>
      <c r="G1096" s="19" t="inlineStr">
        <is>
          <t>https://www.pourdebon.com/yaourts-bi-couche-fraise-4-pots-p8685?utm_source=partenaire&amp;utm_medium=Lemrock&amp;utm_content=Lemrock&amp;utm_campaign=Lemrock</t>
        </is>
      </c>
      <c r="H1096" s="20" t="n">
        <v>4668</v>
      </c>
      <c r="I1096" s="20" t="n">
        <v>22</v>
      </c>
      <c r="J1096" s="21">
        <f>IF(H1096=0,0,I1096/H1096)</f>
        <v/>
      </c>
    </row>
    <row r="1097">
      <c r="A1097" s="17" t="inlineStr">
        <is>
          <t>Pour de Bon</t>
        </is>
      </c>
      <c r="B1097" s="17" t="inlineStr">
        <is>
          <t>Live</t>
        </is>
      </c>
      <c r="C1097" s="17" t="inlineStr">
        <is>
          <t>Pour De Bon</t>
        </is>
      </c>
      <c r="D1097" s="17" t="inlineStr">
        <is>
          <t>Gifts and Holiday Items</t>
        </is>
      </c>
      <c r="E1097" s="18" t="inlineStr">
        <is>
          <t>Coffret Découverte De 4 Miels 1000g</t>
        </is>
      </c>
      <c r="F1097" s="17" t="inlineStr">
        <is>
          <t>Achat Coffret Découverte De 4 Miels 1000g en direct de Rucher du Viala avec Pourdebon. Ce coffret se présente sous la forme de 4 x 250 gr, d’un assortiment de mes mi</t>
        </is>
      </c>
      <c r="G1097" s="19" t="inlineStr">
        <is>
          <t>https://www.pourdebon.com/coffret-decouverte-de-4-miels-1000g-p3949?utm_source=partenaire&amp;utm_medium=Lemrock&amp;utm_content=Lemrock&amp;utm_campaign=Lemrock</t>
        </is>
      </c>
      <c r="H1097" s="20" t="n">
        <v>4646</v>
      </c>
      <c r="I1097" s="20" t="n">
        <v>17</v>
      </c>
      <c r="J1097" s="21">
        <f>IF(H1097=0,0,I1097/H1097)</f>
        <v/>
      </c>
    </row>
    <row r="1098">
      <c r="A1098" s="17" t="inlineStr">
        <is>
          <t>Pour de Bon</t>
        </is>
      </c>
      <c r="B1098" s="17" t="inlineStr">
        <is>
          <t>Live</t>
        </is>
      </c>
      <c r="C1098" s="17" t="inlineStr">
        <is>
          <t>Pour De Bon</t>
        </is>
      </c>
      <c r="D1098" s="17" t="inlineStr">
        <is>
          <t>Refrigerated</t>
        </is>
      </c>
      <c r="E1098" s="18" t="inlineStr">
        <is>
          <t>Comté 12 mois AOP - En direct de BEILLEVAIRE</t>
        </is>
      </c>
      <c r="F1098" s="17" t="inlineStr">
        <is>
          <t>Joyau de la Franche-Comté. Il a une pâte jaune tendre, d’où se dégagent des arômes de fruits secs. Avec le temps, de mini cristaux parsèment le comté. On appelle cela la tyrosine</t>
        </is>
      </c>
      <c r="G1098" s="19" t="inlineStr">
        <is>
          <t>https://www.pourdebon.com/comte-12-mois-aop-p151</t>
        </is>
      </c>
      <c r="H1098" s="20" t="n">
        <v>4568</v>
      </c>
      <c r="I1098" s="20" t="n">
        <v>19</v>
      </c>
      <c r="J1098" s="21">
        <f>IF(H1098=0,0,I1098/H1098)</f>
        <v/>
      </c>
    </row>
    <row r="1099">
      <c r="A1099" s="17" t="inlineStr">
        <is>
          <t>Pour de Bon</t>
        </is>
      </c>
      <c r="B1099" s="17" t="inlineStr">
        <is>
          <t>Live</t>
        </is>
      </c>
      <c r="C1099" s="17" t="inlineStr">
        <is>
          <t>Pour De Bon</t>
        </is>
      </c>
      <c r="D1099" s="17" t="inlineStr">
        <is>
          <t>Alcohol</t>
        </is>
      </c>
      <c r="E1099" s="18" t="inlineStr">
        <is>
          <t>Champagnes et coffrets dégustation - Pour De Bon</t>
        </is>
      </c>
      <c r="F1099" s="17" t="inlineStr">
        <is>
          <t>Le coffret dégustation réunit trois bouteilles de champagne, expédiées en direct de Champagne Deneufchatel avec Pour De Bon.</t>
        </is>
      </c>
      <c r="G1099" s="19" t="inlineStr">
        <is>
          <t>https://www.pourdebon.com/coffret-degustation-de-champagne-p11676?utm_source=partenaire&amp;utm_medium=Lemrock&amp;utm_content=Lemrock&amp;utm_campaign=Lemrock</t>
        </is>
      </c>
      <c r="H1099" s="20" t="n">
        <v>4558</v>
      </c>
      <c r="I1099" s="20" t="n">
        <v>27</v>
      </c>
      <c r="J1099" s="21">
        <f>IF(H1099=0,0,I1099/H1099)</f>
        <v/>
      </c>
    </row>
    <row r="1100">
      <c r="A1100" s="17" t="inlineStr">
        <is>
          <t>Pour de Bon</t>
        </is>
      </c>
      <c r="B1100" s="17" t="inlineStr">
        <is>
          <t>Live</t>
        </is>
      </c>
      <c r="C1100" s="17" t="inlineStr">
        <is>
          <t>Pour De Bon</t>
        </is>
      </c>
      <c r="D1100" s="17" t="inlineStr">
        <is>
          <t>Alcohol</t>
        </is>
      </c>
      <c r="E1100" s="18" t="inlineStr">
        <is>
          <t>Champagne Deneufchatel Brut Tradition 1 X 75 Cl</t>
        </is>
      </c>
      <c r="F1100" s="17" t="inlineStr">
        <is>
          <t>Achat Champagne Deneufchatel Brut Tradition 1 X 75 Cl en direct de Champagne Deneufchatel avec Pourdebon. Champagne Deneufchatel Brut Tradition possède une robe à reflets a</t>
        </is>
      </c>
      <c r="G1100" s="19" t="inlineStr">
        <is>
          <t>https://www.pourdebon.com/champagne-deneufchatel-brut-tradition-1-x-75-cl-p9473?utm_source=partenaire&amp;utm_medium=Lemrock&amp;utm_content=Lemrock&amp;utm_campaign=Lemrock</t>
        </is>
      </c>
      <c r="H1100" s="20" t="n">
        <v>4552</v>
      </c>
      <c r="I1100" s="20" t="n">
        <v>17</v>
      </c>
      <c r="J1100" s="21">
        <f>IF(H1100=0,0,I1100/H1100)</f>
        <v/>
      </c>
    </row>
    <row r="1101">
      <c r="A1101" s="17" t="inlineStr">
        <is>
          <t>Pour de Bon</t>
        </is>
      </c>
      <c r="B1101" s="17" t="inlineStr">
        <is>
          <t>Live</t>
        </is>
      </c>
      <c r="C1101" s="17" t="inlineStr">
        <is>
          <t>Pour De Bon</t>
        </is>
      </c>
      <c r="D1101" s="17" t="inlineStr">
        <is>
          <t>Épicerie fine et coffrets gourmands</t>
        </is>
      </c>
      <c r="E1101" s="18" t="inlineStr">
        <is>
          <t>Coffret cadeau Champagne Et Safran</t>
        </is>
      </c>
      <c r="F1101" s="17" t="inlineStr">
        <is>
          <t>Achat Coffret cadeau Champagne Et Safran en direct de Le safran - l'or rouge des Ardennes avec Pourdebon. Le coffret ''Champagne &amp; Safran'' est le fruit d'une col</t>
        </is>
      </c>
      <c r="G1101" s="19" t="inlineStr">
        <is>
          <t>https://www.pourdebon.com/coffret-cadeau-champagne-et-safran-p9412?utm_source=partenaire&amp;utm_medium=Lemrock&amp;utm_content=Lemrock&amp;utm_campaign=Lemrock</t>
        </is>
      </c>
      <c r="H1101" s="20" t="n">
        <v>4544</v>
      </c>
      <c r="I1101" s="20" t="n">
        <v>25</v>
      </c>
      <c r="J1101" s="21">
        <f>IF(H1101=0,0,I1101/H1101)</f>
        <v/>
      </c>
    </row>
    <row r="1102">
      <c r="A1102" s="17" t="inlineStr">
        <is>
          <t>Pour de Bon</t>
        </is>
      </c>
      <c r="B1102" s="17" t="inlineStr">
        <is>
          <t>Live</t>
        </is>
      </c>
      <c r="C1102" s="17" t="inlineStr">
        <is>
          <t>Pour De Bon</t>
        </is>
      </c>
      <c r="D1102" s="17" t="inlineStr">
        <is>
          <t>Refrigerated</t>
        </is>
      </c>
      <c r="E1102" s="18" t="inlineStr">
        <is>
          <t>Fromages, poissons et viandes en direct - Pour De Bon</t>
        </is>
      </c>
      <c r="F1102" s="17" t="inlineStr">
        <is>
          <t>Les filets de truite saumonée rose arrivent en lot de 1 kg, en pièces de 200 à 400 g, en direct de Ma poissonnière avec Pour De Bon.</t>
        </is>
      </c>
      <c r="G1102" s="19" t="inlineStr">
        <is>
          <t>https://www.pourdebon.com/filet-de-truite-saumonee-lot-de-1-kg-p7100?utm_source=partenaire&amp;utm_medium=Lemrock&amp;utm_content=Lemrock&amp;utm_campaign=Lemrock</t>
        </is>
      </c>
      <c r="H1102" s="20" t="n">
        <v>4529</v>
      </c>
      <c r="I1102" s="20" t="n">
        <v>26</v>
      </c>
      <c r="J1102" s="21">
        <f>IF(H1102=0,0,I1102/H1102)</f>
        <v/>
      </c>
    </row>
    <row r="1103">
      <c r="A1103" s="17" t="inlineStr">
        <is>
          <t>Pour de Bon</t>
        </is>
      </c>
      <c r="B1103" s="17" t="inlineStr">
        <is>
          <t>Live</t>
        </is>
      </c>
      <c r="C1103" s="17" t="inlineStr">
        <is>
          <t>Pour De Bon</t>
        </is>
      </c>
      <c r="D1103" s="17" t="inlineStr">
        <is>
          <t>Aperitif Spread</t>
        </is>
      </c>
      <c r="E1103" s="18" t="inlineStr">
        <is>
          <t>Terrine De Pâté Au Jambon - 180g</t>
        </is>
      </c>
      <c r="F1103" s="17" t="inlineStr">
        <is>
          <t>Achat Terrine De Pâté Au Jambon - 180g en direct de Maison Millas avec Pourdebon. Notre terrine de pâté au jambon sec est fabriquée à p</t>
        </is>
      </c>
      <c r="G1103" s="19" t="inlineStr">
        <is>
          <t>https://www.pourdebon.com/terrine-de-pate-au-jambon-180g-p12843?utm_source=partenaire&amp;utm_medium=Lemrock&amp;utm_content=Lemrock&amp;utm_campaign=Lemrock</t>
        </is>
      </c>
      <c r="H1103" s="20" t="n">
        <v>4508</v>
      </c>
      <c r="I1103" s="20" t="n">
        <v>19</v>
      </c>
      <c r="J1103" s="21">
        <f>IF(H1103=0,0,I1103/H1103)</f>
        <v/>
      </c>
    </row>
    <row r="1104">
      <c r="A1104" s="17" t="inlineStr">
        <is>
          <t>Pour de Bon</t>
        </is>
      </c>
      <c r="B1104" s="17" t="inlineStr">
        <is>
          <t>Live</t>
        </is>
      </c>
      <c r="C1104" s="17" t="inlineStr">
        <is>
          <t>Pour De Bon</t>
        </is>
      </c>
      <c r="D1104" s="17" t="inlineStr">
        <is>
          <t>Cafés, thés, jus et boissons</t>
        </is>
      </c>
      <c r="E1104" s="18" t="inlineStr">
        <is>
          <t>Jus de fruits pressés et boissons prix bas | Pour De Bon</t>
        </is>
      </c>
      <c r="F1104" s="17" t="inlineStr">
        <is>
          <t>Jus de fruits et boissons de La Ferme des Prun’Elles, de La Brasserie Parallèle sans alcool et de producteurs français, pressés à la ferme, livrés dès 20 € de commande.</t>
        </is>
      </c>
      <c r="G1104" s="19" t="inlineStr">
        <is>
          <t>https://www.pourdebon.com/jus-de-fruits-et-autres-boissons-c48</t>
        </is>
      </c>
      <c r="H1104" s="20" t="n">
        <v>4501</v>
      </c>
      <c r="I1104" s="20" t="n">
        <v>12</v>
      </c>
      <c r="J1104" s="21">
        <f>IF(H1104=0,0,I1104/H1104)</f>
        <v/>
      </c>
    </row>
    <row r="1105">
      <c r="A1105" s="17" t="inlineStr">
        <is>
          <t>Pour de Bon</t>
        </is>
      </c>
      <c r="B1105" s="17" t="inlineStr">
        <is>
          <t>Live</t>
        </is>
      </c>
      <c r="C1105" s="17" t="inlineStr">
        <is>
          <t>Pour De Bon</t>
        </is>
      </c>
      <c r="D1105" s="17" t="inlineStr">
        <is>
          <t>Aperitif Spread</t>
        </is>
      </c>
      <c r="E1105" s="18" t="inlineStr">
        <is>
          <t>Terrine de magret de canard au foie gras 100g</t>
        </is>
      </c>
      <c r="F1105" s="17" t="inlineStr">
        <is>
          <t>Achat Terrine de magret de canard au foie gras 100g en direct de Alban Laban avec Pourdebon. Médaille d'or au concours général agricole de Paris en</t>
        </is>
      </c>
      <c r="G1105" s="19" t="inlineStr">
        <is>
          <t>https://www.pourdebon.com/terrine-de-magret-de-canard-au-foie-gras-100g-p369?utm_source=partenaire&amp;utm_medium=Lemrock&amp;utm_content=Lemrock&amp;utm_campaign=Lemrock</t>
        </is>
      </c>
      <c r="H1105" s="20" t="n">
        <v>4490</v>
      </c>
      <c r="I1105" s="20" t="n">
        <v>17</v>
      </c>
      <c r="J1105" s="21">
        <f>IF(H1105=0,0,I1105/H1105)</f>
        <v/>
      </c>
    </row>
    <row r="1106">
      <c r="A1106" s="17" t="inlineStr">
        <is>
          <t>Pour de Bon</t>
        </is>
      </c>
      <c r="B1106" s="17" t="inlineStr">
        <is>
          <t>Live</t>
        </is>
      </c>
      <c r="C1106" s="17" t="inlineStr">
        <is>
          <t>Pour De Bon</t>
        </is>
      </c>
      <c r="D1106" s="17" t="inlineStr">
        <is>
          <t>Refrigerated</t>
        </is>
      </c>
      <c r="E1106" s="18" t="inlineStr">
        <is>
          <t>Confit de 2 Magrets de Canard</t>
        </is>
      </c>
      <c r="F1106" s="17" t="inlineStr">
        <is>
          <t>Achat Confit de 2 Magrets de Canard en direct de Esprit Foie Gras avec Pourdebon. La viande est cuite dans sa graisse dont on connaît les vertus. Selon des</t>
        </is>
      </c>
      <c r="G1106" s="19" t="inlineStr">
        <is>
          <t>https://www.pourdebon.com/confit-de-2-magrets-de-canard-p4484?utm_source=partenaire&amp;utm_medium=Lemrock&amp;utm_content=Lemrock&amp;utm_campaign=Lemrock</t>
        </is>
      </c>
      <c r="H1106" s="20" t="n">
        <v>4469</v>
      </c>
      <c r="I1106" s="20" t="n">
        <v>14</v>
      </c>
      <c r="J1106" s="21">
        <f>IF(H1106=0,0,I1106/H1106)</f>
        <v/>
      </c>
    </row>
    <row r="1107">
      <c r="A1107" s="17" t="inlineStr">
        <is>
          <t>Pour de Bon</t>
        </is>
      </c>
      <c r="B1107" s="17" t="inlineStr">
        <is>
          <t>Live</t>
        </is>
      </c>
      <c r="C1107" s="17" t="inlineStr">
        <is>
          <t>Pour De Bon</t>
        </is>
      </c>
      <c r="D1107" s="17" t="inlineStr">
        <is>
          <t>Refrigerated</t>
        </is>
      </c>
      <c r="E1107" s="18" t="inlineStr">
        <is>
          <t>Yaourts au Lait Cru de Vache parfums panachés: Natures x3</t>
        </is>
      </c>
      <c r="F1107" s="17" t="inlineStr">
        <is>
          <t>Achat Yaourts au Lait Cru de Vache parfums panachés: Natures x3, Vanille x3, Abricot x3, Fraise x3 en direct de Ferme Chambon avec Pourdebon. Nos yaourts sont réalisés à partir de</t>
        </is>
      </c>
      <c r="G1107" s="19" t="inlineStr">
        <is>
          <t>https://www.pourdebon.com/yaourts-au-lait-cru-de-vache-parfums-panaches-natures-x3-vanille-x3-abricot-x3-fraise-x3-p13837?utm_source=partenaire&amp;utm_medium=Lemrock&amp;utm_content=Lemrock&amp;utm_campaign=Lemrock</t>
        </is>
      </c>
      <c r="H1107" s="20" t="n">
        <v>4454</v>
      </c>
      <c r="I1107" s="20" t="n">
        <v>15</v>
      </c>
      <c r="J1107" s="21">
        <f>IF(H1107=0,0,I1107/H1107)</f>
        <v/>
      </c>
    </row>
    <row r="1108">
      <c r="A1108" s="17" t="inlineStr">
        <is>
          <t>Pour de Bon</t>
        </is>
      </c>
      <c r="B1108" s="17" t="inlineStr">
        <is>
          <t>Live</t>
        </is>
      </c>
      <c r="C1108" s="17" t="inlineStr">
        <is>
          <t>Pour De Bon</t>
        </is>
      </c>
      <c r="D1108" s="17" t="inlineStr">
        <is>
          <t>Épicerie fine et coffrets gourmands</t>
        </is>
      </c>
      <c r="E1108" s="18" t="inlineStr">
        <is>
          <t>Coffret Dégustation De Champagne</t>
        </is>
      </c>
      <c r="F1108" s="17" t="inlineStr">
        <is>
          <t>Achat Coffret Dégustation De Champagne en direct de Champagne Deneufchatel avec Pourdebon. Coffret dégustation et découverte de trois bouteilles de champagne</t>
        </is>
      </c>
      <c r="G1108" s="19" t="inlineStr">
        <is>
          <t>https://www.pourdebon.com/coffret-degustation-de-champagne-p11676?utm_source=partenaire&amp;utm_medium=Lemrock&amp;utm_content=Lemrock&amp;utm_campaign=Lemrock</t>
        </is>
      </c>
      <c r="H1108" s="20" t="n">
        <v>4428</v>
      </c>
      <c r="I1108" s="20" t="n">
        <v>26</v>
      </c>
      <c r="J1108" s="21">
        <f>IF(H1108=0,0,I1108/H1108)</f>
        <v/>
      </c>
    </row>
    <row r="1109">
      <c r="A1109" s="17" t="inlineStr">
        <is>
          <t>Pour de Bon</t>
        </is>
      </c>
      <c r="B1109" s="17" t="inlineStr">
        <is>
          <t>Live</t>
        </is>
      </c>
      <c r="C1109" s="17" t="inlineStr">
        <is>
          <t>Pour De Bon</t>
        </is>
      </c>
      <c r="D1109" s="17" t="inlineStr">
        <is>
          <t>Refrigerated</t>
        </is>
      </c>
      <c r="E1109" s="18" t="inlineStr">
        <is>
          <t>Pavé De Truite Saumonée - Lot De 1 Kg</t>
        </is>
      </c>
      <c r="F1109" s="17" t="inlineStr">
        <is>
          <t>Achat Pavé De Truite Saumonée - Lot De 1 Kg en direct de Ma poissonnière avec Pourdebon. Pavé de truite rose , pavé de 0,90 à 160 gr pièce. C</t>
        </is>
      </c>
      <c r="G1109" s="19" t="inlineStr">
        <is>
          <t>https://www.pourdebon.com/pave-de-truite-saumonee-lot-de-1-kg-p7106?utm_source=partenaire&amp;utm_medium=Lemrock&amp;utm_content=Lemrock&amp;utm_campaign=Lemrock</t>
        </is>
      </c>
      <c r="H1109" s="20" t="n">
        <v>4410</v>
      </c>
      <c r="I1109" s="20" t="n">
        <v>21</v>
      </c>
      <c r="J1109" s="21">
        <f>IF(H1109=0,0,I1109/H1109)</f>
        <v/>
      </c>
    </row>
    <row r="1110">
      <c r="A1110" s="17" t="inlineStr">
        <is>
          <t>Pour de Bon</t>
        </is>
      </c>
      <c r="B1110" s="17" t="inlineStr">
        <is>
          <t>Live</t>
        </is>
      </c>
      <c r="C1110" s="17" t="inlineStr">
        <is>
          <t>Pour De Bon</t>
        </is>
      </c>
      <c r="D1110" s="17" t="inlineStr">
        <is>
          <t>Specialty Stores</t>
        </is>
      </c>
      <c r="E1110" s="18" t="inlineStr">
        <is>
          <t>Filets de truite saumonée au kilo - Pour De Bon</t>
        </is>
      </c>
      <c r="F1110" s="17" t="inlineStr">
        <is>
          <t>Ce lot d’un kilo réunit des filets de truite saumonée de 200 à 400 g pièce, expédiés par Ma poissonnière en direct de son atelier.</t>
        </is>
      </c>
      <c r="G1110" s="19" t="inlineStr">
        <is>
          <t>https://www.pourdebon.com/filet-de-truite-saumonee-lot-de-1-kg-p7100?utm_source=partenaire&amp;utm_medium=Lemrock&amp;utm_content=Lemrock&amp;utm_campaign=Lemrock</t>
        </is>
      </c>
      <c r="H1110" s="20" t="n">
        <v>4356</v>
      </c>
      <c r="I1110" s="20" t="n">
        <v>25</v>
      </c>
      <c r="J1110" s="21">
        <f>IF(H1110=0,0,I1110/H1110)</f>
        <v/>
      </c>
    </row>
    <row r="1111">
      <c r="A1111" s="17" t="inlineStr">
        <is>
          <t>Pour de Bon</t>
        </is>
      </c>
      <c r="B1111" s="17" t="inlineStr">
        <is>
          <t>Live</t>
        </is>
      </c>
      <c r="C1111" s="17" t="inlineStr">
        <is>
          <t>Pour De Bon</t>
        </is>
      </c>
      <c r="D1111" s="17" t="inlineStr">
        <is>
          <t>Specialty Stores</t>
        </is>
      </c>
      <c r="E1111" s="18" t="inlineStr">
        <is>
          <t>Raviolis frais bœuf-carotte bio - Pour De Bon</t>
        </is>
      </c>
      <c r="F1111" s="17" t="inlineStr">
        <is>
          <t>Ce colis Lioravi réunit quatre barquettes de raviolis bœuf-carotte biologiques en pâte fraîche, à précommander chez le producteur.</t>
        </is>
      </c>
      <c r="G1111" s="19" t="inlineStr">
        <is>
          <t>https://www.pourdebon.com/colis-raviolis-boeuf-carotte-4x250g-p16671?utm_source=partenaire&amp;utm_medium=Lemrock&amp;utm_content=Lemrock&amp;utm_campaign=Lemrock</t>
        </is>
      </c>
      <c r="H1111" s="20" t="n">
        <v>4337</v>
      </c>
      <c r="I1111" s="20" t="n">
        <v>22</v>
      </c>
      <c r="J1111" s="21">
        <f>IF(H1111=0,0,I1111/H1111)</f>
        <v/>
      </c>
    </row>
    <row r="1112">
      <c r="A1112" s="17" t="inlineStr">
        <is>
          <t>Pour de Bon</t>
        </is>
      </c>
      <c r="B1112" s="17" t="inlineStr">
        <is>
          <t>Live</t>
        </is>
      </c>
      <c r="C1112" s="17" t="inlineStr">
        <is>
          <t>Pour De Bon</t>
        </is>
      </c>
      <c r="D1112" s="17" t="inlineStr">
        <is>
          <t>Épicerie salée : pâtes, riz, huiles et condiments</t>
        </is>
      </c>
      <c r="E1112" s="18" t="inlineStr">
        <is>
          <t>Condiments, moutardes et sauces prix bas | Pour De Bon</t>
        </is>
      </c>
      <c r="F1112" s="17" t="inlineStr">
        <is>
          <t>Condiments et sauces d’Esprit Zen, Conserves Guintrand et des Amandes et olives du Mont Bouquet, préparés par le producteur et livrés dès 20 € de commande.</t>
        </is>
      </c>
      <c r="G1112" s="19" t="inlineStr">
        <is>
          <t>https://www.pourdebon.com/condiments-et-sauces-c43</t>
        </is>
      </c>
      <c r="H1112" s="20" t="n">
        <v>4313</v>
      </c>
      <c r="I1112" s="20" t="n">
        <v>16</v>
      </c>
      <c r="J1112" s="21">
        <f>IF(H1112=0,0,I1112/H1112)</f>
        <v/>
      </c>
    </row>
    <row r="1113">
      <c r="A1113" s="17" t="inlineStr">
        <is>
          <t>Pour de Bon</t>
        </is>
      </c>
      <c r="B1113" s="17" t="inlineStr">
        <is>
          <t>Live</t>
        </is>
      </c>
      <c r="C1113" s="17" t="inlineStr">
        <is>
          <t>Pour De Bon</t>
        </is>
      </c>
      <c r="D1113" s="17" t="inlineStr">
        <is>
          <t>Refrigerated</t>
        </is>
      </c>
      <c r="E1113" s="18" t="inlineStr">
        <is>
          <t>Huitres Gratinées Au Champagne Et À L’orange - 4 Pièces</t>
        </is>
      </c>
      <c r="F1113" s="17" t="inlineStr">
        <is>
          <t>Achat Huitres Gratinées Au Champagne Et À L’orange - 4 Pièces en direct de Aquaprawna Traiteur avec Pourdebon. Aromatisée au champagne, et à l’orange, notre recette d'huitres</t>
        </is>
      </c>
      <c r="G1113" s="19" t="inlineStr">
        <is>
          <t>https://www.pourdebon.com/huitres-gratinees-au-champagne-et-a-l-orange-4-pieces-p11038?utm_source=partenaire&amp;utm_medium=Lemrock&amp;utm_content=Lemrock&amp;utm_campaign=Lemrock</t>
        </is>
      </c>
      <c r="H1113" s="20" t="n">
        <v>4297</v>
      </c>
      <c r="I1113" s="20" t="n">
        <v>19</v>
      </c>
      <c r="J1113" s="21">
        <f>IF(H1113=0,0,I1113/H1113)</f>
        <v/>
      </c>
    </row>
    <row r="1114">
      <c r="A1114" s="17" t="inlineStr">
        <is>
          <t>Pour de Bon</t>
        </is>
      </c>
      <c r="B1114" s="17" t="inlineStr">
        <is>
          <t>Live</t>
        </is>
      </c>
      <c r="C1114" s="17" t="inlineStr">
        <is>
          <t>Pour De Bon</t>
        </is>
      </c>
      <c r="D1114" s="17" t="inlineStr">
        <is>
          <t>Refrigerated</t>
        </is>
      </c>
      <c r="E1114" s="18" t="inlineStr">
        <is>
          <t>Rôti de veau bio dans l'épaule** (race limousine) - 500g</t>
        </is>
      </c>
      <c r="F1114" s="17" t="inlineStr">
        <is>
          <t>Rôti de veau bio dans l'épaule** (race limousine) - 500g.Roti dans l'épaule de veau 500g, un beau morceau tendre et moelleux à daguster après une cuisson cocotte 1h dans four dans</t>
        </is>
      </c>
      <c r="G1114" s="19" t="inlineStr">
        <is>
          <t>https://www.pourdebon.com/roti-de-veau-bio-dans-l-epaule-race-limousine-500g-p2454</t>
        </is>
      </c>
      <c r="H1114" s="20" t="n">
        <v>4281</v>
      </c>
      <c r="I1114" s="20" t="n">
        <v>26</v>
      </c>
      <c r="J1114" s="21">
        <f>IF(H1114=0,0,I1114/H1114)</f>
        <v/>
      </c>
    </row>
    <row r="1115">
      <c r="A1115" s="17" t="inlineStr">
        <is>
          <t>Pour de Bon</t>
        </is>
      </c>
      <c r="B1115" s="17" t="inlineStr">
        <is>
          <t>Live</t>
        </is>
      </c>
      <c r="C1115" s="17" t="inlineStr">
        <is>
          <t>Pour De Bon</t>
        </is>
      </c>
      <c r="D1115" s="17" t="inlineStr">
        <is>
          <t>Fruits de saison et fruits secs</t>
        </is>
      </c>
      <c r="E1115" s="18" t="inlineStr">
        <is>
          <t>Pommes et poires de vergers français prix bas | Pour De Bon</t>
        </is>
      </c>
      <c r="F1115" s="17" t="inlineStr">
        <is>
          <t>Pommes et poires de Ferme Joos, L’Oliveraie du Coudon et La Boite à Herbes, récoltées au verger et vendues en direct, livrées à domicile dès 20 € de commande.</t>
        </is>
      </c>
      <c r="G1115" s="19" t="inlineStr">
        <is>
          <t>https://www.pourdebon.com/pommes-poires-c77</t>
        </is>
      </c>
      <c r="H1115" s="20" t="n">
        <v>4125</v>
      </c>
      <c r="I1115" s="20" t="n">
        <v>29</v>
      </c>
      <c r="J1115" s="21">
        <f>IF(H1115=0,0,I1115/H1115)</f>
        <v/>
      </c>
    </row>
    <row r="1116">
      <c r="A1116" s="17" t="inlineStr">
        <is>
          <t>Pour de Bon</t>
        </is>
      </c>
      <c r="B1116" s="17" t="inlineStr">
        <is>
          <t>Live</t>
        </is>
      </c>
      <c r="C1116" s="17" t="inlineStr">
        <is>
          <t>Pour De Bon</t>
        </is>
      </c>
      <c r="D1116" s="17" t="inlineStr">
        <is>
          <t>Poissons et fruits de mer en direct</t>
        </is>
      </c>
      <c r="E1116" s="18" t="inlineStr">
        <is>
          <t>Poissons fumés et marinés prix bas | Pour De Bon</t>
        </is>
      </c>
      <c r="F1116" s="17" t="inlineStr">
        <is>
          <t>Poissons fumés et marinés de La Criée d’à Côté, de la Pisciculture des eaux de l’Inval et de Maison Matthieu, vendus en direct et livrés dès 20 € de commande.</t>
        </is>
      </c>
      <c r="G1116" s="19" t="inlineStr">
        <is>
          <t>https://www.pourdebon.com/poissons-fumes-et-marines-c12</t>
        </is>
      </c>
      <c r="H1116" s="20" t="n">
        <v>4018</v>
      </c>
      <c r="I1116" s="20" t="n">
        <v>10</v>
      </c>
      <c r="J1116" s="21">
        <f>IF(H1116=0,0,I1116/H1116)</f>
        <v/>
      </c>
    </row>
    <row r="1117">
      <c r="A1117" s="17" t="inlineStr">
        <is>
          <t>Pour de Bon</t>
        </is>
      </c>
      <c r="B1117" s="17" t="inlineStr">
        <is>
          <t>Live</t>
        </is>
      </c>
      <c r="C1117" s="17" t="inlineStr">
        <is>
          <t>Pour De Bon</t>
        </is>
      </c>
      <c r="D1117" s="17" t="inlineStr">
        <is>
          <t>Épicerie salée : pâtes, riz, huiles et condiments</t>
        </is>
      </c>
      <c r="E1117" s="18" t="inlineStr">
        <is>
          <t>Pâtes, riz et féculents artisanaux prix bas | Pour De Bon</t>
        </is>
      </c>
      <c r="F1117" s="17" t="inlineStr">
        <is>
          <t>Pâtes, riz et féculents d’Esprit Zen, Adal Terra et Du bio dans l’assiette, produits par des artisans français et livrés à domicile dès 20 € de commande.</t>
        </is>
      </c>
      <c r="G1117" s="19" t="inlineStr">
        <is>
          <t>https://www.pourdebon.com/pates-riz-et-autres-feculents-c44</t>
        </is>
      </c>
      <c r="H1117" s="20" t="n">
        <v>3503</v>
      </c>
      <c r="I1117" s="20" t="n">
        <v>16</v>
      </c>
      <c r="J1117" s="21">
        <f>IF(H1117=0,0,I1117/H1117)</f>
        <v/>
      </c>
    </row>
    <row r="1118">
      <c r="A1118" s="17" t="inlineStr">
        <is>
          <t>Pour de Bon</t>
        </is>
      </c>
      <c r="B1118" s="17" t="inlineStr">
        <is>
          <t>Live</t>
        </is>
      </c>
      <c r="C1118" s="17" t="inlineStr">
        <is>
          <t>Pour De Bon</t>
        </is>
      </c>
      <c r="D1118" s="17" t="inlineStr">
        <is>
          <t>Poissons et fruits de mer en direct</t>
        </is>
      </c>
      <c r="E1118" s="18" t="inlineStr">
        <is>
          <t>Rillettes et tartinables de poisson prix bas | Pour De Bon</t>
        </is>
      </c>
      <c r="F1118" s="17" t="inlineStr">
        <is>
          <t>Rillettes et tartinables de poisson de La Criée d’à Côté, de la Pisciculture des eaux de l’Inval et des Huîtres Chaumar, livrés en direct dès 20 € de commande.</t>
        </is>
      </c>
      <c r="G1118" s="19" t="inlineStr">
        <is>
          <t>https://www.pourdebon.com/rillettes-et-tartinables-de-poisson-c81</t>
        </is>
      </c>
      <c r="H1118" s="20" t="n">
        <v>3396</v>
      </c>
      <c r="I1118" s="20" t="n">
        <v>11</v>
      </c>
      <c r="J1118" s="21">
        <f>IF(H1118=0,0,I1118/H1118)</f>
        <v/>
      </c>
    </row>
    <row r="1119">
      <c r="A1119" s="17" t="inlineStr">
        <is>
          <t>Pour de Bon</t>
        </is>
      </c>
      <c r="B1119" s="17" t="inlineStr">
        <is>
          <t>Live</t>
        </is>
      </c>
      <c r="C1119" s="17" t="inlineStr">
        <is>
          <t>Pour De Bon</t>
        </is>
      </c>
      <c r="D1119" s="17" t="inlineStr">
        <is>
          <t>Épicerie sucrée : confitures, chocolats et biscuits</t>
        </is>
      </c>
      <c r="E1119" s="18" t="inlineStr">
        <is>
          <t>Biscuits et gâteaux d’artisans prix bas | Pour De Bon</t>
        </is>
      </c>
      <c r="F1119" s="17" t="inlineStr">
        <is>
          <t>Biscuits et gâteaux individuels d’Adal Terra, des Moulins de Versailles et des Amandes et olives du Mont Bouquet, cuits par l’artisan, livrés dès 20 € de commande.</t>
        </is>
      </c>
      <c r="G1119" s="19" t="inlineStr">
        <is>
          <t>https://www.pourdebon.com/biscuits-et-gateaux-individuels-c90</t>
        </is>
      </c>
      <c r="H1119" s="20" t="n">
        <v>3257</v>
      </c>
      <c r="I1119" s="20" t="n">
        <v>15</v>
      </c>
      <c r="J1119" s="21">
        <f>IF(H1119=0,0,I1119/H1119)</f>
        <v/>
      </c>
    </row>
    <row r="1120">
      <c r="A1120" s="17" t="inlineStr">
        <is>
          <t>Pour de Bon</t>
        </is>
      </c>
      <c r="B1120" s="17" t="inlineStr">
        <is>
          <t>Live</t>
        </is>
      </c>
      <c r="C1120" s="17" t="inlineStr">
        <is>
          <t>Pour De Bon</t>
        </is>
      </c>
      <c r="D1120" s="17" t="inlineStr">
        <is>
          <t>Poissons et fruits de mer en direct</t>
        </is>
      </c>
      <c r="E1120" s="18" t="inlineStr">
        <is>
          <t>Plateaux de fruits de mer pas chers | Pour De Bon</t>
        </is>
      </c>
      <c r="F1120" s="17" t="inlineStr">
        <is>
          <t>Plateaux de fruits de mer composés par La Criée d’à Côté, Luximer et Saveurs Océanes IO, expédiés en direct par le producteur et livrés dès 20 € de commande.</t>
        </is>
      </c>
      <c r="G1120" s="19" t="inlineStr">
        <is>
          <t>https://www.pourdebon.com/plateaux-de-fruits-de-mer-c55</t>
        </is>
      </c>
      <c r="H1120" s="20" t="n">
        <v>3227</v>
      </c>
      <c r="I1120" s="20" t="n">
        <v>11</v>
      </c>
      <c r="J1120" s="21">
        <f>IF(H1120=0,0,I1120/H1120)</f>
        <v/>
      </c>
    </row>
    <row r="1121">
      <c r="A1121" s="17" t="inlineStr">
        <is>
          <t>Pour de Bon</t>
        </is>
      </c>
      <c r="B1121" s="17" t="inlineStr">
        <is>
          <t>Live</t>
        </is>
      </c>
      <c r="C1121" s="17" t="inlineStr">
        <is>
          <t>Pour De Bon</t>
        </is>
      </c>
      <c r="D1121" s="17" t="inlineStr">
        <is>
          <t>Cafés, thés, jus et boissons</t>
        </is>
      </c>
      <c r="E1121" s="18" t="inlineStr">
        <is>
          <t>Boissons de producteurs au meilleur prix | Pour De Bon</t>
        </is>
      </c>
      <c r="F1121" s="17" t="inlineStr">
        <is>
          <t>Vins de Bourgogne, Bordeaux, Languedoc et Champagne, jus et bières de viticulteurs, cavistes et brasseurs réunis sur une même place de marché, livrés à domicile.</t>
        </is>
      </c>
      <c r="G1121" s="19" t="inlineStr">
        <is>
          <t>https://www.pourdebon.com/boissons-c60</t>
        </is>
      </c>
      <c r="H1121" s="20" t="n">
        <v>3121</v>
      </c>
      <c r="I1121" s="20" t="n">
        <v>21</v>
      </c>
      <c r="J1121" s="21">
        <f>IF(H1121=0,0,I1121/H1121)</f>
        <v/>
      </c>
    </row>
    <row r="1122">
      <c r="A1122" s="17" t="inlineStr">
        <is>
          <t>Pour de Bon</t>
        </is>
      </c>
      <c r="B1122" s="17" t="inlineStr">
        <is>
          <t>Live</t>
        </is>
      </c>
      <c r="C1122" s="17" t="inlineStr">
        <is>
          <t>Pour De Bon</t>
        </is>
      </c>
      <c r="D1122" s="17" t="inlineStr">
        <is>
          <t>Fromages, crèmerie et œufs</t>
        </is>
      </c>
      <c r="E1122" s="18" t="inlineStr">
        <is>
          <t>Œufs frais fermiers prix bas | Pour De Bon</t>
        </is>
      </c>
      <c r="F1122" s="17" t="inlineStr">
        <is>
          <t>Œufs frais de la Ferme de Beau Printemps, de La Ferme Enchantée et de La Ferme de l’Abbaye, ramassés et expédiés par le producteur, livrés dès 20 € de commande.</t>
        </is>
      </c>
      <c r="G1122" s="19" t="inlineStr">
        <is>
          <t>https://www.pourdebon.com/oeufs-c66</t>
        </is>
      </c>
      <c r="H1122" s="20" t="n">
        <v>2933</v>
      </c>
      <c r="I1122" s="20" t="n">
        <v>29</v>
      </c>
      <c r="J1122" s="21">
        <f>IF(H1122=0,0,I1122/H1122)</f>
        <v/>
      </c>
    </row>
    <row r="1123">
      <c r="A1123" s="17" t="inlineStr">
        <is>
          <t>Pour de Bon</t>
        </is>
      </c>
      <c r="B1123" s="17" t="inlineStr">
        <is>
          <t>Live</t>
        </is>
      </c>
      <c r="C1123" s="17" t="inlineStr">
        <is>
          <t>Pour De Bon</t>
        </is>
      </c>
      <c r="D1123" s="17" t="inlineStr">
        <is>
          <t>Poissons et fruits de mer en direct</t>
        </is>
      </c>
      <c r="E1123" s="18" t="inlineStr">
        <is>
          <t>Conserves et soupes de poisson pas chères | Pour De Bon</t>
        </is>
      </c>
      <c r="F1123" s="17" t="inlineStr">
        <is>
          <t>Conserves et soupes de poisson de La Criée d’à Côté, Notre poisson et Luximer, préparées par le producteur et livrées à domicile dès 20 € de commande.</t>
        </is>
      </c>
      <c r="G1123" s="19" t="inlineStr">
        <is>
          <t>https://www.pourdebon.com/conserves-et-soupes-de-poisson-c82</t>
        </is>
      </c>
      <c r="H1123" s="20" t="n">
        <v>2867</v>
      </c>
      <c r="I1123" s="20" t="n">
        <v>16</v>
      </c>
      <c r="J1123" s="21">
        <f>IF(H1123=0,0,I1123/H1123)</f>
        <v/>
      </c>
    </row>
    <row r="1124">
      <c r="A1124" s="17" t="inlineStr">
        <is>
          <t>Pour de Bon</t>
        </is>
      </c>
      <c r="B1124" s="17" t="inlineStr">
        <is>
          <t>Live</t>
        </is>
      </c>
      <c r="C1124" s="17" t="inlineStr">
        <is>
          <t>Pour De Bon</t>
        </is>
      </c>
      <c r="D1124" s="17" t="inlineStr">
        <is>
          <t>Légumes frais et de saison</t>
        </is>
      </c>
      <c r="E1124" s="18" t="inlineStr">
        <is>
          <t>Carottes, poireaux, navets et choux pas chers | Pour De Bon</t>
        </is>
      </c>
      <c r="F1124" s="17" t="inlineStr">
        <is>
          <t>Carottes, navets, poireaux et choux de Ferme Joos, L’Oliveraie du Coudon et La Boite à Herbes, vendus en direct par le producteur et livrés dès 20 € de commande.</t>
        </is>
      </c>
      <c r="G1124" s="19" t="inlineStr">
        <is>
          <t>https://www.pourdebon.com/carottes-navets-poireaux-choux-c80</t>
        </is>
      </c>
      <c r="H1124" s="20" t="n">
        <v>2784</v>
      </c>
      <c r="I1124" s="20" t="n">
        <v>20</v>
      </c>
      <c r="J1124" s="21">
        <f>IF(H1124=0,0,I1124/H1124)</f>
        <v/>
      </c>
    </row>
    <row r="1125">
      <c r="A1125" s="17" t="inlineStr">
        <is>
          <t>Pour de Bon</t>
        </is>
      </c>
      <c r="B1125" s="17" t="inlineStr">
        <is>
          <t>Live</t>
        </is>
      </c>
      <c r="C1125" s="17" t="inlineStr">
        <is>
          <t>Pour De Bon</t>
        </is>
      </c>
      <c r="D1125" s="17" t="inlineStr">
        <is>
          <t>Fruits de saison et fruits secs</t>
        </is>
      </c>
      <c r="E1125" s="18" t="inlineStr">
        <is>
          <t>Fraises, framboises et fruits rouges pas chers | Pour De Bon</t>
        </is>
      </c>
      <c r="F1125" s="17" t="inlineStr">
        <is>
          <t>Fruits rouges de L’Oliveraie du Coudon, des Poules et des Vignes à Bourgueil et des Myrtilles du Trimoulet, cueillis puis expédiés en direct, livrés dès 20 € de commande.</t>
        </is>
      </c>
      <c r="G1125" s="19" t="inlineStr">
        <is>
          <t>https://www.pourdebon.com/fruits-rouges-c52</t>
        </is>
      </c>
      <c r="H1125" s="20" t="n">
        <v>2730</v>
      </c>
      <c r="I1125" s="20" t="n">
        <v>14</v>
      </c>
      <c r="J1125" s="21">
        <f>IF(H1125=0,0,I1125/H1125)</f>
        <v/>
      </c>
    </row>
    <row r="1126">
      <c r="A1126" s="17" t="inlineStr">
        <is>
          <t>Pour de Bon</t>
        </is>
      </c>
      <c r="B1126" s="17" t="inlineStr">
        <is>
          <t>Live</t>
        </is>
      </c>
      <c r="C1126" s="17" t="inlineStr">
        <is>
          <t>Pour De Bon</t>
        </is>
      </c>
      <c r="D1126" s="17" t="inlineStr">
        <is>
          <t>Épicerie salée : pâtes, riz, huiles et condiments</t>
        </is>
      </c>
      <c r="E1126" s="18" t="inlineStr">
        <is>
          <t>Épicerie salée de producteurs au meilleur prix | Pour De Bon</t>
        </is>
      </c>
      <c r="F1126" s="17" t="inlineStr">
        <is>
          <t>Épicerie salée d’Esprit Zen, du Moulin à huile Bastide du Laval et d’Adal Terra : huiles, conserves, condiments vendus en direct, livrés dès 20 € de commande.</t>
        </is>
      </c>
      <c r="G1126" s="19" t="inlineStr">
        <is>
          <t>https://www.pourdebon.com/epicerie-salee-c19</t>
        </is>
      </c>
      <c r="H1126" s="20" t="n">
        <v>2623</v>
      </c>
      <c r="I1126" s="20" t="n">
        <v>14</v>
      </c>
      <c r="J1126" s="21">
        <f>IF(H1126=0,0,I1126/H1126)</f>
        <v/>
      </c>
    </row>
    <row r="1127">
      <c r="A1127" s="17" t="inlineStr">
        <is>
          <t>Pour de Bon</t>
        </is>
      </c>
      <c r="B1127" s="17" t="inlineStr">
        <is>
          <t>Live</t>
        </is>
      </c>
      <c r="C1127" s="17" t="inlineStr">
        <is>
          <t>Pour De Bon</t>
        </is>
      </c>
      <c r="D1127" s="17" t="inlineStr">
        <is>
          <t>Légumes frais et de saison</t>
        </is>
      </c>
      <c r="E1127" s="18" t="inlineStr">
        <is>
          <t>Légumes sous vide prêts à cuire prix bas | Pour De Bon</t>
        </is>
      </c>
      <c r="F1127" s="17" t="inlineStr">
        <is>
          <t>Légumes sous vide de Ferme Joos et des Jardins de Gérard, préparés et conditionnés par le producteur, expédiés en direct et livrés à domicile dès 20 € de commande.</t>
        </is>
      </c>
      <c r="G1127" s="19" t="inlineStr">
        <is>
          <t>https://www.pourdebon.com/legumes-sous-vide-c85</t>
        </is>
      </c>
      <c r="H1127" s="20" t="n">
        <v>2561</v>
      </c>
      <c r="I1127" s="20" t="n">
        <v>15</v>
      </c>
      <c r="J1127" s="21">
        <f>IF(H1127=0,0,I1127/H1127)</f>
        <v/>
      </c>
    </row>
    <row r="1128">
      <c r="A1128" s="17" t="inlineStr">
        <is>
          <t>Pour de Bon</t>
        </is>
      </c>
      <c r="B1128" s="17" t="inlineStr">
        <is>
          <t>Live</t>
        </is>
      </c>
      <c r="C1128" s="17" t="inlineStr">
        <is>
          <t>Pour De Bon</t>
        </is>
      </c>
      <c r="D1128" s="17" t="inlineStr">
        <is>
          <t>Fruits de saison et fruits secs</t>
        </is>
      </c>
      <c r="E1128" s="18" t="inlineStr">
        <is>
          <t>Fruits en conserve et au sirop pas chers | Pour De Bon</t>
        </is>
      </c>
      <c r="F1128" s="17" t="inlineStr">
        <is>
          <t>Fruits en conserve de La Ferme des Prun’Elles, L’Oliveraie du Coudon et Conserves Guintrand, préparés par le producteur et livrés à domicile dès 20 € de commande.</t>
        </is>
      </c>
      <c r="G1128" s="19" t="inlineStr">
        <is>
          <t>https://www.pourdebon.com/fruits-en-conserve-c93</t>
        </is>
      </c>
      <c r="H1128" s="20" t="n">
        <v>2550</v>
      </c>
      <c r="I1128" s="20" t="n">
        <v>13</v>
      </c>
      <c r="J1128" s="21">
        <f>IF(H1128=0,0,I1128/H1128)</f>
        <v/>
      </c>
    </row>
    <row r="1129">
      <c r="A1129" s="17" t="inlineStr">
        <is>
          <t>Pour de Bon</t>
        </is>
      </c>
      <c r="B1129" s="17" t="inlineStr">
        <is>
          <t>Live</t>
        </is>
      </c>
      <c r="C1129" s="17" t="inlineStr">
        <is>
          <t>Pour De Bon</t>
        </is>
      </c>
      <c r="D1129" s="17" t="inlineStr">
        <is>
          <t>Épicerie sucrée : confitures, chocolats et biscuits</t>
        </is>
      </c>
      <c r="E1129" s="18" t="inlineStr">
        <is>
          <t>Biscuits apéritifs artisanaux pas chers | Pour De Bon</t>
        </is>
      </c>
      <c r="F1129" s="17" t="inlineStr">
        <is>
          <t>Apéritifs et biscuits salés d’Esprit Zen, du Moulin à huile Bastide du Laval et des Amandes et olives du Mont Bouquet, livrés en direct dès 20 € de commande.</t>
        </is>
      </c>
      <c r="G1129" s="19" t="inlineStr">
        <is>
          <t>https://www.pourdebon.com/aperitifs-et-biscuits-sales-c46</t>
        </is>
      </c>
      <c r="H1129" s="20" t="n">
        <v>2546</v>
      </c>
      <c r="I1129" s="20" t="n">
        <v>21</v>
      </c>
      <c r="J1129" s="21">
        <f>IF(H1129=0,0,I1129/H1129)</f>
        <v/>
      </c>
    </row>
    <row r="1130">
      <c r="A1130" s="17" t="inlineStr">
        <is>
          <t>Pour de Bon</t>
        </is>
      </c>
      <c r="B1130" s="17" t="inlineStr">
        <is>
          <t>Live</t>
        </is>
      </c>
      <c r="C1130" s="17" t="inlineStr">
        <is>
          <t>Pour De Bon</t>
        </is>
      </c>
      <c r="D1130" s="17" t="inlineStr">
        <is>
          <t>Poissons et fruits de mer en direct</t>
        </is>
      </c>
      <c r="E1130" s="18" t="inlineStr">
        <is>
          <t>Huîtres, gambas et fruits de mer prix bas | Pour De Bon</t>
        </is>
      </c>
      <c r="F1130" s="17" t="inlineStr">
        <is>
          <t>Fruits de mer de La Criée d’à Côté, gambas bleues Obsiblue de Nouvelle-Calédonie et godaille de l’Armement Cherbourgeois, livrés en direct dès 20 € de commande.</t>
        </is>
      </c>
      <c r="G1130" s="19" t="inlineStr">
        <is>
          <t>https://www.pourdebon.com/fruits-de-mer-c70</t>
        </is>
      </c>
      <c r="H1130" s="20" t="n">
        <v>2539</v>
      </c>
      <c r="I1130" s="20" t="n">
        <v>16</v>
      </c>
      <c r="J1130" s="21">
        <f>IF(H1130=0,0,I1130/H1130)</f>
        <v/>
      </c>
    </row>
    <row r="1131">
      <c r="A1131" s="17" t="inlineStr">
        <is>
          <t>Pour de Bon</t>
        </is>
      </c>
      <c r="B1131" s="17" t="inlineStr">
        <is>
          <t>Live</t>
        </is>
      </c>
      <c r="C1131" s="17" t="inlineStr">
        <is>
          <t>Pour De Bon</t>
        </is>
      </c>
      <c r="D1131" s="17" t="inlineStr">
        <is>
          <t>Épicerie salée : pâtes, riz, huiles et condiments</t>
        </is>
      </c>
      <c r="E1131" s="18" t="inlineStr">
        <is>
          <t>Sel, poivre et épices de producteurs pas chers | Pour De Bon</t>
        </is>
      </c>
      <c r="F1131" s="17" t="inlineStr">
        <is>
          <t>Sel, poivre et épices d’Esprit Zen, Adal Terra et L’Oliveraie du Coudon, sélectionnés et conditionnés par le producteur, vendus en direct et livrés dès 20 € de commande.</t>
        </is>
      </c>
      <c r="G1131" s="19" t="inlineStr">
        <is>
          <t>https://www.pourdebon.com/sel-poivre-et-epices-c31</t>
        </is>
      </c>
      <c r="H1131" s="20" t="n">
        <v>2494</v>
      </c>
      <c r="I1131" s="20" t="n">
        <v>8</v>
      </c>
      <c r="J1131" s="21">
        <f>IF(H1131=0,0,I1131/H1131)</f>
        <v/>
      </c>
    </row>
    <row r="1132">
      <c r="A1132" s="17" t="inlineStr">
        <is>
          <t>Pour de Bon</t>
        </is>
      </c>
      <c r="B1132" s="17" t="inlineStr">
        <is>
          <t>Live</t>
        </is>
      </c>
      <c r="C1132" s="17" t="inlineStr">
        <is>
          <t>Pour De Bon</t>
        </is>
      </c>
      <c r="D1132" s="17" t="inlineStr">
        <is>
          <t>Poissons et fruits de mer en direct</t>
        </is>
      </c>
      <c r="E1132" s="18" t="inlineStr">
        <is>
          <t>Algues alimentaires de producteurs pas chères | Pour De Bon</t>
        </is>
      </c>
      <c r="F1132" s="17" t="inlineStr">
        <is>
          <t>Algues alimentaires de Luximer, de la conserverie Kerbriant et de la Poissonnerie La Piriacaise, vendues en direct par le producteur et livrées dès 20 € de commande.</t>
        </is>
      </c>
      <c r="G1132" s="19" t="inlineStr">
        <is>
          <t>https://www.pourdebon.com/algues-alimentaires-c98</t>
        </is>
      </c>
      <c r="H1132" s="20" t="n">
        <v>2450</v>
      </c>
      <c r="I1132" s="20" t="n">
        <v>7</v>
      </c>
      <c r="J1132" s="21">
        <f>IF(H1132=0,0,I1132/H1132)</f>
        <v/>
      </c>
    </row>
    <row r="1133">
      <c r="A1133" s="17" t="inlineStr">
        <is>
          <t>Pour de Bon</t>
        </is>
      </c>
      <c r="B1133" s="17" t="inlineStr">
        <is>
          <t>Live</t>
        </is>
      </c>
      <c r="C1133" s="17" t="inlineStr">
        <is>
          <t>Pour De Bon</t>
        </is>
      </c>
      <c r="D1133" s="17" t="inlineStr">
        <is>
          <t>Épicerie sucrée : confitures, chocolats et biscuits</t>
        </is>
      </c>
      <c r="E1133" s="18" t="inlineStr">
        <is>
          <t>Chocolats et confiseries artisanales prix bas | Pour De Bon</t>
        </is>
      </c>
      <c r="F1133" s="17" t="inlineStr">
        <is>
          <t>Confiseries et chocolats des Moulins de Versailles, d’Esprit Zen et des Amandes et olives du Mont Bouquet, fabriqués par l’artisan et livrés dès 20 € de commande.</t>
        </is>
      </c>
      <c r="G1133" s="19" t="inlineStr">
        <is>
          <t>https://www.pourdebon.com/confiseries-et-chocolats-c30</t>
        </is>
      </c>
      <c r="H1133" s="20" t="n">
        <v>2407</v>
      </c>
      <c r="I1133" s="20" t="n">
        <v>27</v>
      </c>
      <c r="J1133" s="21">
        <f>IF(H1133=0,0,I1133/H1133)</f>
        <v/>
      </c>
    </row>
    <row r="1134">
      <c r="A1134" s="17" t="inlineStr">
        <is>
          <t>Pour de Bon</t>
        </is>
      </c>
      <c r="B1134" s="17" t="inlineStr">
        <is>
          <t>Live</t>
        </is>
      </c>
      <c r="C1134" s="17" t="inlineStr">
        <is>
          <t>Pour De Bon</t>
        </is>
      </c>
      <c r="D1134" s="17" t="inlineStr">
        <is>
          <t>Épicerie sucrée : confitures, chocolats et biscuits</t>
        </is>
      </c>
      <c r="E1134" s="18" t="inlineStr">
        <is>
          <t>Farines, sucres et levures de moulin pas chers | Pour De Bon</t>
        </is>
      </c>
      <c r="F1134" s="17" t="inlineStr">
        <is>
          <t>Sucres, farines et levures d’Adal Terra, des Moulins de Versailles et de Du bio dans l’assiette, produits par le meunier ou le producteur, livrés dès 20 € de commande.</t>
        </is>
      </c>
      <c r="G1134" s="19" t="inlineStr">
        <is>
          <t>https://www.pourdebon.com/sucres-farines-et-levures-c47</t>
        </is>
      </c>
      <c r="H1134" s="20" t="n">
        <v>2277</v>
      </c>
      <c r="I1134" s="20" t="n">
        <v>21</v>
      </c>
      <c r="J1134" s="21">
        <f>IF(H1134=0,0,I1134/H1134)</f>
        <v/>
      </c>
    </row>
    <row r="1135">
      <c r="A1135" s="17" t="inlineStr">
        <is>
          <t>Pour de Bon</t>
        </is>
      </c>
      <c r="B1135" s="17" t="inlineStr">
        <is>
          <t>Live</t>
        </is>
      </c>
      <c r="C1135" s="17" t="inlineStr">
        <is>
          <t>Pour De Bon</t>
        </is>
      </c>
      <c r="D1135" s="17" t="inlineStr">
        <is>
          <t>Épicerie sucrée : confitures, chocolats et biscuits</t>
        </is>
      </c>
      <c r="E1135" s="18" t="inlineStr">
        <is>
          <t>Épicerie sucrée artisanale au meilleur prix | Pour De Bon</t>
        </is>
      </c>
      <c r="F1135" s="17" t="inlineStr">
        <is>
          <t>Épicerie sucrée d’Adal Terra, des Moulins de Versailles et de Du bio dans l’assiette : confitures, biscuits, chocolats vendus en direct, livrés dès 20 € de commande.</t>
        </is>
      </c>
      <c r="G1135" s="19" t="inlineStr">
        <is>
          <t>https://www.pourdebon.com/epicerie-sucree-c20</t>
        </is>
      </c>
      <c r="H1135" s="20" t="n">
        <v>2242</v>
      </c>
      <c r="I1135" s="20" t="n">
        <v>18</v>
      </c>
      <c r="J1135" s="21">
        <f>IF(H1135=0,0,I1135/H1135)</f>
        <v/>
      </c>
    </row>
    <row r="1136">
      <c r="A1136" s="17" t="inlineStr">
        <is>
          <t>Pour de Bon</t>
        </is>
      </c>
      <c r="B1136" s="17" t="inlineStr">
        <is>
          <t>Live</t>
        </is>
      </c>
      <c r="C1136" s="17" t="inlineStr">
        <is>
          <t>Pour De Bon</t>
        </is>
      </c>
      <c r="D1136" s="17" t="inlineStr">
        <is>
          <t>Poissons et fruits de mer en direct</t>
        </is>
      </c>
      <c r="E1136" s="18" t="inlineStr">
        <is>
          <t>Poissons frais de pêche au meilleur prix | Pour De Bon</t>
        </is>
      </c>
      <c r="F1136" s="17" t="inlineStr">
        <is>
          <t>Poissons frais de La Criée d’à Côté, de la Pisciculture des eaux de l’Inval et de l’Armement Cherbourgeois, vendus en direct et livrés dès 20 € de commande.</t>
        </is>
      </c>
      <c r="G1136" s="19" t="inlineStr">
        <is>
          <t>https://www.pourdebon.com/poissons-frais-c71</t>
        </is>
      </c>
      <c r="H1136" s="20" t="n">
        <v>2158</v>
      </c>
      <c r="I1136" s="20" t="n">
        <v>13</v>
      </c>
      <c r="J1136" s="21">
        <f>IF(H1136=0,0,I1136/H1136)</f>
        <v/>
      </c>
    </row>
    <row r="1137">
      <c r="A1137" s="17" t="inlineStr">
        <is>
          <t>Pour de Bon</t>
        </is>
      </c>
      <c r="B1137" s="17" t="inlineStr">
        <is>
          <t>Live</t>
        </is>
      </c>
      <c r="C1137" s="17" t="inlineStr">
        <is>
          <t>Pour De Bon</t>
        </is>
      </c>
      <c r="D1137" s="17" t="inlineStr">
        <is>
          <t>Poissons et fruits de mer en direct</t>
        </is>
      </c>
      <c r="E1137" s="18" t="inlineStr">
        <is>
          <t>Poissons et fruits de mer frais prix bas | Pour De Bon</t>
        </is>
      </c>
      <c r="F1137" s="17" t="inlineStr">
        <is>
          <t>Poissonnerie en ligne : poissons et produits de la mer issus de pêche durable, vendus par les poissonniers et pêcheurs, livrés en frais à domicile dès 60 €.</t>
        </is>
      </c>
      <c r="G1137" s="19" t="inlineStr">
        <is>
          <t>https://www.pourdebon.com/poissons-et-fruits-de-mer-c61</t>
        </is>
      </c>
      <c r="H1137" s="20" t="n">
        <v>2124</v>
      </c>
      <c r="I1137" s="20" t="n">
        <v>14</v>
      </c>
      <c r="J1137" s="21">
        <f>IF(H1137=0,0,I1137/H1137)</f>
        <v/>
      </c>
    </row>
    <row r="1138">
      <c r="A1138" s="17" t="inlineStr">
        <is>
          <t>Pour de Bon</t>
        </is>
      </c>
      <c r="B1138" s="17" t="inlineStr">
        <is>
          <t>Live</t>
        </is>
      </c>
      <c r="C1138" s="17" t="inlineStr">
        <is>
          <t>Pour De Bon</t>
        </is>
      </c>
      <c r="D1138" s="17" t="inlineStr">
        <is>
          <t>Épicerie salée : pâtes, riz, huiles et condiments</t>
        </is>
      </c>
      <c r="E1138" s="18" t="inlineStr">
        <is>
          <t>Huiles d’olive et vinaigres au meilleur prix | Pour De Bon</t>
        </is>
      </c>
      <c r="F1138" s="17" t="inlineStr">
        <is>
          <t>Huiles et vinaigres d’Esprit Zen, du Moulin à huile Bastide du Laval et d’Adal Terra, pressés par le producteur et expédiés en direct dès 20 € de commande.</t>
        </is>
      </c>
      <c r="G1138" s="19" t="inlineStr">
        <is>
          <t>https://www.pourdebon.com/huiles-et-vinaigres-c42</t>
        </is>
      </c>
      <c r="H1138" s="20" t="n">
        <v>2112</v>
      </c>
      <c r="I1138" s="20" t="n">
        <v>7</v>
      </c>
      <c r="J1138" s="21">
        <f>IF(H1138=0,0,I1138/H1138)</f>
        <v/>
      </c>
    </row>
    <row r="1139">
      <c r="A1139" s="17" t="inlineStr">
        <is>
          <t>Pour de Bon</t>
        </is>
      </c>
      <c r="B1139" s="17" t="inlineStr">
        <is>
          <t>Live</t>
        </is>
      </c>
      <c r="C1139" s="17" t="inlineStr">
        <is>
          <t>Pour De Bon</t>
        </is>
      </c>
      <c r="D1139" s="17" t="inlineStr">
        <is>
          <t>Fruits de saison et fruits secs</t>
        </is>
      </c>
      <c r="E1139" s="18" t="inlineStr">
        <is>
          <t>Amandes, noix et fruits secs au meilleur prix | Pour De Bon</t>
        </is>
      </c>
      <c r="F1139" s="17" t="inlineStr">
        <is>
          <t>Fruits secs des Moulins de Versailles, d’Esprit Zen et des Amandes et olives du Mont Bouquet, vendus en direct par le producteur, livrés dès 20 € de commande.</t>
        </is>
      </c>
      <c r="G1139" s="19" t="inlineStr">
        <is>
          <t>https://www.pourdebon.com/fruits-secs-c92</t>
        </is>
      </c>
      <c r="H1139" s="20" t="n">
        <v>2108</v>
      </c>
      <c r="I1139" s="20" t="n">
        <v>4</v>
      </c>
      <c r="J1139" s="21">
        <f>IF(H1139=0,0,I1139/H1139)</f>
        <v/>
      </c>
    </row>
    <row r="1140">
      <c r="A1140" s="17" t="inlineStr">
        <is>
          <t>Pour de Bon</t>
        </is>
      </c>
      <c r="B1140" s="17" t="inlineStr">
        <is>
          <t>Live</t>
        </is>
      </c>
      <c r="C1140" s="17" t="inlineStr">
        <is>
          <t>Pour De Bon</t>
        </is>
      </c>
      <c r="D1140" s="17" t="inlineStr">
        <is>
          <t>Pains, pâtisseries et desserts artisanaux</t>
        </is>
      </c>
      <c r="E1140" s="18" t="inlineStr">
        <is>
          <t>Glaces et sorbets artisanaux prix bas | Pour De Bon</t>
        </is>
      </c>
      <c r="F1140" s="17" t="inlineStr">
        <is>
          <t>Glaces des Glaces de la Vallée, du Jardinier Glacier et de Maison Boulanger, turbinées par l’artisan glacier et livrées à domicile dès 20 € de commande.</t>
        </is>
      </c>
      <c r="G1140" s="19" t="inlineStr">
        <is>
          <t>https://www.pourdebon.com/glaces-c41</t>
        </is>
      </c>
      <c r="H1140" s="20" t="n">
        <v>2072</v>
      </c>
      <c r="I1140" s="20" t="n">
        <v>18</v>
      </c>
      <c r="J1140" s="21">
        <f>IF(H1140=0,0,I1140/H1140)</f>
        <v/>
      </c>
    </row>
    <row r="1141">
      <c r="A1141" s="17" t="inlineStr">
        <is>
          <t>Pour de Bon</t>
        </is>
      </c>
      <c r="B1141" s="17" t="inlineStr">
        <is>
          <t>Live</t>
        </is>
      </c>
      <c r="C1141" s="17" t="inlineStr">
        <is>
          <t>Pour De Bon</t>
        </is>
      </c>
      <c r="D1141" s="17" t="inlineStr">
        <is>
          <t>Légumes frais et de saison</t>
        </is>
      </c>
      <c r="E1141" s="18" t="inlineStr">
        <is>
          <t>Pommes de terre fermières pas chères | Pour De Bon</t>
        </is>
      </c>
      <c r="F1141" s="17" t="inlineStr">
        <is>
          <t>Pommes de terre de Ferme Joos, L’Oliveraie du Coudon et La Boite à Herbes, vendues directement par le producteur et livrées chez vous dès 20 € de commande.</t>
        </is>
      </c>
      <c r="G1141" s="19" t="inlineStr">
        <is>
          <t>https://www.pourdebon.com/pommes-de-terre-c78</t>
        </is>
      </c>
      <c r="H1141" s="20" t="n">
        <v>2060</v>
      </c>
      <c r="I1141" s="20" t="n">
        <v>8</v>
      </c>
      <c r="J1141" s="21">
        <f>IF(H1141=0,0,I1141/H1141)</f>
        <v/>
      </c>
    </row>
    <row r="1142">
      <c r="A1142" s="17" t="inlineStr">
        <is>
          <t>Pour de Bon</t>
        </is>
      </c>
      <c r="B1142" s="17" t="inlineStr">
        <is>
          <t>Live</t>
        </is>
      </c>
      <c r="C1142" s="17" t="inlineStr">
        <is>
          <t>Pour De Bon</t>
        </is>
      </c>
      <c r="D1142" s="17" t="inlineStr">
        <is>
          <t>Vins, bières, cidres et spiritueux</t>
        </is>
      </c>
      <c r="E1142" s="18" t="inlineStr">
        <is>
          <t>Bières artisanales de brasseurs prix bas | Pour De Bon</t>
        </is>
      </c>
      <c r="F1142" s="17" t="inlineStr">
        <is>
          <t>Bières de la Brasserie de Chandres L’Eurélienne, de Ferme Joos et de La Ferme des Cara-Meuh, brassées par le producteur et livrées à domicile dès 20 € de commande.</t>
        </is>
      </c>
      <c r="G1142" s="19" t="inlineStr">
        <is>
          <t>https://www.pourdebon.com/bieres-c36</t>
        </is>
      </c>
      <c r="H1142" s="20" t="n">
        <v>1887</v>
      </c>
      <c r="I1142" s="20" t="n">
        <v>12</v>
      </c>
      <c r="J1142" s="21">
        <f>IF(H1142=0,0,I1142/H1142)</f>
        <v/>
      </c>
    </row>
    <row r="1143">
      <c r="A1143" s="17" t="inlineStr">
        <is>
          <t>Pour de Bon</t>
        </is>
      </c>
      <c r="B1143" s="17" t="inlineStr">
        <is>
          <t>Live</t>
        </is>
      </c>
      <c r="C1143" s="17" t="inlineStr">
        <is>
          <t>Pour De Bon</t>
        </is>
      </c>
      <c r="D1143" s="17" t="inlineStr">
        <is>
          <t>Fromages, crèmerie et œufs</t>
        </is>
      </c>
      <c r="E1143" s="18" t="inlineStr">
        <is>
          <t>Lait frais fermier pas cher | Pour De Bon</t>
        </is>
      </c>
      <c r="F1143" s="17" t="inlineStr">
        <is>
          <t>Laits de Beillevaire, de la Laiterie de Pamplie et de la Ferme du Sire de Créquy, conditionnés par la laiterie et expédiés en direct, livrés dès 20 € de commande.</t>
        </is>
      </c>
      <c r="G1143" s="19" t="inlineStr">
        <is>
          <t>https://www.pourdebon.com/laits-c63</t>
        </is>
      </c>
      <c r="H1143" s="20" t="n">
        <v>1861</v>
      </c>
      <c r="I1143" s="20" t="n">
        <v>9</v>
      </c>
      <c r="J1143" s="21">
        <f>IF(H1143=0,0,I1143/H1143)</f>
        <v/>
      </c>
    </row>
    <row r="1144">
      <c r="A1144" s="17" t="inlineStr">
        <is>
          <t>Pour de Bon</t>
        </is>
      </c>
      <c r="B1144" s="17" t="inlineStr">
        <is>
          <t>Live</t>
        </is>
      </c>
      <c r="C1144" s="17" t="inlineStr">
        <is>
          <t>Pour De Bon</t>
        </is>
      </c>
      <c r="D1144" s="17" t="inlineStr">
        <is>
          <t>Viandes fermières et grillades</t>
        </is>
      </c>
      <c r="E1144" s="18" t="inlineStr">
        <is>
          <t>Saucisses, boudins et andouillettes prix bas | Pour De Bon</t>
        </is>
      </c>
      <c r="F1144" s="17" t="inlineStr">
        <is>
          <t>Saucisses, boudins et andouillettes de La Ferme du Mas Laborie, Ferme Porc &amp; Pink et Maison Millas, fabriqués à la ferme et livrés dès 20 € de commande.</t>
        </is>
      </c>
      <c r="G1144" s="19" t="inlineStr">
        <is>
          <t>https://www.pourdebon.com/saucisses-boudins-et-andouillettes-c5</t>
        </is>
      </c>
      <c r="H1144" s="20" t="n">
        <v>1848</v>
      </c>
      <c r="I1144" s="20" t="n">
        <v>6</v>
      </c>
      <c r="J1144" s="21">
        <f>IF(H1144=0,0,I1144/H1144)</f>
        <v/>
      </c>
    </row>
    <row r="1145">
      <c r="A1145" s="17" t="inlineStr">
        <is>
          <t>Pour de Bon</t>
        </is>
      </c>
      <c r="B1145" s="17" t="inlineStr">
        <is>
          <t>Live</t>
        </is>
      </c>
      <c r="C1145" s="17" t="inlineStr">
        <is>
          <t>Pour De Bon</t>
        </is>
      </c>
      <c r="D1145" s="17" t="inlineStr">
        <is>
          <t>Épicerie sucrée : confitures, chocolats et biscuits</t>
        </is>
      </c>
      <c r="E1145" s="18" t="inlineStr">
        <is>
          <t>Confitures, miels et pâtes à tartiner prix bas | Pour De Bon</t>
        </is>
      </c>
      <c r="F1145" s="17" t="inlineStr">
        <is>
          <t>Confitures, miels et pâtes à tartiner des Amandes et olives du Mont Bouquet, de La Ferme des Prun’Elles et de producteurs français, livrés dès 20 € de commande.</t>
        </is>
      </c>
      <c r="G1145" s="19" t="inlineStr">
        <is>
          <t>https://www.pourdebon.com/confitures-miels-et-pates-a-tartiner-c32</t>
        </is>
      </c>
      <c r="H1145" s="20" t="n">
        <v>1776</v>
      </c>
      <c r="I1145" s="20" t="n">
        <v>10</v>
      </c>
      <c r="J1145" s="21">
        <f>IF(H1145=0,0,I1145/H1145)</f>
        <v/>
      </c>
    </row>
    <row r="1146">
      <c r="A1146" s="17" t="inlineStr">
        <is>
          <t>Pour de Bon</t>
        </is>
      </c>
      <c r="B1146" s="17" t="inlineStr">
        <is>
          <t>Live</t>
        </is>
      </c>
      <c r="C1146" s="17" t="inlineStr">
        <is>
          <t>Pour De Bon</t>
        </is>
      </c>
      <c r="D1146" s="17" t="inlineStr">
        <is>
          <t>Fruits de saison et fruits secs</t>
        </is>
      </c>
      <c r="E1146" s="18" t="inlineStr">
        <is>
          <t>Fruits exotiques de producteurs prix bas | Pour De Bon</t>
        </is>
      </c>
      <c r="F1146" s="17" t="inlineStr">
        <is>
          <t>Fruits exotiques de L’Oliveraie du Coudon, La Boite à Herbes et des Jardins de Gérard, vendus en direct par le producteur et livrés chez vous dès 20 € de commande.</t>
        </is>
      </c>
      <c r="G1146" s="19" t="inlineStr">
        <is>
          <t>https://www.pourdebon.com/fruits-exotiques-c51</t>
        </is>
      </c>
      <c r="H1146" s="20" t="n">
        <v>1692</v>
      </c>
      <c r="I1146" s="20" t="n">
        <v>11</v>
      </c>
      <c r="J1146" s="21">
        <f>IF(H1146=0,0,I1146/H1146)</f>
        <v/>
      </c>
    </row>
    <row r="1147">
      <c r="A1147" s="17" t="inlineStr">
        <is>
          <t>Pour de Bon</t>
        </is>
      </c>
      <c r="B1147" s="17" t="inlineStr">
        <is>
          <t>Live</t>
        </is>
      </c>
      <c r="C1147" s="17" t="inlineStr">
        <is>
          <t>Pour De Bon</t>
        </is>
      </c>
      <c r="D1147" s="17" t="inlineStr">
        <is>
          <t>Pains, pâtisseries et desserts artisanaux</t>
        </is>
      </c>
      <c r="E1147" s="18" t="inlineStr">
        <is>
          <t>Compotes et desserts fermiers pas chers | Pour De Bon</t>
        </is>
      </c>
      <c r="F1147" s="17" t="inlineStr">
        <is>
          <t>Crèmes, mousses et compotes d’Adal Terra, Ferme Joos et L’Oliveraie du Coudon, préparées avec les fruits du producteur et livrées dès 20 € de commande.</t>
        </is>
      </c>
      <c r="G1147" s="19" t="inlineStr">
        <is>
          <t>https://www.pourdebon.com/cremes-mousses-et-compotes-c91</t>
        </is>
      </c>
      <c r="H1147" s="20" t="n">
        <v>1660</v>
      </c>
      <c r="I1147" s="20" t="n">
        <v>5</v>
      </c>
      <c r="J1147" s="21">
        <f>IF(H1147=0,0,I1147/H1147)</f>
        <v/>
      </c>
    </row>
    <row r="1148">
      <c r="A1148" s="17" t="inlineStr">
        <is>
          <t>Pour de Bon</t>
        </is>
      </c>
      <c r="B1148" s="17" t="inlineStr">
        <is>
          <t>Live</t>
        </is>
      </c>
      <c r="C1148" s="17" t="inlineStr">
        <is>
          <t>Pour De Bon</t>
        </is>
      </c>
      <c r="D1148" s="17" t="inlineStr">
        <is>
          <t>Viandes fermières</t>
        </is>
      </c>
      <c r="E1148" s="18" t="inlineStr">
        <is>
          <t>Rôti de veau bio dans l'épaule** (race limousine) - 500g</t>
        </is>
      </c>
      <c r="F1148" s="17" t="inlineStr">
        <is>
          <t>Rôti de veau bio dans l'épaule** (race limousine) - 500g.Roti dans l'épaule de veau 500g, un beau morceau tendre et moelleux à daguster après une cuisson cocotte 1h dans four dans</t>
        </is>
      </c>
      <c r="G1148" s="19" t="inlineStr">
        <is>
          <t>https://www.pourdebon.com/roti-de-veau-bio-dans-l-epaule-race-limousine-500g-p2454</t>
        </is>
      </c>
      <c r="H1148" s="20" t="n">
        <v>1646</v>
      </c>
      <c r="I1148" s="20" t="n">
        <v>3</v>
      </c>
      <c r="J1148" s="21">
        <f>IF(H1148=0,0,I1148/H1148)</f>
        <v/>
      </c>
    </row>
    <row r="1149">
      <c r="A1149" s="17" t="inlineStr">
        <is>
          <t>Pour de Bon</t>
        </is>
      </c>
      <c r="B1149" s="17" t="inlineStr">
        <is>
          <t>Live</t>
        </is>
      </c>
      <c r="C1149" s="17" t="inlineStr">
        <is>
          <t>Pour De Bon</t>
        </is>
      </c>
      <c r="D1149" s="17" t="inlineStr">
        <is>
          <t>Produits laitiers et desserts</t>
        </is>
      </c>
      <c r="E1149" s="18" t="inlineStr">
        <is>
          <t>Yaourts bi couche Fraise - 4 Pots</t>
        </is>
      </c>
      <c r="F1149" s="17" t="inlineStr">
        <is>
          <t>Achat Yaourts bi couche Fraise - 4 Pots en direct de Bastidarra - Ekia avec Pourdebon. Nos yaourts sont fabriqués à partir de lait de vache, brebis ou ch</t>
        </is>
      </c>
      <c r="G1149" s="19" t="inlineStr">
        <is>
          <t>https://www.pourdebon.com/yaourts-bi-couche-fraise-4-pots-p8685?utm_source=partenaire&amp;utm_medium=Lemrock&amp;utm_content=Lemrock&amp;utm_campaign=Lemrock</t>
        </is>
      </c>
      <c r="H1149" s="20" t="n">
        <v>1622</v>
      </c>
      <c r="I1149" s="20" t="n">
        <v>10</v>
      </c>
      <c r="J1149" s="21">
        <f>IF(H1149=0,0,I1149/H1149)</f>
        <v/>
      </c>
    </row>
    <row r="1150">
      <c r="A1150" s="17" t="inlineStr">
        <is>
          <t>Pour de Bon</t>
        </is>
      </c>
      <c r="B1150" s="17" t="inlineStr">
        <is>
          <t>Live</t>
        </is>
      </c>
      <c r="C1150" s="17" t="inlineStr">
        <is>
          <t>Pour De Bon</t>
        </is>
      </c>
      <c r="D1150" s="17" t="inlineStr">
        <is>
          <t>Légumes frais et de saison</t>
        </is>
      </c>
      <c r="E1150" s="18" t="inlineStr">
        <is>
          <t>Fruits et légumes de saison au meilleur prix | Pour De Bon</t>
        </is>
      </c>
      <c r="F1150" s="17" t="inlineStr">
        <is>
          <t>Fruits et légumes frais et bio, de saison, en provenance directe de producteurs locaux et régionaux, en circuit court et livrés à domicile.</t>
        </is>
      </c>
      <c r="G1150" s="19" t="inlineStr">
        <is>
          <t>https://www.pourdebon.com/fruits-et-legumes-c58</t>
        </is>
      </c>
      <c r="H1150" s="20" t="n">
        <v>1495</v>
      </c>
      <c r="I1150" s="20" t="n">
        <v>16</v>
      </c>
      <c r="J1150" s="21">
        <f>IF(H1150=0,0,I1150/H1150)</f>
        <v/>
      </c>
    </row>
    <row r="1151">
      <c r="A1151" s="17" t="inlineStr">
        <is>
          <t>Pour de Bon</t>
        </is>
      </c>
      <c r="B1151" s="17" t="inlineStr">
        <is>
          <t>Live</t>
        </is>
      </c>
      <c r="C1151" s="17" t="inlineStr">
        <is>
          <t>Pour De Bon</t>
        </is>
      </c>
      <c r="D1151" s="17" t="inlineStr">
        <is>
          <t>Légumes frais et de saison</t>
        </is>
      </c>
      <c r="E1151" s="18" t="inlineStr">
        <is>
          <t>Lentilles et légumes secs pas chers | Pour De Bon</t>
        </is>
      </c>
      <c r="F1151" s="17" t="inlineStr">
        <is>
          <t>Légumes secs d’Esprit Zen, Adal Terra et Du bio dans l’assiette, cultivés et conditionnés par le producteur, vendus en direct et livrés à domicile dès 20 € de commande.</t>
        </is>
      </c>
      <c r="G1151" s="19" t="inlineStr">
        <is>
          <t>https://www.pourdebon.com/legumes-secs-c88</t>
        </is>
      </c>
      <c r="H1151" s="20" t="n">
        <v>1470</v>
      </c>
      <c r="I1151" s="20" t="n">
        <v>10</v>
      </c>
      <c r="J1151" s="21">
        <f>IF(H1151=0,0,I1151/H1151)</f>
        <v/>
      </c>
    </row>
    <row r="1152">
      <c r="A1152" s="17" t="inlineStr">
        <is>
          <t>Pour de Bon</t>
        </is>
      </c>
      <c r="B1152" s="17" t="inlineStr">
        <is>
          <t>Live</t>
        </is>
      </c>
      <c r="C1152" s="17" t="inlineStr">
        <is>
          <t>Pour De Bon</t>
        </is>
      </c>
      <c r="D1152" s="17" t="inlineStr">
        <is>
          <t>Produits laitiers et desserts</t>
        </is>
      </c>
      <c r="E1152" s="18" t="inlineStr">
        <is>
          <t>35 Macarons Camembert</t>
        </is>
      </c>
      <c r="F1152" s="17" t="inlineStr">
        <is>
          <t>Achat 35 Macarons Camembert en direct de Les Macarondises avec Pourdebon. Les 35 macarons camembert sont garnis d'une préparation salé &amp;</t>
        </is>
      </c>
      <c r="G1152" s="19" t="inlineStr">
        <is>
          <t>https://www.pourdebon.com/35-macarons-camembert-p15276?utm_source=partenaire&amp;utm_medium=Lemrock&amp;utm_content=Lemrock&amp;utm_campaign=Lemrock</t>
        </is>
      </c>
      <c r="H1152" s="20" t="n">
        <v>1437</v>
      </c>
      <c r="I1152" s="20" t="n">
        <v>9</v>
      </c>
      <c r="J1152" s="21">
        <f>IF(H1152=0,0,I1152/H1152)</f>
        <v/>
      </c>
    </row>
    <row r="1153">
      <c r="A1153" s="17" t="inlineStr">
        <is>
          <t>Pour de Bon</t>
        </is>
      </c>
      <c r="B1153" s="17" t="inlineStr">
        <is>
          <t>Live</t>
        </is>
      </c>
      <c r="C1153" s="17" t="inlineStr">
        <is>
          <t>Pour De Bon</t>
        </is>
      </c>
      <c r="D1153" s="17" t="inlineStr">
        <is>
          <t>Viandes fermières et grillades</t>
        </is>
      </c>
      <c r="E1153" s="18" t="inlineStr">
        <is>
          <t>Porc fermier en vente directe pas cher | Pour De Bon</t>
        </is>
      </c>
      <c r="F1153" s="17" t="inlineStr">
        <is>
          <t>Porc de Ferme Porc &amp; Pink, Maison Lascours et La Ferme du Mas Laborie, élevé et découpé à la ferme, vendu en direct par l’éleveur et livré dès 20 € de commande.</t>
        </is>
      </c>
      <c r="G1153" s="19" t="inlineStr">
        <is>
          <t>https://www.pourdebon.com/porc-c25</t>
        </is>
      </c>
      <c r="H1153" s="20" t="n">
        <v>1409</v>
      </c>
      <c r="I1153" s="20" t="n">
        <v>11</v>
      </c>
      <c r="J1153" s="21">
        <f>IF(H1153=0,0,I1153/H1153)</f>
        <v/>
      </c>
    </row>
    <row r="1154">
      <c r="A1154" s="17" t="inlineStr">
        <is>
          <t>Pour de Bon</t>
        </is>
      </c>
      <c r="B1154" s="17" t="inlineStr">
        <is>
          <t>Live</t>
        </is>
      </c>
      <c r="C1154" s="17" t="inlineStr">
        <is>
          <t>Pour De Bon</t>
        </is>
      </c>
      <c r="D1154" s="17" t="inlineStr">
        <is>
          <t>Poissons et fruits de mer en direct</t>
        </is>
      </c>
      <c r="E1154" s="18" t="inlineStr">
        <is>
          <t>Caviar et œufs de poisson au meilleur prix | Pour De Bon</t>
        </is>
      </c>
      <c r="F1154" s="17" t="inlineStr">
        <is>
          <t>Caviar et œufs de poisson de La Criée d’à Côté, de la Pisciculture des eaux de l’Inval et de Maison Matthieu, vendus en direct et livrés dès 20 € de commande.</t>
        </is>
      </c>
      <c r="G1154" s="19" t="inlineStr">
        <is>
          <t>https://www.pourdebon.com/caviar-et-oeufs-de-poisson-c56</t>
        </is>
      </c>
      <c r="H1154" s="20" t="n">
        <v>1373</v>
      </c>
      <c r="I1154" s="20" t="n">
        <v>5</v>
      </c>
      <c r="J1154" s="21">
        <f>IF(H1154=0,0,I1154/H1154)</f>
        <v/>
      </c>
    </row>
    <row r="1155">
      <c r="A1155" s="17" t="inlineStr">
        <is>
          <t>Pour de Bon</t>
        </is>
      </c>
      <c r="B1155" s="17" t="inlineStr">
        <is>
          <t>Live</t>
        </is>
      </c>
      <c r="C1155" s="17" t="inlineStr">
        <is>
          <t>Pour De Bon</t>
        </is>
      </c>
      <c r="D1155" s="17" t="inlineStr">
        <is>
          <t>Fromages, crèmerie et œufs</t>
        </is>
      </c>
      <c r="E1155" s="18" t="inlineStr">
        <is>
          <t>Fromages fermiers et affinés au meilleur prix | Pour De Bon</t>
        </is>
      </c>
      <c r="F1155" s="17" t="inlineStr">
        <is>
          <t>Fromages de la Fromagerie de la Chapelle Saint Jean, de La Fermière et d’Alléosse, maître artisan affineur, vendus en direct et livrés dès 20 € de commande.</t>
        </is>
      </c>
      <c r="G1155" s="19" t="inlineStr">
        <is>
          <t>https://www.pourdebon.com/fromages-c3</t>
        </is>
      </c>
      <c r="H1155" s="20" t="n">
        <v>1366</v>
      </c>
      <c r="I1155" s="20" t="n">
        <v>11</v>
      </c>
      <c r="J1155" s="21">
        <f>IF(H1155=0,0,I1155/H1155)</f>
        <v/>
      </c>
    </row>
    <row r="1156">
      <c r="A1156" s="17" t="inlineStr">
        <is>
          <t>Pour de Bon</t>
        </is>
      </c>
      <c r="B1156" s="17" t="inlineStr">
        <is>
          <t>Live</t>
        </is>
      </c>
      <c r="C1156" s="17" t="inlineStr">
        <is>
          <t>Pour De Bon</t>
        </is>
      </c>
      <c r="D1156" s="17" t="inlineStr">
        <is>
          <t>Vins, bières, cidres et spiritueux</t>
        </is>
      </c>
      <c r="E1156" s="18" t="inlineStr">
        <is>
          <t>Vins de fruits et apéritifs fruités prix bas | Pour De Bon</t>
        </is>
      </c>
      <c r="F1156" s="17" t="inlineStr">
        <is>
          <t>Vins de fruits du Domaine Ricardelle de Lautrec et de Maison Prulho, Compagnie Française des Spiritueux, élaborés par le producteur et livrés dès 20 € de commande.</t>
        </is>
      </c>
      <c r="G1156" s="19" t="inlineStr">
        <is>
          <t>https://www.pourdebon.com/vins-de-fruits-c96</t>
        </is>
      </c>
      <c r="H1156" s="20" t="n">
        <v>1365</v>
      </c>
      <c r="I1156" s="20" t="n">
        <v>7</v>
      </c>
      <c r="J1156" s="21">
        <f>IF(H1156=0,0,I1156/H1156)</f>
        <v/>
      </c>
    </row>
    <row r="1157">
      <c r="A1157" s="17" t="inlineStr">
        <is>
          <t>Pour de Bon</t>
        </is>
      </c>
      <c r="B1157" s="17" t="inlineStr">
        <is>
          <t>Live</t>
        </is>
      </c>
      <c r="C1157" s="17" t="inlineStr">
        <is>
          <t>Pour De Bon</t>
        </is>
      </c>
      <c r="D1157" s="17" t="inlineStr">
        <is>
          <t>Viandes fermières et grillades</t>
        </is>
      </c>
      <c r="E1157" s="18" t="inlineStr">
        <is>
          <t>Bœuf fermier en vente directe au meilleur prix | Pour De Bon</t>
        </is>
      </c>
      <c r="F1157" s="17" t="inlineStr">
        <is>
          <t>Bœuf de Maison Lascours, de La Ferme de Vers et de la Boucherie Ghérardi : pièces à griller ou à mijoter, vendues en direct par l’éleveur, livrées dès 20 € de commande.</t>
        </is>
      </c>
      <c r="G1157" s="19" t="inlineStr">
        <is>
          <t>https://www.pourdebon.com/boeuf-c23</t>
        </is>
      </c>
      <c r="H1157" s="20" t="n">
        <v>1361</v>
      </c>
      <c r="I1157" s="20" t="n">
        <v>9</v>
      </c>
      <c r="J1157" s="21">
        <f>IF(H1157=0,0,I1157/H1157)</f>
        <v/>
      </c>
    </row>
    <row r="1158">
      <c r="A1158" s="17" t="inlineStr">
        <is>
          <t>Pour de Bon</t>
        </is>
      </c>
      <c r="B1158" s="17" t="inlineStr">
        <is>
          <t>Live</t>
        </is>
      </c>
      <c r="C1158" s="17" t="inlineStr">
        <is>
          <t>Pour De Bon</t>
        </is>
      </c>
      <c r="D1158" s="17" t="inlineStr">
        <is>
          <t>Produits laitiers et desserts</t>
        </is>
      </c>
      <c r="E1158" s="18" t="inlineStr">
        <is>
          <t>Yaourts au Lait Cru de Vache parfums panachés: Natures x3</t>
        </is>
      </c>
      <c r="F1158" s="17" t="inlineStr">
        <is>
          <t>Achat Yaourts au Lait Cru de Vache parfums panachés: Natures x3, Vanille x3, Abricot x3, Fraise x3 en direct de Ferme Chambon avec Pourdebon. Nos yaourts sont réalisés à partir de</t>
        </is>
      </c>
      <c r="G1158" s="19" t="inlineStr">
        <is>
          <t>https://www.pourdebon.com/yaourts-au-lait-cru-de-vache-parfums-panaches-natures-x3-vanille-x3-abricot-x3-fraise-x3-p13837?utm_source=partenaire&amp;utm_medium=Lemrock&amp;utm_content=Lemrock&amp;utm_campaign=Lemrock</t>
        </is>
      </c>
      <c r="H1158" s="20" t="n">
        <v>1343</v>
      </c>
      <c r="I1158" s="20" t="n">
        <v>6</v>
      </c>
      <c r="J1158" s="21">
        <f>IF(H1158=0,0,I1158/H1158)</f>
        <v/>
      </c>
    </row>
    <row r="1159">
      <c r="A1159" s="17" t="inlineStr">
        <is>
          <t>Pour de Bon</t>
        </is>
      </c>
      <c r="B1159" s="17" t="inlineStr">
        <is>
          <t>Live</t>
        </is>
      </c>
      <c r="C1159" s="17" t="inlineStr">
        <is>
          <t>Pour De Bon</t>
        </is>
      </c>
      <c r="D1159" s="17" t="inlineStr">
        <is>
          <t>Fromages, crèmerie et œufs</t>
        </is>
      </c>
      <c r="E1159" s="18" t="inlineStr">
        <is>
          <t>Plateaux de fromages composés prix bas | Pour De Bon</t>
        </is>
      </c>
      <c r="F1159" s="17" t="inlineStr">
        <is>
          <t>Plateaux de fromages de la Fromagerie de la Chapelle Saint Jean, de La Fermière et de Beillevaire, composés par le fromager et livrés en frais dès 20 € de commande.</t>
        </is>
      </c>
      <c r="G1159" s="19" t="inlineStr">
        <is>
          <t>https://www.pourdebon.com/plateaux-de-fromages-c16</t>
        </is>
      </c>
      <c r="H1159" s="20" t="n">
        <v>1335</v>
      </c>
      <c r="I1159" s="20" t="n">
        <v>12</v>
      </c>
      <c r="J1159" s="21">
        <f>IF(H1159=0,0,I1159/H1159)</f>
        <v/>
      </c>
    </row>
    <row r="1160">
      <c r="A1160" s="17" t="inlineStr">
        <is>
          <t>Pour de Bon</t>
        </is>
      </c>
      <c r="B1160" s="17" t="inlineStr">
        <is>
          <t>Live</t>
        </is>
      </c>
      <c r="C1160" s="17" t="inlineStr">
        <is>
          <t>Pour De Bon</t>
        </is>
      </c>
      <c r="D1160" s="17" t="inlineStr">
        <is>
          <t>Légumes frais et de saison</t>
        </is>
      </c>
      <c r="E1160" s="18" t="inlineStr">
        <is>
          <t>Paniers de légumes fermiers au meilleur prix | Pour De Bon</t>
        </is>
      </c>
      <c r="F1160" s="17" t="inlineStr">
        <is>
          <t>Paniers de légumes composés par Ferme Joos, L’Oliveraie du Coudon et La Boite à Herbes selon la récolte, en vente directe et livrés à domicile dès 20 € de commande.</t>
        </is>
      </c>
      <c r="G1160" s="19" t="inlineStr">
        <is>
          <t>https://www.pourdebon.com/paniers-de-legumes-c29</t>
        </is>
      </c>
      <c r="H1160" s="20" t="n">
        <v>1308</v>
      </c>
      <c r="I1160" s="20" t="n">
        <v>9</v>
      </c>
      <c r="J1160" s="21">
        <f>IF(H1160=0,0,I1160/H1160)</f>
        <v/>
      </c>
    </row>
    <row r="1161">
      <c r="A1161" s="17" t="inlineStr">
        <is>
          <t>Pour de Bon</t>
        </is>
      </c>
      <c r="B1161" s="17" t="inlineStr">
        <is>
          <t>Live</t>
        </is>
      </c>
      <c r="C1161" s="17" t="inlineStr">
        <is>
          <t>Pour De Bon</t>
        </is>
      </c>
      <c r="D1161" s="17" t="inlineStr">
        <is>
          <t>Vins, bières, cidres et spiritueux</t>
        </is>
      </c>
      <c r="E1161" s="18" t="inlineStr">
        <is>
          <t>Apéritifs et spiritueux artisanaux prix bas | Pour De Bon</t>
        </is>
      </c>
      <c r="F1161" s="17" t="inlineStr">
        <is>
          <t>Apéritifs et spiritueux du Domaine Les Conques Soulière et de La Ferme des Prun’Elles, distillés par le producteur et livrés à domicile dès 20 € de commande.</t>
        </is>
      </c>
      <c r="G1161" s="19" t="inlineStr">
        <is>
          <t>https://www.pourdebon.com/aperitifs-et-spiritueux-c37</t>
        </is>
      </c>
      <c r="H1161" s="20" t="n">
        <v>1302</v>
      </c>
      <c r="I1161" s="20" t="n">
        <v>7</v>
      </c>
      <c r="J1161" s="21">
        <f>IF(H1161=0,0,I1161/H1161)</f>
        <v/>
      </c>
    </row>
    <row r="1162">
      <c r="A1162" s="17" t="inlineStr">
        <is>
          <t>Pour de Bon</t>
        </is>
      </c>
      <c r="B1162" s="17" t="inlineStr">
        <is>
          <t>Live</t>
        </is>
      </c>
      <c r="C1162" s="17" t="inlineStr">
        <is>
          <t>Pour De Bon</t>
        </is>
      </c>
      <c r="D1162" s="17" t="inlineStr">
        <is>
          <t>Fruits de saison et fruits secs</t>
        </is>
      </c>
      <c r="E1162" s="18" t="inlineStr">
        <is>
          <t>Fruits de saison en vente directe prix bas | Pour De Bon</t>
        </is>
      </c>
      <c r="F1162" s="17" t="inlineStr">
        <is>
          <t>Fruits de saison de L’Oliveraie du Coudon, La Boite à Herbes et des Vergers des Brunots, récoltés au verger et expédiés en direct, livrés dès 20 € de commande.</t>
        </is>
      </c>
      <c r="G1162" s="19" t="inlineStr">
        <is>
          <t>https://www.pourdebon.com/autres-fruits-c83</t>
        </is>
      </c>
      <c r="H1162" s="20" t="n">
        <v>1286</v>
      </c>
      <c r="I1162" s="20" t="n">
        <v>6</v>
      </c>
      <c r="J1162" s="21">
        <f>IF(H1162=0,0,I1162/H1162)</f>
        <v/>
      </c>
    </row>
    <row r="1163">
      <c r="A1163" s="17" t="inlineStr">
        <is>
          <t>Pour de Bon</t>
        </is>
      </c>
      <c r="B1163" s="17" t="inlineStr">
        <is>
          <t>Live</t>
        </is>
      </c>
      <c r="C1163" s="17" t="inlineStr">
        <is>
          <t>Pour De Bon</t>
        </is>
      </c>
      <c r="D1163" s="17" t="inlineStr">
        <is>
          <t>Fromages, crèmerie et œufs</t>
        </is>
      </c>
      <c r="E1163" s="18" t="inlineStr">
        <is>
          <t>Fromages frais et yaourts fermiers pas chers | Pour De Bon</t>
        </is>
      </c>
      <c r="F1163" s="17" t="inlineStr">
        <is>
          <t>Fromages frais et yaourts d’Alléosse, de Beillevaire et de la Laiterie du Climont, fabriqués par le producteur et livrés en frais dès 20 € de commande.</t>
        </is>
      </c>
      <c r="G1163" s="19" t="inlineStr">
        <is>
          <t>https://www.pourdebon.com/fromages-frais-et-yaourts-c67</t>
        </is>
      </c>
      <c r="H1163" s="20" t="n">
        <v>1285</v>
      </c>
      <c r="I1163" s="20" t="n">
        <v>5</v>
      </c>
      <c r="J1163" s="21">
        <f>IF(H1163=0,0,I1163/H1163)</f>
        <v/>
      </c>
    </row>
    <row r="1164">
      <c r="A1164" s="17" t="inlineStr">
        <is>
          <t>Pour de Bon</t>
        </is>
      </c>
      <c r="B1164" s="17" t="inlineStr">
        <is>
          <t>Live</t>
        </is>
      </c>
      <c r="C1164" s="17" t="inlineStr">
        <is>
          <t>Pour De Bon</t>
        </is>
      </c>
      <c r="D1164" s="17" t="inlineStr">
        <is>
          <t>Légumes frais et de saison</t>
        </is>
      </c>
      <c r="E1164" s="18" t="inlineStr">
        <is>
          <t>Salades et jeunes pousses prix bas | Pour De Bon</t>
        </is>
      </c>
      <c r="F1164" s="17" t="inlineStr">
        <is>
          <t>Salades et micropousses de Ferme Joos, L’Oliveraie du Coudon et Ma Micropousse culinaire, récoltées puis expédiées en direct, livrées dès 20 € de commande.</t>
        </is>
      </c>
      <c r="G1164" s="19" t="inlineStr">
        <is>
          <t>https://www.pourdebon.com/salades-c100</t>
        </is>
      </c>
      <c r="H1164" s="20" t="n">
        <v>1274</v>
      </c>
      <c r="I1164" s="20" t="n">
        <v>8</v>
      </c>
      <c r="J1164" s="21">
        <f>IF(H1164=0,0,I1164/H1164)</f>
        <v/>
      </c>
    </row>
    <row r="1165">
      <c r="A1165" s="17" t="inlineStr">
        <is>
          <t>Pour de Bon</t>
        </is>
      </c>
      <c r="B1165" s="17" t="inlineStr">
        <is>
          <t>Live</t>
        </is>
      </c>
      <c r="C1165" s="17" t="inlineStr">
        <is>
          <t>Pour De Bon</t>
        </is>
      </c>
      <c r="D1165" s="17" t="inlineStr">
        <is>
          <t>Pains, pâtisseries et desserts artisanaux</t>
        </is>
      </c>
      <c r="E1165" s="18" t="inlineStr">
        <is>
          <t>Gâteaux et tartes artisanaux prix bas | Pour De Bon</t>
        </is>
      </c>
      <c r="F1165" s="17" t="inlineStr">
        <is>
          <t>Gâteaux et tartes de la Ferme Sereine en Périgord, des Amandes et olives du Mont Bouquet et d’Invitation au Délice, cuits par l’artisan et livrés dès 20 € de commande.</t>
        </is>
      </c>
      <c r="G1165" s="19" t="inlineStr">
        <is>
          <t>https://www.pourdebon.com/gateaux-et-tartes-c89</t>
        </is>
      </c>
      <c r="H1165" s="20" t="n">
        <v>1265</v>
      </c>
      <c r="I1165" s="20" t="n">
        <v>13</v>
      </c>
      <c r="J1165" s="21">
        <f>IF(H1165=0,0,I1165/H1165)</f>
        <v/>
      </c>
    </row>
    <row r="1166">
      <c r="A1166" s="17" t="inlineStr">
        <is>
          <t>Pour de Bon</t>
        </is>
      </c>
      <c r="B1166" s="17" t="inlineStr">
        <is>
          <t>Live</t>
        </is>
      </c>
      <c r="C1166" s="17" t="inlineStr">
        <is>
          <t>Pour De Bon</t>
        </is>
      </c>
      <c r="D1166" s="17" t="inlineStr">
        <is>
          <t>Produits laitiers et desserts</t>
        </is>
      </c>
      <c r="E1166" s="18" t="inlineStr">
        <is>
          <t>Petit Pot De Crème Chocolat</t>
        </is>
      </c>
      <c r="F1166" s="17" t="inlineStr">
        <is>
          <t>Achat Petit Pot De Crème Chocolat en direct de La Fromagerie Marie-Anne Cantin avec Pourdebon. PETIT POT DE CRÈME CHOCOLAT sélection Marie-Anne CANTiN dot l'</t>
        </is>
      </c>
      <c r="G1166" s="19" t="inlineStr">
        <is>
          <t>https://www.pourdebon.com/petit-pot-de-creme-chocolat-p16232?utm_source=partenaire&amp;utm_medium=Lemrock&amp;utm_content=Lemrock&amp;utm_campaign=Lemrock</t>
        </is>
      </c>
      <c r="H1166" s="20" t="n">
        <v>1212</v>
      </c>
      <c r="I1166" s="20" t="n">
        <v>7</v>
      </c>
      <c r="J1166" s="21">
        <f>IF(H1166=0,0,I1166/H1166)</f>
        <v/>
      </c>
    </row>
    <row r="1167">
      <c r="A1167" s="17" t="inlineStr">
        <is>
          <t>Pour de Bon</t>
        </is>
      </c>
      <c r="B1167" s="17" t="inlineStr">
        <is>
          <t>Live</t>
        </is>
      </c>
      <c r="C1167" s="17" t="inlineStr">
        <is>
          <t>Pour De Bon</t>
        </is>
      </c>
      <c r="D1167" s="17" t="inlineStr">
        <is>
          <t>Fruits de saison et fruits secs</t>
        </is>
      </c>
      <c r="E1167" s="18" t="inlineStr">
        <is>
          <t>Agrumes et citrons de producteurs pas chers | Pour De Bon</t>
        </is>
      </c>
      <c r="F1167" s="17" t="inlineStr">
        <is>
          <t>Agrumes de L’Oliveraie du Coudon, La Boite à Herbes et des Jardins de Gérard, récoltés par le producteur, vendus en direct et livrés à domicile dès 20 € de commande.</t>
        </is>
      </c>
      <c r="G1167" s="19" t="inlineStr">
        <is>
          <t>https://www.pourdebon.com/agrumes-c50</t>
        </is>
      </c>
      <c r="H1167" s="20" t="n">
        <v>1190</v>
      </c>
      <c r="I1167" s="20" t="n">
        <v>4</v>
      </c>
      <c r="J1167" s="21">
        <f>IF(H1167=0,0,I1167/H1167)</f>
        <v/>
      </c>
    </row>
    <row r="1168">
      <c r="A1168" s="17" t="inlineStr">
        <is>
          <t>Pour de Bon</t>
        </is>
      </c>
      <c r="B1168" s="17" t="inlineStr">
        <is>
          <t>Live</t>
        </is>
      </c>
      <c r="C1168" s="17" t="inlineStr">
        <is>
          <t>Pour De Bon</t>
        </is>
      </c>
      <c r="D1168" s="17" t="inlineStr">
        <is>
          <t>Produits laitiers et desserts</t>
        </is>
      </c>
      <c r="E1168" s="18" t="inlineStr">
        <is>
          <t>Yaourt Aux Fruits Fraise</t>
        </is>
      </c>
      <c r="F1168" s="17" t="inlineStr">
        <is>
          <t>Achat Yaourt Aux Fruits Fraise en direct de La Fromagerie Marie-Anne Cantin avec Pourdebon. YAOURT AUX FRUITS FRAISE sélection Marie-Anne CANTIN Goûter à</t>
        </is>
      </c>
      <c r="G1168" s="19" t="inlineStr">
        <is>
          <t>https://www.pourdebon.com/yaourt-aux-fruits-fraise-p5544?utm_source=partenaire&amp;utm_medium=Lemrock&amp;utm_content=Lemrock&amp;utm_campaign=Lemrock</t>
        </is>
      </c>
      <c r="H1168" s="20" t="n">
        <v>1188</v>
      </c>
      <c r="I1168" s="20" t="n">
        <v>8</v>
      </c>
      <c r="J1168" s="21">
        <f>IF(H1168=0,0,I1168/H1168)</f>
        <v/>
      </c>
    </row>
    <row r="1169">
      <c r="A1169" s="17" t="inlineStr">
        <is>
          <t>Pour de Bon</t>
        </is>
      </c>
      <c r="B1169" s="17" t="inlineStr">
        <is>
          <t>Live</t>
        </is>
      </c>
      <c r="C1169" s="17" t="inlineStr">
        <is>
          <t>Pour De Bon</t>
        </is>
      </c>
      <c r="D1169" s="17" t="inlineStr">
        <is>
          <t>Viandes fermières et grillades</t>
        </is>
      </c>
      <c r="E1169" s="18" t="inlineStr">
        <is>
          <t>Brochettes et viandes marinées pas chères | Pour De Bon</t>
        </is>
      </c>
      <c r="F1169" s="17" t="inlineStr">
        <is>
          <t>Brochettes et marinades de Maison Lascours, de la Boucherie Lefeuvre et du Lavandier Charcutier Pontivy, préparées par l’artisan et livrées dès 20 € de commande.</t>
        </is>
      </c>
      <c r="G1169" s="19" t="inlineStr">
        <is>
          <t>https://www.pourdebon.com/brochettes-et-marinades-c101</t>
        </is>
      </c>
      <c r="H1169" s="20" t="n">
        <v>1175</v>
      </c>
      <c r="I1169" s="20" t="n">
        <v>12</v>
      </c>
      <c r="J1169" s="21">
        <f>IF(H1169=0,0,I1169/H1169)</f>
        <v/>
      </c>
    </row>
    <row r="1170">
      <c r="A1170" s="17" t="inlineStr">
        <is>
          <t>Pour de Bon</t>
        </is>
      </c>
      <c r="B1170" s="17" t="inlineStr">
        <is>
          <t>Live</t>
        </is>
      </c>
      <c r="C1170" s="17" t="inlineStr">
        <is>
          <t>Pour De Bon</t>
        </is>
      </c>
      <c r="D1170" s="17" t="inlineStr">
        <is>
          <t>Cartes cadeaux et livres gourmands</t>
        </is>
      </c>
      <c r="E1170" s="18" t="inlineStr">
        <is>
          <t>Livres de cuisine et de terroir prix bas | Pour De Bon</t>
        </is>
      </c>
      <c r="F1170" s="17" t="inlineStr">
        <is>
          <t>Livres de la Laiterie de Pamplie, de Maison Martin-Pouret et de Pour De Bon : recettes et histoires de producteurs, livrés à domicile dès 20 € de commande.</t>
        </is>
      </c>
      <c r="G1170" s="19" t="inlineStr">
        <is>
          <t>https://www.pourdebon.com/livres-c114</t>
        </is>
      </c>
      <c r="H1170" s="20" t="n">
        <v>1158</v>
      </c>
      <c r="I1170" s="20" t="n">
        <v>2</v>
      </c>
      <c r="J1170" s="21">
        <f>IF(H1170=0,0,I1170/H1170)</f>
        <v/>
      </c>
    </row>
    <row r="1171">
      <c r="A1171" s="17" t="inlineStr">
        <is>
          <t>Pour de Bon</t>
        </is>
      </c>
      <c r="B1171" s="17" t="inlineStr">
        <is>
          <t>Live</t>
        </is>
      </c>
      <c r="C1171" s="17" t="inlineStr">
        <is>
          <t>Pour De Bon</t>
        </is>
      </c>
      <c r="D1171" s="17" t="inlineStr">
        <is>
          <t>Produits laitiers et desserts</t>
        </is>
      </c>
      <c r="E1171" s="18" t="inlineStr">
        <is>
          <t>Yaourt Fraise Brassé 4*125 gr</t>
        </is>
      </c>
      <c r="F1171" s="17" t="inlineStr">
        <is>
          <t>Achat Yaourt Fraise Brassé 4*125 gr en direct de Bastidarra - Ekia avec Pourdebon. Nos yaourts sont fabriqués à partir de lait de vache, brebis ou ch</t>
        </is>
      </c>
      <c r="G1171" s="19" t="inlineStr">
        <is>
          <t>https://www.pourdebon.com/yaourt-fraise-brasse-4-125-gr-p8678?utm_source=partenaire&amp;utm_medium=Lemrock&amp;utm_content=Lemrock&amp;utm_campaign=Lemrock</t>
        </is>
      </c>
      <c r="H1171" s="20" t="n">
        <v>1157</v>
      </c>
      <c r="I1171" s="20" t="n">
        <v>5</v>
      </c>
      <c r="J1171" s="21">
        <f>IF(H1171=0,0,I1171/H1171)</f>
        <v/>
      </c>
    </row>
    <row r="1172">
      <c r="A1172" s="17" t="inlineStr">
        <is>
          <t>Pour de Bon</t>
        </is>
      </c>
      <c r="B1172" s="17" t="inlineStr">
        <is>
          <t>Live</t>
        </is>
      </c>
      <c r="C1172" s="17" t="inlineStr">
        <is>
          <t>Pour De Bon</t>
        </is>
      </c>
      <c r="D1172" s="17" t="inlineStr">
        <is>
          <t>Légumes frais et de saison</t>
        </is>
      </c>
      <c r="E1172" s="18" t="inlineStr">
        <is>
          <t>Asperges fraîches de saison au meilleur prix | Pour De Bon</t>
        </is>
      </c>
      <c r="F1172" s="17" t="inlineStr">
        <is>
          <t>Asperges fraîches cueillies par des producteurs français et vendues en direct, sans intermédiaire, avec livraison à domicile dès 20 € de commande.</t>
        </is>
      </c>
      <c r="G1172" s="19" t="inlineStr">
        <is>
          <t>https://www.pourdebon.com/asperges-c75</t>
        </is>
      </c>
      <c r="H1172" s="20" t="n">
        <v>1150</v>
      </c>
      <c r="I1172" s="20" t="n">
        <v>3</v>
      </c>
      <c r="J1172" s="21">
        <f>IF(H1172=0,0,I1172/H1172)</f>
        <v/>
      </c>
    </row>
    <row r="1173">
      <c r="A1173" s="17" t="inlineStr">
        <is>
          <t>Pour de Bon</t>
        </is>
      </c>
      <c r="B1173" s="17" t="inlineStr">
        <is>
          <t>Live</t>
        </is>
      </c>
      <c r="C1173" s="17" t="inlineStr">
        <is>
          <t>Pour De Bon</t>
        </is>
      </c>
      <c r="D1173" s="17" t="inlineStr">
        <is>
          <t>Fromages, crèmerie et œufs</t>
        </is>
      </c>
      <c r="E1173" s="18" t="inlineStr">
        <is>
          <t>Crème fraîche fermière prix bas | Pour De Bon</t>
        </is>
      </c>
      <c r="F1173" s="17" t="inlineStr">
        <is>
          <t>Crèmes d’Alléosse, de Beillevaire et de Fromage Gourmet, fabriquées par la laiterie ou l’affineur et expédiées en frais, livrées à domicile dès 20 € de commande.</t>
        </is>
      </c>
      <c r="G1173" s="19" t="inlineStr">
        <is>
          <t>https://www.pourdebon.com/cremes-c65</t>
        </is>
      </c>
      <c r="H1173" s="20" t="n">
        <v>1145</v>
      </c>
      <c r="I1173" s="20" t="n">
        <v>5</v>
      </c>
      <c r="J1173" s="21">
        <f>IF(H1173=0,0,I1173/H1173)</f>
        <v/>
      </c>
    </row>
    <row r="1174">
      <c r="A1174" s="17" t="inlineStr">
        <is>
          <t>Pour de Bon</t>
        </is>
      </c>
      <c r="B1174" s="17" t="inlineStr">
        <is>
          <t>Live</t>
        </is>
      </c>
      <c r="C1174" s="17" t="inlineStr">
        <is>
          <t>Pour De Bon</t>
        </is>
      </c>
      <c r="D1174" s="17" t="inlineStr">
        <is>
          <t>Légumes frais et de saison</t>
        </is>
      </c>
      <c r="E1174" s="18" t="inlineStr">
        <is>
          <t>Légumes en conserve au meilleur prix | Pour De Bon</t>
        </is>
      </c>
      <c r="F1174" s="17" t="inlineStr">
        <is>
          <t>Légumes en conserve préparés par Conserves Guintrand, Ferme Joos ou L’Oliveraie du Coudon, vendus en direct par le producteur et livrés dès 20 € de commande.</t>
        </is>
      </c>
      <c r="G1174" s="19" t="inlineStr">
        <is>
          <t>https://www.pourdebon.com/legumes-en-conserves-c87</t>
        </is>
      </c>
      <c r="H1174" s="20" t="n">
        <v>1134</v>
      </c>
      <c r="I1174" s="20" t="n">
        <v>6</v>
      </c>
      <c r="J1174" s="21">
        <f>IF(H1174=0,0,I1174/H1174)</f>
        <v/>
      </c>
    </row>
    <row r="1175">
      <c r="A1175" s="17" t="inlineStr">
        <is>
          <t>Pour de Bon</t>
        </is>
      </c>
      <c r="B1175" s="17" t="inlineStr">
        <is>
          <t>Live</t>
        </is>
      </c>
      <c r="C1175" s="17" t="inlineStr">
        <is>
          <t>Pour De Bon</t>
        </is>
      </c>
      <c r="D1175" s="17" t="inlineStr">
        <is>
          <t>Légumes frais et de saison</t>
        </is>
      </c>
      <c r="E1175" s="18" t="inlineStr">
        <is>
          <t>Légumes de saison en vente directe pas chers | Pour De Bon</t>
        </is>
      </c>
      <c r="F1175" s="17" t="inlineStr">
        <is>
          <t>Autres légumes de La Ferme des Prun’Elles, Ferme Joos et L’Oliveraie du Coudon : la sélection du moment, vendue en direct par le maraîcher et livrée dès 20 € de commande.</t>
        </is>
      </c>
      <c r="G1175" s="19" t="inlineStr">
        <is>
          <t>https://www.pourdebon.com/autres-legumes-c84</t>
        </is>
      </c>
      <c r="H1175" s="20" t="n">
        <v>1113</v>
      </c>
      <c r="I1175" s="20" t="n">
        <v>12</v>
      </c>
      <c r="J1175" s="21">
        <f>IF(H1175=0,0,I1175/H1175)</f>
        <v/>
      </c>
    </row>
    <row r="1176">
      <c r="A1176" s="17" t="inlineStr">
        <is>
          <t>Pour de Bon</t>
        </is>
      </c>
      <c r="B1176" s="17" t="inlineStr">
        <is>
          <t>Live</t>
        </is>
      </c>
      <c r="C1176" s="17" t="inlineStr">
        <is>
          <t>Pour De Bon</t>
        </is>
      </c>
      <c r="D1176" s="17" t="inlineStr">
        <is>
          <t>Viandes fermières et grillades</t>
        </is>
      </c>
      <c r="E1176" s="18" t="inlineStr">
        <is>
          <t>Gibier sauvage et venaison au meilleur prix | Pour De Bon</t>
        </is>
      </c>
      <c r="F1176" s="17" t="inlineStr">
        <is>
          <t>Gibier de Nemrod, de la Ferme Guillaumont et d’Aymonier Viandes, préparé et vendu en direct par le producteur, expédié en frais et livré dès 20 € de commande.</t>
        </is>
      </c>
      <c r="G1176" s="19" t="inlineStr">
        <is>
          <t>https://www.pourdebon.com/gibier-c24</t>
        </is>
      </c>
      <c r="H1176" s="20" t="n">
        <v>1096</v>
      </c>
      <c r="I1176" s="20" t="n">
        <v>5</v>
      </c>
      <c r="J1176" s="21">
        <f>IF(H1176=0,0,I1176/H1176)</f>
        <v/>
      </c>
    </row>
    <row r="1177">
      <c r="A1177" s="17" t="inlineStr">
        <is>
          <t>Pour de Bon</t>
        </is>
      </c>
      <c r="B1177" s="17" t="inlineStr">
        <is>
          <t>Live</t>
        </is>
      </c>
      <c r="C1177" s="17" t="inlineStr">
        <is>
          <t>Pour De Bon</t>
        </is>
      </c>
      <c r="D1177" s="17" t="inlineStr">
        <is>
          <t>Traiteur et plats cuisinés</t>
        </is>
      </c>
      <c r="E1177" s="18" t="inlineStr">
        <is>
          <t>Soupes et veloutés artisanaux au meilleur prix | Pour De Bon</t>
        </is>
      </c>
      <c r="F1177" s="17" t="inlineStr">
        <is>
          <t>Soupes et veloutés de L’Oliveraie du Coudon, Karine &amp; Jeff et L’Armoire à Conserves, cuisinés avec les légumes du producteur et livrés dès 20 € de commande.</t>
        </is>
      </c>
      <c r="G1177" s="19" t="inlineStr">
        <is>
          <t>https://www.pourdebon.com/soupes-et-veloutes-c99</t>
        </is>
      </c>
      <c r="H1177" s="20" t="n">
        <v>1095</v>
      </c>
      <c r="I1177" s="20" t="n">
        <v>1</v>
      </c>
      <c r="J1177" s="21">
        <f>IF(H1177=0,0,I1177/H1177)</f>
        <v/>
      </c>
    </row>
    <row r="1178">
      <c r="A1178" s="17" t="inlineStr">
        <is>
          <t>Pour de Bon</t>
        </is>
      </c>
      <c r="B1178" s="17" t="inlineStr">
        <is>
          <t>Live</t>
        </is>
      </c>
      <c r="C1178" s="17" t="inlineStr">
        <is>
          <t>Pour De Bon</t>
        </is>
      </c>
      <c r="D1178" s="17" t="inlineStr">
        <is>
          <t>Viandes fermières</t>
        </is>
      </c>
      <c r="E1178" s="18" t="inlineStr">
        <is>
          <t>Rôti de veau dans la noix de veau Bio ***(race limousine)</t>
        </is>
      </c>
      <c r="F1178" s="17" t="inlineStr">
        <is>
          <t>Rôti de veau dans la noix de veau Bio ***(race limousine) - 1 kg.Roti dans la noix de veau 1kg, un beau morceau tendre et moelleux à daguster après une cuisson cocotte 1h dans</t>
        </is>
      </c>
      <c r="G1178" s="19" t="inlineStr">
        <is>
          <t>https://www.pourdebon.com/roti-de-veau-dans-la-noix-de-veau-bio-race-limousine-1-kg-p2455</t>
        </is>
      </c>
      <c r="H1178" s="20" t="n">
        <v>1090</v>
      </c>
      <c r="I1178" s="20" t="n">
        <v>11</v>
      </c>
      <c r="J1178" s="21">
        <f>IF(H1178=0,0,I1178/H1178)</f>
        <v/>
      </c>
    </row>
    <row r="1179">
      <c r="A1179" s="17" t="inlineStr">
        <is>
          <t>Pour de Bon</t>
        </is>
      </c>
      <c r="B1179" s="17" t="inlineStr">
        <is>
          <t>Live</t>
        </is>
      </c>
      <c r="C1179" s="17" t="inlineStr">
        <is>
          <t>Pour De Bon</t>
        </is>
      </c>
      <c r="D1179" s="17" t="inlineStr">
        <is>
          <t>Cartes cadeaux et livres gourmands</t>
        </is>
      </c>
      <c r="E1179" s="18" t="inlineStr">
        <is>
          <t>Carte cadeau producteurs - Pour De Bon</t>
        </is>
      </c>
      <c r="F1179" s="17" t="inlineStr">
        <is>
          <t>Carte cadeau Pour De Bon à offrir : le destinataire choisit ses produits parmi les producteurs de la place de marché et se fait livrer à domicile.</t>
        </is>
      </c>
      <c r="G1179" s="19" t="inlineStr">
        <is>
          <t>https://www.pourdebon.com/cartes-cadeaux-c118</t>
        </is>
      </c>
      <c r="H1179" s="20" t="n">
        <v>1079</v>
      </c>
      <c r="I1179" s="20" t="n">
        <v>4</v>
      </c>
      <c r="J1179" s="21">
        <f>IF(H1179=0,0,I1179/H1179)</f>
        <v/>
      </c>
    </row>
    <row r="1180">
      <c r="A1180" s="17" t="inlineStr">
        <is>
          <t>Pour de Bon</t>
        </is>
      </c>
      <c r="B1180" s="17" t="inlineStr">
        <is>
          <t>Live</t>
        </is>
      </c>
      <c r="C1180" s="17" t="inlineStr">
        <is>
          <t>Pour De Bon</t>
        </is>
      </c>
      <c r="D1180" s="17" t="inlineStr">
        <is>
          <t>Arts de la table et ustensiles</t>
        </is>
      </c>
      <c r="E1180" s="18" t="inlineStr">
        <is>
          <t>Moules et plats de cuisine d’artisans prix bas | Pour De Bon</t>
        </is>
      </c>
      <c r="F1180" s="17" t="inlineStr">
        <is>
          <t>Moules et plats de La Malle w. Trousseau, de l’Atelier Eva Dejeanty et de L’embeillage, façonnés par des artisans et livrés à domicile dès 20 € de commande.</t>
        </is>
      </c>
      <c r="G1180" s="19" t="inlineStr">
        <is>
          <t>https://www.pourdebon.com/moules-plats-c113</t>
        </is>
      </c>
      <c r="H1180" s="20" t="n">
        <v>1073</v>
      </c>
      <c r="I1180" s="20" t="n">
        <v>8</v>
      </c>
      <c r="J1180" s="21">
        <f>IF(H1180=0,0,I1180/H1180)</f>
        <v/>
      </c>
    </row>
    <row r="1181">
      <c r="A1181" s="17" t="inlineStr">
        <is>
          <t>Pour de Bon</t>
        </is>
      </c>
      <c r="B1181" s="17" t="inlineStr">
        <is>
          <t>Live</t>
        </is>
      </c>
      <c r="C1181" s="17" t="inlineStr">
        <is>
          <t>Pour De Bon</t>
        </is>
      </c>
      <c r="D1181" s="17" t="inlineStr">
        <is>
          <t>Pains, pâtisseries et desserts artisanaux</t>
        </is>
      </c>
      <c r="E1181" s="18" t="inlineStr">
        <is>
          <t>Brioches et viennoiseries fermières prix bas | Pour De Bon</t>
        </is>
      </c>
      <c r="F1181" s="17" t="inlineStr">
        <is>
          <t>Brioches et viennoiseries de la Ferme Sereine en Périgord, de La Ferme des Collines et de la Ferme Sinsac, pétries à la ferme et livrées dès 20 € de commande.</t>
        </is>
      </c>
      <c r="G1181" s="19" t="inlineStr">
        <is>
          <t>https://www.pourdebon.com/brioches-et-viennoiseries-c72</t>
        </is>
      </c>
      <c r="H1181" s="20" t="n">
        <v>1054</v>
      </c>
      <c r="I1181" s="20" t="n">
        <v>7</v>
      </c>
      <c r="J1181" s="21">
        <f>IF(H1181=0,0,I1181/H1181)</f>
        <v/>
      </c>
    </row>
    <row r="1182">
      <c r="A1182" s="17" t="inlineStr">
        <is>
          <t>Pour de Bon</t>
        </is>
      </c>
      <c r="B1182" s="17" t="inlineStr">
        <is>
          <t>Live</t>
        </is>
      </c>
      <c r="C1182" s="17" t="inlineStr">
        <is>
          <t>Pour De Bon</t>
        </is>
      </c>
      <c r="D1182" s="17" t="inlineStr">
        <is>
          <t>Vins, bières, cidres et spiritueux</t>
        </is>
      </c>
      <c r="E1182" s="18" t="inlineStr">
        <is>
          <t>Cidres fermiers et poirés pas chers | Pour De Bon</t>
        </is>
      </c>
      <c r="F1182" s="17" t="inlineStr">
        <is>
          <t>Cidres de Ferme Joos, de la Distillerie du Gorvello et de la Cidrerie La Vallée du Mel, pressés et embouteillés par le producteur, livrés dès 20 € de commande.</t>
        </is>
      </c>
      <c r="G1182" s="19" t="inlineStr">
        <is>
          <t>https://www.pourdebon.com/cidres-c35</t>
        </is>
      </c>
      <c r="H1182" s="20" t="n">
        <v>1049</v>
      </c>
      <c r="I1182" s="20" t="n">
        <v>2</v>
      </c>
      <c r="J1182" s="21">
        <f>IF(H1182=0,0,I1182/H1182)</f>
        <v/>
      </c>
    </row>
    <row r="1183">
      <c r="A1183" s="17" t="inlineStr">
        <is>
          <t>Pour de Bon</t>
        </is>
      </c>
      <c r="B1183" s="17" t="inlineStr">
        <is>
          <t>Live</t>
        </is>
      </c>
      <c r="C1183" s="17" t="inlineStr">
        <is>
          <t>Pour De Bon</t>
        </is>
      </c>
      <c r="D1183" s="17" t="inlineStr">
        <is>
          <t>Traiteur et plats cuisinés</t>
        </is>
      </c>
      <c r="E1183" s="18" t="inlineStr">
        <is>
          <t>Quiches, tourtes et pizzas d’artisans prix bas | Pour De Bon</t>
        </is>
      </c>
      <c r="F1183" s="17" t="inlineStr">
        <is>
          <t>Quiches, tourtes, tartes et pizzas de la Ferme Sereine en Périgord, de Ferme Joos et de Maison Boulanger, préparées par l’artisan et livrées dès 20 € de commande.</t>
        </is>
      </c>
      <c r="G1183" s="19" t="inlineStr">
        <is>
          <t>https://www.pourdebon.com/quiches-tourtes-tartes-et-pizzas-c76</t>
        </is>
      </c>
      <c r="H1183" s="20" t="n">
        <v>1046</v>
      </c>
      <c r="I1183" s="20" t="n">
        <v>5</v>
      </c>
      <c r="J1183" s="21">
        <f>IF(H1183=0,0,I1183/H1183)</f>
        <v/>
      </c>
    </row>
    <row r="1184">
      <c r="A1184" s="17" t="inlineStr">
        <is>
          <t>Pour de Bon</t>
        </is>
      </c>
      <c r="B1184" s="17" t="inlineStr">
        <is>
          <t>Live</t>
        </is>
      </c>
      <c r="C1184" s="17" t="inlineStr">
        <is>
          <t>Pour De Bon</t>
        </is>
      </c>
      <c r="D1184" s="17" t="inlineStr">
        <is>
          <t>Traiteur et plats cuisinés</t>
        </is>
      </c>
      <c r="E1184" s="18" t="inlineStr">
        <is>
          <t>Plats préparés de producteurs pas chers | Pour De Bon</t>
        </is>
      </c>
      <c r="F1184" s="17" t="inlineStr">
        <is>
          <t>Plats préparés de Ferme Joos, de la Boucherie Charcuterie Traiteur Ghérardi et de Maison Lascours, cuisinés par l’artisan et livrés à domicile dès 20 € de commande.</t>
        </is>
      </c>
      <c r="G1184" s="19" t="inlineStr">
        <is>
          <t>https://www.pourdebon.com/plats-prepares-c40</t>
        </is>
      </c>
      <c r="H1184" s="20" t="n">
        <v>1028</v>
      </c>
      <c r="I1184" s="20" t="n">
        <v>13</v>
      </c>
      <c r="J1184" s="21">
        <f>IF(H1184=0,0,I1184/H1184)</f>
        <v/>
      </c>
    </row>
    <row r="1185">
      <c r="A1185" s="17" t="inlineStr">
        <is>
          <t>Pour de Bon</t>
        </is>
      </c>
      <c r="B1185" s="17" t="inlineStr">
        <is>
          <t>Live</t>
        </is>
      </c>
      <c r="C1185" s="17" t="inlineStr">
        <is>
          <t>Pour De Bon</t>
        </is>
      </c>
      <c r="D1185" s="17" t="inlineStr">
        <is>
          <t>Vins, bières, cidres et spiritueux</t>
        </is>
      </c>
      <c r="E1185" s="18" t="inlineStr">
        <is>
          <t>Vins pétillants et crémants prix bas | Pour De Bon</t>
        </is>
      </c>
      <c r="F1185" s="17" t="inlineStr">
        <is>
          <t>Vins pétillants du Château Haut-Lamouthe, du Domaine François Weck et fils et du Domaine de Bilé, élaborés par le vigneron et livrés dès 20 € de commande.</t>
        </is>
      </c>
      <c r="G1185" s="19" t="inlineStr">
        <is>
          <t>https://www.pourdebon.com/vins-petillants-c34</t>
        </is>
      </c>
      <c r="H1185" s="20" t="n">
        <v>1021</v>
      </c>
      <c r="I1185" s="20" t="n">
        <v>7</v>
      </c>
      <c r="J1185" s="21">
        <f>IF(H1185=0,0,I1185/H1185)</f>
        <v/>
      </c>
    </row>
    <row r="1186">
      <c r="A1186" s="17" t="inlineStr">
        <is>
          <t>Pour de Bon</t>
        </is>
      </c>
      <c r="B1186" s="17" t="inlineStr">
        <is>
          <t>Live</t>
        </is>
      </c>
      <c r="C1186" s="17" t="inlineStr">
        <is>
          <t>Pour De Bon</t>
        </is>
      </c>
      <c r="D1186" s="17" t="inlineStr">
        <is>
          <t>Traiteur et plats cuisinés</t>
        </is>
      </c>
      <c r="E1186" s="18" t="inlineStr">
        <is>
          <t>Mignardises salées et apéritifs prix bas | Pour De Bon</t>
        </is>
      </c>
      <c r="F1186" s="17" t="inlineStr">
        <is>
          <t>Apéritifs et mignardises salées de Maison Boulanger, de Beillevaire et de La Ferme Enchantée, préparés par l’artisan et livrés à domicile dès 20 € de commande.</t>
        </is>
      </c>
      <c r="G1186" s="19" t="inlineStr">
        <is>
          <t>https://www.pourdebon.com/aperitifs-et-mignardises-salees-c11</t>
        </is>
      </c>
      <c r="H1186" s="20" t="n">
        <v>1007</v>
      </c>
      <c r="I1186" s="20" t="n">
        <v>2</v>
      </c>
      <c r="J1186" s="21">
        <f>IF(H1186=0,0,I1186/H1186)</f>
        <v/>
      </c>
    </row>
    <row r="1187">
      <c r="A1187" s="17" t="inlineStr">
        <is>
          <t>Pour de Bon</t>
        </is>
      </c>
      <c r="B1187" s="17" t="inlineStr">
        <is>
          <t>Live</t>
        </is>
      </c>
      <c r="C1187" s="17" t="inlineStr">
        <is>
          <t>Pour De Bon</t>
        </is>
      </c>
      <c r="D1187" s="17" t="inlineStr">
        <is>
          <t>Vins, bières, cidres et spiritueux</t>
        </is>
      </c>
      <c r="E1187" s="18" t="inlineStr">
        <is>
          <t>Vins de vignerons en vente directe pas chers | Pour De Bon</t>
        </is>
      </c>
      <c r="F1187" s="17" t="inlineStr">
        <is>
          <t>Vins du Domaine Les Conques Soulière, du Château Haut-Lamouthe et du Domaine du Buisson, vendus directement par le vigneron et livrés dès 20 € de commande.</t>
        </is>
      </c>
      <c r="G1187" s="19" t="inlineStr">
        <is>
          <t>https://www.pourdebon.com/vins-c33</t>
        </is>
      </c>
      <c r="H1187" s="20" t="n">
        <v>1002</v>
      </c>
      <c r="I1187" s="20" t="n">
        <v>7</v>
      </c>
      <c r="J1187" s="21">
        <f>IF(H1187=0,0,I1187/H1187)</f>
        <v/>
      </c>
    </row>
    <row r="1188">
      <c r="A1188" s="17" t="inlineStr">
        <is>
          <t>Pour de Bon</t>
        </is>
      </c>
      <c r="B1188" s="17" t="inlineStr">
        <is>
          <t>Live</t>
        </is>
      </c>
      <c r="C1188" s="17" t="inlineStr">
        <is>
          <t>Pour De Bon</t>
        </is>
      </c>
      <c r="D1188" s="17" t="inlineStr">
        <is>
          <t>Produits laitiers et desserts</t>
        </is>
      </c>
      <c r="E1188" s="18" t="inlineStr">
        <is>
          <t>35 Macarons Passion Chocolat</t>
        </is>
      </c>
      <c r="F1188" s="17" t="inlineStr">
        <is>
          <t>Achat 35 Macarons Passion Chocolat en direct de Les Macarondises avec Pourdebon. Les 35 macarons passion chocolat sont garnis d'une ganache chocolat noir au</t>
        </is>
      </c>
      <c r="G1188" s="19" t="inlineStr">
        <is>
          <t>https://www.pourdebon.com/35-macarons-passion-chocolat-p15281?utm_source=partenaire&amp;utm_medium=Lemrock&amp;utm_content=Lemrock&amp;utm_campaign=Lemrock</t>
        </is>
      </c>
      <c r="H1188" s="20" t="n">
        <v>1002</v>
      </c>
      <c r="I1188" s="20" t="n">
        <v>5</v>
      </c>
      <c r="J1188" s="21">
        <f>IF(H1188=0,0,I1188/H1188)</f>
        <v/>
      </c>
    </row>
    <row r="1189">
      <c r="A1189" s="17" t="inlineStr">
        <is>
          <t>Pour de Bon</t>
        </is>
      </c>
      <c r="B1189" s="17" t="inlineStr">
        <is>
          <t>Live</t>
        </is>
      </c>
      <c r="C1189" s="17" t="inlineStr">
        <is>
          <t>Pour De Bon</t>
        </is>
      </c>
      <c r="D1189" s="17" t="inlineStr">
        <is>
          <t>Légumes frais et de saison</t>
        </is>
      </c>
      <c r="E1189" s="18" t="inlineStr">
        <is>
          <t>Champignons de producteurs au meilleur prix | Pour De Bon</t>
        </is>
      </c>
      <c r="F1189" s="17" t="inlineStr">
        <is>
          <t>Champignons de L’Oliveraie du Coudon, des Jardins de Gérard et de l’Élevage de Cochons en Forêt, vendus en direct par le producteur, livrés dès 20 € de commande.</t>
        </is>
      </c>
      <c r="G1189" s="19" t="inlineStr">
        <is>
          <t>https://www.pourdebon.com/champignons-c53</t>
        </is>
      </c>
      <c r="H1189" s="20" t="n">
        <v>997</v>
      </c>
      <c r="I1189" s="20" t="n">
        <v>3</v>
      </c>
      <c r="J1189" s="21">
        <f>IF(H1189=0,0,I1189/H1189)</f>
        <v/>
      </c>
    </row>
    <row r="1190">
      <c r="A1190" s="17" t="inlineStr">
        <is>
          <t>Pour de Bon</t>
        </is>
      </c>
      <c r="B1190" s="17" t="inlineStr">
        <is>
          <t>Live</t>
        </is>
      </c>
      <c r="C1190" s="17" t="inlineStr">
        <is>
          <t>Pour De Bon</t>
        </is>
      </c>
      <c r="D1190" s="17" t="inlineStr">
        <is>
          <t>Fromages, crèmerie et œufs</t>
        </is>
      </c>
      <c r="E1190" s="18" t="inlineStr">
        <is>
          <t>Beurres de baratte et margarines prix bas | Pour De Bon</t>
        </is>
      </c>
      <c r="F1190" s="17" t="inlineStr">
        <is>
          <t>Beurres et margarines d’Alléosse, de Beillevaire et de la Laiterie de Pamplie, fabriqués par la laiterie et expédiés en direct, livrés dès 20 € de commande.</t>
        </is>
      </c>
      <c r="G1190" s="19" t="inlineStr">
        <is>
          <t>https://www.pourdebon.com/beurres-et-margarines-c64</t>
        </is>
      </c>
      <c r="H1190" s="20" t="n">
        <v>983</v>
      </c>
      <c r="I1190" s="20" t="n">
        <v>6</v>
      </c>
      <c r="J1190" s="21">
        <f>IF(H1190=0,0,I1190/H1190)</f>
        <v/>
      </c>
    </row>
    <row r="1191">
      <c r="A1191" s="17" t="inlineStr">
        <is>
          <t>Pour de Bon</t>
        </is>
      </c>
      <c r="B1191" s="17" t="inlineStr">
        <is>
          <t>Live</t>
        </is>
      </c>
      <c r="C1191" s="17" t="inlineStr">
        <is>
          <t>Pour De Bon</t>
        </is>
      </c>
      <c r="D1191" s="17" t="inlineStr">
        <is>
          <t>Viandes fermières et grillades</t>
        </is>
      </c>
      <c r="E1191" s="18" t="inlineStr">
        <is>
          <t>Viandes de bouchers artisans au meilleur prix | Pour De Bon</t>
        </is>
      </c>
      <c r="F1191" s="17" t="inlineStr">
        <is>
          <t>Boucherie en ligne : viandes de France vendues par des bouchers artisans et des éleveurs, avec une traçabilité totale, livrées en frais à domicile dès 60 €.</t>
        </is>
      </c>
      <c r="G1191" s="19" t="inlineStr">
        <is>
          <t>https://www.pourdebon.com/bouchers-c59</t>
        </is>
      </c>
      <c r="H1191" s="20" t="n">
        <v>966</v>
      </c>
      <c r="I1191" s="20" t="n">
        <v>3</v>
      </c>
      <c r="J1191" s="21">
        <f>IF(H1191=0,0,I1191/H1191)</f>
        <v/>
      </c>
    </row>
    <row r="1192">
      <c r="A1192" s="17" t="inlineStr">
        <is>
          <t>Pour de Bon</t>
        </is>
      </c>
      <c r="B1192" s="17" t="inlineStr">
        <is>
          <t>Live</t>
        </is>
      </c>
      <c r="C1192" s="17" t="inlineStr">
        <is>
          <t>Pour De Bon</t>
        </is>
      </c>
      <c r="D1192" s="17" t="inlineStr">
        <is>
          <t>Arts de la table et ustensiles</t>
        </is>
      </c>
      <c r="E1192" s="18" t="inlineStr">
        <is>
          <t>Textile de cuisine et de table pas cher | Pour De Bon</t>
        </is>
      </c>
      <c r="F1192" s="17" t="inlineStr">
        <is>
          <t>Textile de La Malle w. Trousseau, de Timouny et du Safran des Ardennes, fabriqué par des artisans et des producteurs français, livré à domicile dès 20 € de commande.</t>
        </is>
      </c>
      <c r="G1192" s="19" t="inlineStr">
        <is>
          <t>https://www.pourdebon.com/textile-c109</t>
        </is>
      </c>
      <c r="H1192" s="20" t="n">
        <v>963</v>
      </c>
      <c r="I1192" s="20" t="n">
        <v>6</v>
      </c>
      <c r="J1192" s="21">
        <f>IF(H1192=0,0,I1192/H1192)</f>
        <v/>
      </c>
    </row>
    <row r="1193">
      <c r="A1193" s="17" t="inlineStr">
        <is>
          <t>Pour de Bon</t>
        </is>
      </c>
      <c r="B1193" s="17" t="inlineStr">
        <is>
          <t>Live</t>
        </is>
      </c>
      <c r="C1193" s="17" t="inlineStr">
        <is>
          <t>Pour De Bon</t>
        </is>
      </c>
      <c r="D1193" s="17" t="inlineStr">
        <is>
          <t>Légumes frais et de saison</t>
        </is>
      </c>
      <c r="E1193" s="18" t="inlineStr">
        <is>
          <t>Herbes fraîches et aromates prix bas | Pour De Bon</t>
        </is>
      </c>
      <c r="F1193" s="17" t="inlineStr">
        <is>
          <t>Herbes et aromates de L’Oliveraie du Coudon, La Boite à Herbes et Esprit Zen, cultivés et préparés par le producteur, vendus en direct et livrés dès 20 € de commande.</t>
        </is>
      </c>
      <c r="G1193" s="19" t="inlineStr">
        <is>
          <t>https://www.pourdebon.com/herbes-et-aromates-c94</t>
        </is>
      </c>
      <c r="H1193" s="20" t="n">
        <v>957</v>
      </c>
      <c r="I1193" s="20" t="n">
        <v>2</v>
      </c>
      <c r="J1193" s="21">
        <f>IF(H1193=0,0,I1193/H1193)</f>
        <v/>
      </c>
    </row>
    <row r="1194">
      <c r="A1194" s="17" t="inlineStr">
        <is>
          <t>Pour de Bon</t>
        </is>
      </c>
      <c r="B1194" s="17" t="inlineStr">
        <is>
          <t>Live</t>
        </is>
      </c>
      <c r="C1194" s="17" t="inlineStr">
        <is>
          <t>Pour De Bon</t>
        </is>
      </c>
      <c r="D1194" s="17" t="inlineStr">
        <is>
          <t>Fruits de saison et fruits secs</t>
        </is>
      </c>
      <c r="E1194" s="18" t="inlineStr">
        <is>
          <t>Fruits frais de producteurs au meilleur prix | Pour De Bon</t>
        </is>
      </c>
      <c r="F1194" s="17" t="inlineStr">
        <is>
          <t>Fruits frais de Ferme Joos, L’Oliveraie du Coudon et La Boite à Herbes : commandez directement au producteur, livraison à domicile dès 20 € de commande.</t>
        </is>
      </c>
      <c r="G1194" s="19" t="inlineStr">
        <is>
          <t>https://www.pourdebon.com/fruits-c68</t>
        </is>
      </c>
      <c r="H1194" s="20" t="n">
        <v>953</v>
      </c>
      <c r="I1194" s="20" t="n">
        <v>6</v>
      </c>
      <c r="J1194" s="21">
        <f>IF(H1194=0,0,I1194/H1194)</f>
        <v/>
      </c>
    </row>
    <row r="1195">
      <c r="A1195" s="17" t="inlineStr">
        <is>
          <t>Pour de Bon</t>
        </is>
      </c>
      <c r="B1195" s="17" t="inlineStr">
        <is>
          <t>Live</t>
        </is>
      </c>
      <c r="C1195" s="17" t="inlineStr">
        <is>
          <t>Pour De Bon</t>
        </is>
      </c>
      <c r="D1195" s="17" t="inlineStr">
        <is>
          <t>Fromages, crèmerie et œufs</t>
        </is>
      </c>
      <c r="E1195" s="18" t="inlineStr">
        <is>
          <t>Fromages et crèmerie d’artisans prix bas | Pour De Bon</t>
        </is>
      </c>
      <c r="F1195" s="17" t="inlineStr">
        <is>
          <t>Fromagerie en ligne : fromages d’artisans fromagers et meilleurs ouvriers de France, au savoir-faire régional, livrés en frais à domicile dès 60 €.</t>
        </is>
      </c>
      <c r="G1195" s="19" t="inlineStr">
        <is>
          <t>https://www.pourdebon.com/fromages-et-cremerie-c2</t>
        </is>
      </c>
      <c r="H1195" s="20" t="n">
        <v>950</v>
      </c>
      <c r="I1195" s="20" t="n">
        <v>4</v>
      </c>
      <c r="J1195" s="21">
        <f>IF(H1195=0,0,I1195/H1195)</f>
        <v/>
      </c>
    </row>
    <row r="1196">
      <c r="A1196" s="17" t="inlineStr">
        <is>
          <t>Pour de Bon</t>
        </is>
      </c>
      <c r="B1196" s="17" t="inlineStr">
        <is>
          <t>Live</t>
        </is>
      </c>
      <c r="C1196" s="17" t="inlineStr">
        <is>
          <t>Pour De Bon</t>
        </is>
      </c>
      <c r="D1196" s="17" t="inlineStr">
        <is>
          <t>Pains, pâtisseries et desserts artisanaux</t>
        </is>
      </c>
      <c r="E1196" s="18" t="inlineStr">
        <is>
          <t>Pains de ferme et de boulangers prix bas | Pour De Bon</t>
        </is>
      </c>
      <c r="F1196" s="17" t="inlineStr">
        <is>
          <t>Pains de la Ferme Sereine en Périgord, de La Ferme des Collines et de la Famille Rochefort, pétris et cuits à la ferme, expédiés en direct dès 20 € de commande.</t>
        </is>
      </c>
      <c r="G1196" s="19" t="inlineStr">
        <is>
          <t>https://www.pourdebon.com/pains-c73</t>
        </is>
      </c>
      <c r="H1196" s="20" t="n">
        <v>929</v>
      </c>
      <c r="I1196" s="20" t="n">
        <v>6</v>
      </c>
      <c r="J1196" s="21">
        <f>IF(H1196=0,0,I1196/H1196)</f>
        <v/>
      </c>
    </row>
    <row r="1197">
      <c r="A1197" s="17" t="inlineStr">
        <is>
          <t>Pour de Bon</t>
        </is>
      </c>
      <c r="B1197" s="17" t="inlineStr">
        <is>
          <t>Live</t>
        </is>
      </c>
      <c r="C1197" s="17" t="inlineStr">
        <is>
          <t>Pour De Bon</t>
        </is>
      </c>
      <c r="D1197" s="17" t="inlineStr">
        <is>
          <t>Arts de la table et ustensiles</t>
        </is>
      </c>
      <c r="E1197" s="18" t="inlineStr">
        <is>
          <t>Planches et accessoires de découpe prix bas | Pour De Bon</t>
        </is>
      </c>
      <c r="F1197" s="17" t="inlineStr">
        <is>
          <t>Planches et accessoires de découpe de La Malle w. Trousseau, d’Esprit Zen et de Planc’h, fabriqués par l’artisan et livrés à domicile dès 20 € de commande.</t>
        </is>
      </c>
      <c r="G1197" s="19" t="inlineStr">
        <is>
          <t>https://www.pourdebon.com/decoupe-c112</t>
        </is>
      </c>
      <c r="H1197" s="20" t="n">
        <v>922</v>
      </c>
      <c r="I1197" s="20" t="n">
        <v>3</v>
      </c>
      <c r="J1197" s="21">
        <f>IF(H1197=0,0,I1197/H1197)</f>
        <v/>
      </c>
    </row>
    <row r="1198">
      <c r="A1198" s="17" t="inlineStr">
        <is>
          <t>Pour de Bon</t>
        </is>
      </c>
      <c r="B1198" s="17" t="inlineStr">
        <is>
          <t>Live</t>
        </is>
      </c>
      <c r="C1198" s="17" t="inlineStr">
        <is>
          <t>Pour De Bon</t>
        </is>
      </c>
      <c r="D1198" s="17" t="inlineStr">
        <is>
          <t>Arts de la table et ustensiles</t>
        </is>
      </c>
      <c r="E1198" s="18" t="inlineStr">
        <is>
          <t>Carafes, verres et tasses artisanaux pas chers | Pour De Bon</t>
        </is>
      </c>
      <c r="F1198" s="17" t="inlineStr">
        <is>
          <t>Carafes, verres et tasses de l’Atelier Eva Dejeanty, de LOVEN Crew et de Nuage Sauvage, façonnés par l’artisan et livrés à domicile dès 20 € de commande.</t>
        </is>
      </c>
      <c r="G1198" s="19" t="inlineStr">
        <is>
          <t>https://www.pourdebon.com/carafes-verres-c108</t>
        </is>
      </c>
      <c r="H1198" s="20" t="n">
        <v>922</v>
      </c>
      <c r="I1198" s="20" t="n">
        <v>2</v>
      </c>
      <c r="J1198" s="21">
        <f>IF(H1198=0,0,I1198/H1198)</f>
        <v/>
      </c>
    </row>
    <row r="1199">
      <c r="A1199" s="17" t="inlineStr">
        <is>
          <t>Pour de Bon</t>
        </is>
      </c>
      <c r="B1199" s="17" t="inlineStr">
        <is>
          <t>Live</t>
        </is>
      </c>
      <c r="C1199" s="17" t="inlineStr">
        <is>
          <t>Pour De Bon</t>
        </is>
      </c>
      <c r="D1199" s="17" t="inlineStr">
        <is>
          <t>Traiteur et plats cuisinés</t>
        </is>
      </c>
      <c r="E1199" s="18" t="inlineStr">
        <is>
          <t>Salades traiteur prêtes à servir prix bas | Pour De Bon</t>
        </is>
      </c>
      <c r="F1199" s="17" t="inlineStr">
        <is>
          <t>Salades traiteur de Ferme Joos, de la Boucherie Charcuterie Traiteur Ghérardi et de la Boucherie Lefeuvre, préparées par l’artisan et livrées dès 20 € de commande.</t>
        </is>
      </c>
      <c r="G1199" s="19" t="inlineStr">
        <is>
          <t>https://www.pourdebon.com/salades-traiteur-c15</t>
        </is>
      </c>
      <c r="H1199" s="20" t="n">
        <v>914</v>
      </c>
      <c r="I1199" s="20" t="n">
        <v>2</v>
      </c>
      <c r="J1199" s="21">
        <f>IF(H1199=0,0,I1199/H1199)</f>
        <v/>
      </c>
    </row>
    <row r="1200">
      <c r="A1200" s="17" t="inlineStr">
        <is>
          <t>Pour de Bon</t>
        </is>
      </c>
      <c r="B1200" s="17" t="inlineStr">
        <is>
          <t>Live</t>
        </is>
      </c>
      <c r="C1200" s="17" t="inlineStr">
        <is>
          <t>Pour De Bon</t>
        </is>
      </c>
      <c r="D1200" s="17" t="inlineStr">
        <is>
          <t>Viandes fermières et grillades</t>
        </is>
      </c>
      <c r="E1200" s="18" t="inlineStr">
        <is>
          <t>Veau fermier au meilleur prix | Pour De Bon</t>
        </is>
      </c>
      <c r="F1200" s="17" t="inlineStr">
        <is>
          <t>Veau de Maison Lascours, de La Ferme de Vers et de la Boucherie Ghérardi, découpé par le boucher ou l’éleveur, vendu en direct et livré en frais dès 20 € de commande.</t>
        </is>
      </c>
      <c r="G1200" s="19" t="inlineStr">
        <is>
          <t>https://www.pourdebon.com/veaux-c26</t>
        </is>
      </c>
      <c r="H1200" s="20" t="n">
        <v>904</v>
      </c>
      <c r="I1200" s="20" t="n">
        <v>9</v>
      </c>
      <c r="J1200" s="21">
        <f>IF(H1200=0,0,I1200/H1200)</f>
        <v/>
      </c>
    </row>
    <row r="1201">
      <c r="A1201" s="17" t="inlineStr">
        <is>
          <t>Pour de Bon</t>
        </is>
      </c>
      <c r="B1201" s="17" t="inlineStr">
        <is>
          <t>Live</t>
        </is>
      </c>
      <c r="C1201" s="17" t="inlineStr">
        <is>
          <t>Pour De Bon</t>
        </is>
      </c>
      <c r="D1201" s="17" t="inlineStr">
        <is>
          <t>Viandes fermières et grillades</t>
        </is>
      </c>
      <c r="E1201" s="18" t="inlineStr">
        <is>
          <t>Viande de chèvre et chevreau prix bas | Pour De Bon</t>
        </is>
      </c>
      <c r="F1201" s="17" t="inlineStr">
        <is>
          <t>Viande de chèvre et de chevreau des Biquettes de Cercles et de la Ferme du Caroire, élevée et découpée à la ferme, expédiée en direct dès 20 € de commande.</t>
        </is>
      </c>
      <c r="G1201" s="19" t="inlineStr">
        <is>
          <t>https://www.pourdebon.com/chevre-et-chevreau-c95</t>
        </is>
      </c>
      <c r="H1201" s="20" t="n">
        <v>904</v>
      </c>
      <c r="I1201" s="20" t="n">
        <v>4</v>
      </c>
      <c r="J1201" s="21">
        <f>IF(H1201=0,0,I1201/H1201)</f>
        <v/>
      </c>
    </row>
    <row r="1202">
      <c r="A1202" s="17" t="inlineStr">
        <is>
          <t>Pour de Bon</t>
        </is>
      </c>
      <c r="B1202" s="17" t="inlineStr">
        <is>
          <t>Live</t>
        </is>
      </c>
      <c r="C1202" s="17" t="inlineStr">
        <is>
          <t>Pour De Bon</t>
        </is>
      </c>
      <c r="D1202" s="17" t="inlineStr">
        <is>
          <t>Légumes frais et de saison</t>
        </is>
      </c>
      <c r="E1202" s="18" t="inlineStr">
        <is>
          <t>Oignons, ail et échalotes au meilleur prix | Pour De Bon</t>
        </is>
      </c>
      <c r="F1202" s="17" t="inlineStr">
        <is>
          <t>Oignons, ails et échalotes de Ferme Joos, L’Oliveraie du Coudon et La Boite à Herbes, vendus directement par le producteur et livrés à domicile dès 20 € de commande.</t>
        </is>
      </c>
      <c r="G1202" s="19" t="inlineStr">
        <is>
          <t>https://www.pourdebon.com/oignons-ails-et-echalotes-c62</t>
        </is>
      </c>
      <c r="H1202" s="20" t="n">
        <v>897</v>
      </c>
      <c r="I1202" s="20" t="n">
        <v>7</v>
      </c>
      <c r="J1202" s="21">
        <f>IF(H1202=0,0,I1202/H1202)</f>
        <v/>
      </c>
    </row>
    <row r="1203">
      <c r="A1203" s="17" t="inlineStr">
        <is>
          <t>Pour de Bon</t>
        </is>
      </c>
      <c r="B1203" s="17" t="inlineStr">
        <is>
          <t>Live</t>
        </is>
      </c>
      <c r="C1203" s="17" t="inlineStr">
        <is>
          <t>Pour De Bon</t>
        </is>
      </c>
      <c r="D1203" s="17" t="inlineStr">
        <is>
          <t>Arts de la table et ustensiles</t>
        </is>
      </c>
      <c r="E1203" s="18" t="inlineStr">
        <is>
          <t>Vaisselle et art de la table au meilleur prix | Pour De Bon</t>
        </is>
      </c>
      <c r="F1203" s="17" t="inlineStr">
        <is>
          <t>Art de la table de La Malle w. Trousseau, d’Esprit Zen et de Timouny : assiettes, plats et linge de table d’artisans français, livrés dès 20 € de commande.</t>
        </is>
      </c>
      <c r="G1203" s="19" t="inlineStr">
        <is>
          <t>https://www.pourdebon.com/arts-table-c103</t>
        </is>
      </c>
      <c r="H1203" s="20" t="n">
        <v>897</v>
      </c>
      <c r="I1203" s="20" t="n">
        <v>7</v>
      </c>
      <c r="J1203" s="21">
        <f>IF(H1203=0,0,I1203/H1203)</f>
        <v/>
      </c>
    </row>
    <row r="1204">
      <c r="A1204" s="17" t="inlineStr">
        <is>
          <t>Pour de Bon</t>
        </is>
      </c>
      <c r="B1204" s="17" t="inlineStr">
        <is>
          <t>Live</t>
        </is>
      </c>
      <c r="C1204" s="17" t="inlineStr">
        <is>
          <t>Pour De Bon</t>
        </is>
      </c>
      <c r="D1204" s="17" t="inlineStr">
        <is>
          <t>Charcuterie artisanale et terrines</t>
        </is>
      </c>
      <c r="E1204" s="18" t="inlineStr">
        <is>
          <t>Pâtés, rillettes et terrines au meilleur prix | Pour De Bon</t>
        </is>
      </c>
      <c r="F1204" s="17" t="inlineStr">
        <is>
          <t>Pâtés, rillettes, terrines et mousses de La Ferme du Mas Laborie, Ferme Porc &amp; Pink et Maison Millas, fabriqués à la ferme et livrés dès 20 € de commande.</t>
        </is>
      </c>
      <c r="G1204" s="19" t="inlineStr">
        <is>
          <t>https://www.pourdebon.com/pates-rillettes-terrines-et-mousses-c6</t>
        </is>
      </c>
      <c r="H1204" s="20" t="n">
        <v>897</v>
      </c>
      <c r="I1204" s="20" t="n">
        <v>1</v>
      </c>
      <c r="J1204" s="21">
        <f>IF(H1204=0,0,I1204/H1204)</f>
        <v/>
      </c>
    </row>
    <row r="1205">
      <c r="A1205" s="17" t="inlineStr">
        <is>
          <t>Pour de Bon</t>
        </is>
      </c>
      <c r="B1205" s="17" t="inlineStr">
        <is>
          <t>Live</t>
        </is>
      </c>
      <c r="C1205" s="17" t="inlineStr">
        <is>
          <t>Pour De Bon</t>
        </is>
      </c>
      <c r="D1205" s="17" t="inlineStr">
        <is>
          <t>Volailles, canard et foie gras</t>
        </is>
      </c>
      <c r="E1205" s="18" t="inlineStr">
        <is>
          <t>Volailles fermières au meilleur prix | Pour De Bon</t>
        </is>
      </c>
      <c r="F1205" s="17" t="inlineStr">
        <is>
          <t>Volailles de Maison Lascours, des Poulets de la Marquise et de La Ferme de Vers, préparées à la ferme et vendues en direct par l’éleveur, livrées dès 20 € de commande.</t>
        </is>
      </c>
      <c r="G1205" s="19" t="inlineStr">
        <is>
          <t>https://www.pourdebon.com/volailles-c28</t>
        </is>
      </c>
      <c r="H1205" s="20" t="n">
        <v>891</v>
      </c>
      <c r="I1205" s="20" t="n">
        <v>6</v>
      </c>
      <c r="J1205" s="21">
        <f>IF(H1205=0,0,I1205/H1205)</f>
        <v/>
      </c>
    </row>
    <row r="1206">
      <c r="A1206" s="17" t="inlineStr">
        <is>
          <t>Pour de Bon</t>
        </is>
      </c>
      <c r="B1206" s="17" t="inlineStr">
        <is>
          <t>Live</t>
        </is>
      </c>
      <c r="C1206" s="17" t="inlineStr">
        <is>
          <t>Pour De Bon</t>
        </is>
      </c>
      <c r="D1206" s="17" t="inlineStr">
        <is>
          <t>Viandes fermières et grillades</t>
        </is>
      </c>
      <c r="E1206" s="18" t="inlineStr">
        <is>
          <t>Agneau et mouton fermiers au meilleur prix | Pour De Bon</t>
        </is>
      </c>
      <c r="F1206" s="17" t="inlineStr">
        <is>
          <t>Agneau et mouton de Maison Lascours, de la Boucherie Ghérardi et de Maison Victor, découpés par le boucher, vendus en direct et livrés en frais dès 20 € de commande.</t>
        </is>
      </c>
      <c r="G1206" s="19" t="inlineStr">
        <is>
          <t>https://www.pourdebon.com/agneaux-et-moutons-c54</t>
        </is>
      </c>
      <c r="H1206" s="20" t="n">
        <v>889</v>
      </c>
      <c r="I1206" s="20" t="n">
        <v>3</v>
      </c>
      <c r="J1206" s="21">
        <f>IF(H1206=0,0,I1206/H1206)</f>
        <v/>
      </c>
    </row>
    <row r="1207">
      <c r="A1207" s="17" t="inlineStr">
        <is>
          <t>Pour de Bon</t>
        </is>
      </c>
      <c r="B1207" s="17" t="inlineStr">
        <is>
          <t>Live</t>
        </is>
      </c>
      <c r="C1207" s="17" t="inlineStr">
        <is>
          <t>Pour De Bon</t>
        </is>
      </c>
      <c r="D1207" s="17" t="inlineStr">
        <is>
          <t>Viandes fermières et grillades</t>
        </is>
      </c>
      <c r="E1207" s="18" t="inlineStr">
        <is>
          <t>Autres viandes de bouchers artisans prix bas | Pour De Bon</t>
        </is>
      </c>
      <c r="F1207" s="17" t="inlineStr">
        <is>
          <t>Autres viandes de Maison Lascours, de la Boucherie Ghérardi et de Maison Bayle, sélectionnées par des bouchers artisans et livrées en direct dès 20 € de commande.</t>
        </is>
      </c>
      <c r="G1207" s="19" t="inlineStr">
        <is>
          <t>https://www.pourdebon.com/autres-viandes-c115</t>
        </is>
      </c>
      <c r="H1207" s="20" t="n">
        <v>887</v>
      </c>
      <c r="I1207" s="20" t="n">
        <v>8</v>
      </c>
      <c r="J1207" s="21">
        <f>IF(H1207=0,0,I1207/H1207)</f>
        <v/>
      </c>
    </row>
    <row r="1208">
      <c r="A1208" s="17" t="inlineStr">
        <is>
          <t>Pour de Bon</t>
        </is>
      </c>
      <c r="B1208" s="17" t="inlineStr">
        <is>
          <t>Live</t>
        </is>
      </c>
      <c r="C1208" s="17" t="inlineStr">
        <is>
          <t>Pour De Bon</t>
        </is>
      </c>
      <c r="D1208" s="17" t="inlineStr">
        <is>
          <t>Arts de la table et ustensiles</t>
        </is>
      </c>
      <c r="E1208" s="18" t="inlineStr">
        <is>
          <t>Vaisselle en céramique d’artisans pas chère | Pour De Bon</t>
        </is>
      </c>
      <c r="F1208" s="17" t="inlineStr">
        <is>
          <t>Vaisselle d’Esprit Zen, de l’Atelier Eva Dejeanty et de Sillage Maroquinerie : assiettes, bols et plats d’artisans français, livrés à domicile dès 20 € de commande.</t>
        </is>
      </c>
      <c r="G1208" s="19" t="inlineStr">
        <is>
          <t>https://www.pourdebon.com/vaisselles-c105</t>
        </is>
      </c>
      <c r="H1208" s="20" t="n">
        <v>879</v>
      </c>
      <c r="I1208" s="20" t="n">
        <v>8</v>
      </c>
      <c r="J1208" s="21">
        <f>IF(H1208=0,0,I1208/H1208)</f>
        <v/>
      </c>
    </row>
    <row r="1209">
      <c r="A1209" s="17" t="inlineStr">
        <is>
          <t>Pour de Bon</t>
        </is>
      </c>
      <c r="B1209" s="17" t="inlineStr">
        <is>
          <t>Live</t>
        </is>
      </c>
      <c r="C1209" s="17" t="inlineStr">
        <is>
          <t>Pour De Bon</t>
        </is>
      </c>
      <c r="D1209" s="17" t="inlineStr">
        <is>
          <t>Arts de la table et ustensiles</t>
        </is>
      </c>
      <c r="E1209" s="18" t="inlineStr">
        <is>
          <t>Accessoires de cuisine artisanaux prix bas | Pour De Bon</t>
        </is>
      </c>
      <c r="F1209" s="17" t="inlineStr">
        <is>
          <t>Accessoires de cuisine et de table de La Malle w. Trousseau, d’Esprit Zen et de Timouny, fabriqués par des artisans français et livrés dès 20 € de commande.</t>
        </is>
      </c>
      <c r="G1209" s="19" t="inlineStr">
        <is>
          <t>https://www.pourdebon.com/accessoires-c111</t>
        </is>
      </c>
      <c r="H1209" s="20" t="n">
        <v>876</v>
      </c>
      <c r="I1209" s="20" t="n">
        <v>5</v>
      </c>
      <c r="J1209" s="21">
        <f>IF(H1209=0,0,I1209/H1209)</f>
        <v/>
      </c>
    </row>
    <row r="1210">
      <c r="A1210" s="17" t="inlineStr">
        <is>
          <t>Pour de Bon</t>
        </is>
      </c>
      <c r="B1210" s="17" t="inlineStr">
        <is>
          <t>Live</t>
        </is>
      </c>
      <c r="C1210" s="17" t="inlineStr">
        <is>
          <t>Pour De Bon</t>
        </is>
      </c>
      <c r="D1210" s="17" t="inlineStr">
        <is>
          <t>Traiteur et plats cuisinés</t>
        </is>
      </c>
      <c r="E1210" s="18" t="inlineStr">
        <is>
          <t>Escargots préparés d’éleveurs pas chers | Pour De Bon</t>
        </is>
      </c>
      <c r="F1210" s="17" t="inlineStr">
        <is>
          <t>Escargots de La Ferme Enchantée, du Paradis d’Escargot et de L’escargotière Bonvalot, élevés et préparés par l’héliciculteur, livrés dès 20 € de commande.</t>
        </is>
      </c>
      <c r="G1210" s="19" t="inlineStr">
        <is>
          <t>https://www.pourdebon.com/escargots-c18</t>
        </is>
      </c>
      <c r="H1210" s="20" t="n">
        <v>874</v>
      </c>
      <c r="I1210" s="20" t="n">
        <v>3</v>
      </c>
      <c r="J1210" s="21">
        <f>IF(H1210=0,0,I1210/H1210)</f>
        <v/>
      </c>
    </row>
    <row r="1211">
      <c r="A1211" s="17" t="inlineStr">
        <is>
          <t>Pour de Bon</t>
        </is>
      </c>
      <c r="B1211" s="17" t="inlineStr">
        <is>
          <t>Live</t>
        </is>
      </c>
      <c r="C1211" s="17" t="inlineStr">
        <is>
          <t>Pour De Bon</t>
        </is>
      </c>
      <c r="D1211" s="17" t="inlineStr">
        <is>
          <t>Volailles, canard et foie gras</t>
        </is>
      </c>
      <c r="E1211" s="18" t="inlineStr">
        <is>
          <t>Poulet fermier et volailles prix bas | Pour De Bon</t>
        </is>
      </c>
      <c r="F1211" s="17" t="inlineStr">
        <is>
          <t>Poulet et volailles de Maison Lascours, des Poulets de la Marquise et de La Ferme de Vers, élevés à la ferme et vendus en direct par l’éleveur, livrés dès 20 €.</t>
        </is>
      </c>
      <c r="G1211" s="19" t="inlineStr">
        <is>
          <t>https://www.pourdebon.com/poulet-et-autre-volaille-c116</t>
        </is>
      </c>
      <c r="H1211" s="20" t="n">
        <v>871</v>
      </c>
      <c r="I1211" s="20" t="n">
        <v>6</v>
      </c>
      <c r="J1211" s="21">
        <f>IF(H1211=0,0,I1211/H1211)</f>
        <v/>
      </c>
    </row>
    <row r="1212">
      <c r="A1212" s="17" t="inlineStr">
        <is>
          <t>Pour de Bon</t>
        </is>
      </c>
      <c r="B1212" s="17" t="inlineStr">
        <is>
          <t>Live</t>
        </is>
      </c>
      <c r="C1212" s="17" t="inlineStr">
        <is>
          <t>Pour De Bon</t>
        </is>
      </c>
      <c r="D1212" s="17" t="inlineStr">
        <is>
          <t>Volailles, canard et foie gras</t>
        </is>
      </c>
      <c r="E1212" s="18" t="inlineStr">
        <is>
          <t>Canard et oie fermiers pas chers | Pour De Bon</t>
        </is>
      </c>
      <c r="F1212" s="17" t="inlineStr">
        <is>
          <t>Canard et oie de Maison Lascours, de La Ferme de Vers et de la Boucherie Ghérardi, élevés et préparés par le producteur, livrés en frais dès 20 € de commande.</t>
        </is>
      </c>
      <c r="G1212" s="19" t="inlineStr">
        <is>
          <t>https://www.pourdebon.com/canard-et-oie-c117</t>
        </is>
      </c>
      <c r="H1212" s="20" t="n">
        <v>868</v>
      </c>
      <c r="I1212" s="20" t="n">
        <v>6</v>
      </c>
      <c r="J1212" s="21">
        <f>IF(H1212=0,0,I1212/H1212)</f>
        <v/>
      </c>
    </row>
    <row r="1213">
      <c r="A1213" s="17" t="inlineStr">
        <is>
          <t>Pour de Bon</t>
        </is>
      </c>
      <c r="B1213" s="17" t="inlineStr">
        <is>
          <t>Live</t>
        </is>
      </c>
      <c r="C1213" s="17" t="inlineStr">
        <is>
          <t>Pour De Bon</t>
        </is>
      </c>
      <c r="D1213" s="17" t="inlineStr">
        <is>
          <t>Volailles, canard et foie gras</t>
        </is>
      </c>
      <c r="E1213" s="18" t="inlineStr">
        <is>
          <t>Confits et spécialités de canard prix bas | Pour De Bon</t>
        </is>
      </c>
      <c r="F1213" s="17" t="inlineStr">
        <is>
          <t>Spécialités de canard et d’oie de Ferme Joos, L’Oliveraie du Coudon et L’Armoire à Conserves, cuisinées et conservées par le producteur, livrées dès 20 € de commande.</t>
        </is>
      </c>
      <c r="G1213" s="19" t="inlineStr">
        <is>
          <t>https://www.pourdebon.com/specialites-canards-et-oies-c45</t>
        </is>
      </c>
      <c r="H1213" s="20" t="n">
        <v>865</v>
      </c>
      <c r="I1213" s="20" t="n">
        <v>0</v>
      </c>
      <c r="J1213" s="21">
        <f>IF(H1213=0,0,I1213/H1213)</f>
        <v/>
      </c>
    </row>
    <row r="1214">
      <c r="A1214" s="17" t="inlineStr">
        <is>
          <t>Pour de Bon</t>
        </is>
      </c>
      <c r="B1214" s="17" t="inlineStr">
        <is>
          <t>Live</t>
        </is>
      </c>
      <c r="C1214" s="17" t="inlineStr">
        <is>
          <t>Pour De Bon</t>
        </is>
      </c>
      <c r="D1214" s="17" t="inlineStr">
        <is>
          <t>Arts de la table et ustensiles</t>
        </is>
      </c>
      <c r="E1214" s="18" t="inlineStr">
        <is>
          <t>Ustensiles de cuisine artisanaux prix bas | Pour De Bon</t>
        </is>
      </c>
      <c r="F1214" s="17" t="inlineStr">
        <is>
          <t>Ustensiles de cuisine de La Malle w. Trousseau, d’Esprit Zen et de Timouny, fabriqués par des artisans français et livrés à domicile dès 20 € de commande.</t>
        </is>
      </c>
      <c r="G1214" s="19" t="inlineStr">
        <is>
          <t>https://www.pourdebon.com/ustensiles-c104</t>
        </is>
      </c>
      <c r="H1214" s="20" t="n">
        <v>864</v>
      </c>
      <c r="I1214" s="20" t="n">
        <v>8</v>
      </c>
      <c r="J1214" s="21">
        <f>IF(H1214=0,0,I1214/H1214)</f>
        <v/>
      </c>
    </row>
    <row r="1215">
      <c r="A1215" s="17" t="inlineStr">
        <is>
          <t>Pour de Bon</t>
        </is>
      </c>
      <c r="B1215" s="17" t="inlineStr">
        <is>
          <t>Live</t>
        </is>
      </c>
      <c r="C1215" s="17" t="inlineStr">
        <is>
          <t>Pour De Bon</t>
        </is>
      </c>
      <c r="D1215" s="17" t="inlineStr">
        <is>
          <t>Volailles, canard et foie gras</t>
        </is>
      </c>
      <c r="E1215" s="18" t="inlineStr">
        <is>
          <t>Foie gras cru et mi-cuit au meilleur prix | Pour De Bon</t>
        </is>
      </c>
      <c r="F1215" s="17" t="inlineStr">
        <is>
          <t>Foies gras crus et transformés de Maison Lascours, de la Ferme des Fabres et de la Ferme de Pleinefage, préparés par le producteur et livrés dès 20 € de commande.</t>
        </is>
      </c>
      <c r="G1215" s="19" t="inlineStr">
        <is>
          <t>https://www.pourdebon.com/foies-gras-crus-et-transformes-c86</t>
        </is>
      </c>
      <c r="H1215" s="20" t="n">
        <v>864</v>
      </c>
      <c r="I1215" s="20" t="n">
        <v>4</v>
      </c>
      <c r="J1215" s="21">
        <f>IF(H1215=0,0,I1215/H1215)</f>
        <v/>
      </c>
    </row>
    <row r="1216">
      <c r="A1216" s="17" t="inlineStr">
        <is>
          <t>Pour de Bon</t>
        </is>
      </c>
      <c r="B1216" s="17" t="inlineStr">
        <is>
          <t>Live</t>
        </is>
      </c>
      <c r="C1216" s="17" t="inlineStr">
        <is>
          <t>Pour De Bon</t>
        </is>
      </c>
      <c r="D1216" s="17" t="inlineStr">
        <is>
          <t>Charcuterie artisanale et terrines</t>
        </is>
      </c>
      <c r="E1216" s="18" t="inlineStr">
        <is>
          <t>Saucissons secs artisanaux au meilleur prix | Pour De Bon</t>
        </is>
      </c>
      <c r="F1216" s="17" t="inlineStr">
        <is>
          <t>Saucissons et spécialités sèches de La Ferme du Mas Laborie, Ferme Porc &amp; Pink et Maison Millas, séchés à la ferme et expédiés en direct dès 20 € de commande.</t>
        </is>
      </c>
      <c r="G1216" s="19" t="inlineStr">
        <is>
          <t>https://www.pourdebon.com/saucissons-et-autres-specialites-seches-c9</t>
        </is>
      </c>
      <c r="H1216" s="20" t="n">
        <v>861</v>
      </c>
      <c r="I1216" s="20" t="n">
        <v>3</v>
      </c>
      <c r="J1216" s="21">
        <f>IF(H1216=0,0,I1216/H1216)</f>
        <v/>
      </c>
    </row>
    <row r="1217">
      <c r="A1217" s="17" t="inlineStr">
        <is>
          <t>Pour de Bon</t>
        </is>
      </c>
      <c r="B1217" s="17" t="inlineStr">
        <is>
          <t>Live</t>
        </is>
      </c>
      <c r="C1217" s="17" t="inlineStr">
        <is>
          <t>Pour De Bon</t>
        </is>
      </c>
      <c r="D1217" s="17" t="inlineStr">
        <is>
          <t>Charcuterie artisanale et terrines</t>
        </is>
      </c>
      <c r="E1217" s="18" t="inlineStr">
        <is>
          <t>Jambons, poitrines et lards fermiers prix bas | Pour De Bon</t>
        </is>
      </c>
      <c r="F1217" s="17" t="inlineStr">
        <is>
          <t>Jambons, poitrines et lards de La Ferme du Mas Laborie, Ferme Porc &amp; Pink et Maison Millas, fabriqués à la ferme et expédiés en direct, livrés dès 20 € de commande.</t>
        </is>
      </c>
      <c r="G1217" s="19" t="inlineStr">
        <is>
          <t>https://www.pourdebon.com/jambons-poitrines-et-lards-c8</t>
        </is>
      </c>
      <c r="H1217" s="20" t="n">
        <v>858</v>
      </c>
      <c r="I1217" s="20" t="n">
        <v>5</v>
      </c>
      <c r="J1217" s="21">
        <f>IF(H1217=0,0,I1217/H1217)</f>
        <v/>
      </c>
    </row>
    <row r="1218">
      <c r="A1218" s="17" t="inlineStr">
        <is>
          <t>Pour de Bon</t>
        </is>
      </c>
      <c r="B1218" s="17" t="inlineStr">
        <is>
          <t>Live</t>
        </is>
      </c>
      <c r="C1218" s="17" t="inlineStr">
        <is>
          <t>Pour De Bon</t>
        </is>
      </c>
      <c r="D1218" s="17" t="inlineStr">
        <is>
          <t>Traiteur et plats cuisinés</t>
        </is>
      </c>
      <c r="E1218" s="18" t="inlineStr">
        <is>
          <t>Plats traiteur artisanaux au meilleur prix | Pour De Bon</t>
        </is>
      </c>
      <c r="F1218" s="17" t="inlineStr">
        <is>
          <t>Première place de marché de traiteurs : plats cuisinés avec de bons produits et un savoir-faire régional, livrés en frais à domicile partout en France dès 60 €.</t>
        </is>
      </c>
      <c r="G1218" s="19" t="inlineStr">
        <is>
          <t>https://www.pourdebon.com/plats-traiteurs-c10</t>
        </is>
      </c>
      <c r="H1218" s="20" t="n">
        <v>857</v>
      </c>
      <c r="I1218" s="20" t="n">
        <v>8</v>
      </c>
      <c r="J1218" s="21">
        <f>IF(H1218=0,0,I1218/H1218)</f>
        <v/>
      </c>
    </row>
    <row r="1219">
      <c r="A1219" s="17" t="inlineStr">
        <is>
          <t>Pour de Bon</t>
        </is>
      </c>
      <c r="B1219" s="17" t="inlineStr">
        <is>
          <t>Live</t>
        </is>
      </c>
      <c r="C1219" s="17" t="inlineStr">
        <is>
          <t>Pour De Bon</t>
        </is>
      </c>
      <c r="D1219" s="17" t="inlineStr">
        <is>
          <t>Arts de la table et ustensiles</t>
        </is>
      </c>
      <c r="E1219" s="18" t="inlineStr">
        <is>
          <t>Assiettes en céramique artisanale prix bas | Pour De Bon</t>
        </is>
      </c>
      <c r="F1219" s="17" t="inlineStr">
        <is>
          <t>Assiettes en céramique de l’Atelier Eva Dejeanty, façonnées par l’atelier et vendues en direct, sans intermédiaire, livrées à domicile dès 20 € de commande.</t>
        </is>
      </c>
      <c r="G1219" s="19" t="inlineStr">
        <is>
          <t>https://www.pourdebon.com/assiettes-c106</t>
        </is>
      </c>
      <c r="H1219" s="20" t="n">
        <v>856</v>
      </c>
      <c r="I1219" s="20" t="n">
        <v>3</v>
      </c>
      <c r="J1219" s="21">
        <f>IF(H1219=0,0,I1219/H1219)</f>
        <v/>
      </c>
    </row>
    <row r="1220">
      <c r="A1220" s="17" t="inlineStr">
        <is>
          <t>Pour de Bon</t>
        </is>
      </c>
      <c r="B1220" s="17" t="inlineStr">
        <is>
          <t>Live</t>
        </is>
      </c>
      <c r="C1220" s="17" t="inlineStr">
        <is>
          <t>Pour De Bon</t>
        </is>
      </c>
      <c r="D1220" s="17" t="inlineStr">
        <is>
          <t>Charcuterie artisanale et terrines</t>
        </is>
      </c>
      <c r="E1220" s="18" t="inlineStr">
        <is>
          <t>Ballottines et galantines fermières prix bas | Pour De Bon</t>
        </is>
      </c>
      <c r="F1220" s="17" t="inlineStr">
        <is>
          <t>Ballottines et galantines de La Ferme du Chaudron, de la Ferme de la Paumerais et de la Ferme Guillaumont, faites à la ferme et livrées dès 20 € de commande.</t>
        </is>
      </c>
      <c r="G1220" s="19" t="inlineStr">
        <is>
          <t>https://www.pourdebon.com/ballottines-et-galantines-c7</t>
        </is>
      </c>
      <c r="H1220" s="20" t="n">
        <v>851</v>
      </c>
      <c r="I1220" s="20" t="n">
        <v>3</v>
      </c>
      <c r="J1220" s="21">
        <f>IF(H1220=0,0,I1220/H1220)</f>
        <v/>
      </c>
    </row>
    <row r="1221">
      <c r="A1221" s="17" t="inlineStr">
        <is>
          <t>Pour de Bon</t>
        </is>
      </c>
      <c r="B1221" s="17" t="inlineStr">
        <is>
          <t>Live</t>
        </is>
      </c>
      <c r="C1221" s="17" t="inlineStr">
        <is>
          <t>Pour De Bon</t>
        </is>
      </c>
      <c r="D1221" s="17" t="inlineStr">
        <is>
          <t>Traiteur et plats cuisinés</t>
        </is>
      </c>
      <c r="E1221" s="18" t="inlineStr">
        <is>
          <t>Plats en bocaux de producteurs prix bas | Pour De Bon</t>
        </is>
      </c>
      <c r="F1221" s="17" t="inlineStr">
        <is>
          <t>Plats en bocaux de Conserves Guintrand, Ferme Joos et L’Oliveraie du Coudon, cuisinés et mis en bocal par le producteur, livrés à domicile dès 20 € de commande.</t>
        </is>
      </c>
      <c r="G1221" s="19" t="inlineStr">
        <is>
          <t>https://www.pourdebon.com/plats-en-bocaux-c38</t>
        </is>
      </c>
      <c r="H1221" s="20" t="n">
        <v>846</v>
      </c>
      <c r="I1221" s="20" t="n">
        <v>5</v>
      </c>
      <c r="J1221" s="21">
        <f>IF(H1221=0,0,I1221/H1221)</f>
        <v/>
      </c>
    </row>
    <row r="1222">
      <c r="A1222" s="17" t="inlineStr">
        <is>
          <t>Pour de Bon</t>
        </is>
      </c>
      <c r="B1222" s="17" t="inlineStr">
        <is>
          <t>Live</t>
        </is>
      </c>
      <c r="C1222" s="17" t="inlineStr">
        <is>
          <t>Pour De Bon</t>
        </is>
      </c>
      <c r="D1222" s="17" t="inlineStr">
        <is>
          <t>Viandes fermières et grillades</t>
        </is>
      </c>
      <c r="E1222" s="18" t="inlineStr">
        <is>
          <t>Lapin fermier en vente directe prix bas | Pour De Bon</t>
        </is>
      </c>
      <c r="F1222" s="17" t="inlineStr">
        <is>
          <t>Lapin de la Boucherie Ghérardi, de Maison Victor et du Lapin du Cotentin, élevé et préparé par le producteur, expédié en direct et livré dès 20 € de commande.</t>
        </is>
      </c>
      <c r="G1222" s="19" t="inlineStr">
        <is>
          <t>https://www.pourdebon.com/lapin-c97</t>
        </is>
      </c>
      <c r="H1222" s="20" t="n">
        <v>837</v>
      </c>
      <c r="I1222" s="20" t="n">
        <v>7</v>
      </c>
      <c r="J1222" s="21">
        <f>IF(H1222=0,0,I1222/H1222)</f>
        <v/>
      </c>
    </row>
    <row r="1223">
      <c r="A1223" s="17" t="inlineStr">
        <is>
          <t>Pour de Bon</t>
        </is>
      </c>
      <c r="B1223" s="17" t="inlineStr">
        <is>
          <t>Live</t>
        </is>
      </c>
      <c r="C1223" s="17" t="inlineStr">
        <is>
          <t>Pour De Bon</t>
        </is>
      </c>
      <c r="D1223" s="17" t="inlineStr">
        <is>
          <t>Charcuterie artisanale et terrines</t>
        </is>
      </c>
      <c r="E1223" s="18" t="inlineStr">
        <is>
          <t>Assortiments de charcuterie prix bas | Pour De Bon</t>
        </is>
      </c>
      <c r="F1223" s="17" t="inlineStr">
        <is>
          <t>Assortiments de charcuterie de La Ferme du Mas Laborie, Maison Millas et du Lavandier Charcutier Pontivy, composés par l’artisan et livrés dès 20 € de commande.</t>
        </is>
      </c>
      <c r="G1223" s="19" t="inlineStr">
        <is>
          <t>https://www.pourdebon.com/assortiments-de-charcuterie-c39</t>
        </is>
      </c>
      <c r="H1223" s="20" t="n">
        <v>834</v>
      </c>
      <c r="I1223" s="20" t="n">
        <v>3</v>
      </c>
      <c r="J1223" s="21">
        <f>IF(H1223=0,0,I1223/H1223)</f>
        <v/>
      </c>
    </row>
    <row r="1224">
      <c r="A1224" s="17" t="inlineStr">
        <is>
          <t>Pour de Bon</t>
        </is>
      </c>
      <c r="B1224" s="17" t="inlineStr">
        <is>
          <t>Live</t>
        </is>
      </c>
      <c r="C1224" s="17" t="inlineStr">
        <is>
          <t>Pour De Bon</t>
        </is>
      </c>
      <c r="D1224" s="17" t="inlineStr">
        <is>
          <t>Arts de la table et ustensiles</t>
        </is>
      </c>
      <c r="E1224" s="18" t="inlineStr">
        <is>
          <t>Couverts de table artisanaux pas chers | Pour De Bon</t>
        </is>
      </c>
      <c r="F1224" s="17" t="inlineStr">
        <is>
          <t>Couverts d’Esprit Zen, de Thalassa Tradition et de Saint Kerber Cancale, choisis par des artisans et des producteurs, livrés à domicile dès 20 € de commande.</t>
        </is>
      </c>
      <c r="G1224" s="19" t="inlineStr">
        <is>
          <t>https://www.pourdebon.com/couverts-c107</t>
        </is>
      </c>
      <c r="H1224" s="20" t="n">
        <v>832</v>
      </c>
      <c r="I1224" s="20" t="n">
        <v>4</v>
      </c>
      <c r="J1224" s="21">
        <f>IF(H1224=0,0,I1224/H1224)</f>
        <v/>
      </c>
    </row>
    <row r="1225">
      <c r="A1225" s="17" t="inlineStr">
        <is>
          <t>Pour de Bon</t>
        </is>
      </c>
      <c r="B1225" s="17" t="inlineStr">
        <is>
          <t>Live</t>
        </is>
      </c>
      <c r="C1225" s="17" t="inlineStr">
        <is>
          <t>Pour De Bon</t>
        </is>
      </c>
      <c r="D1225" s="17" t="inlineStr">
        <is>
          <t>Arts de la table et ustensiles</t>
        </is>
      </c>
      <c r="E1225" s="18" t="inlineStr">
        <is>
          <t>Arts de la table d’artisans prix bas | Pour De Bon</t>
        </is>
      </c>
      <c r="F1225" s="17" t="inlineStr">
        <is>
          <t>Arts de la table et ustensiles de La Malle w. Trousseau, d’Esprit Zen et de Timouny, fabriqués par des artisans français et livrés à domicile dès 20 € de commande.</t>
        </is>
      </c>
      <c r="G1225" s="19" t="inlineStr">
        <is>
          <t>https://www.pourdebon.com/arts-de-la-table-et-ustensiles-c102</t>
        </is>
      </c>
      <c r="H1225" s="20" t="n">
        <v>820</v>
      </c>
      <c r="I1225" s="20" t="n">
        <v>4</v>
      </c>
      <c r="J1225" s="21">
        <f>IF(H1225=0,0,I1225/H1225)</f>
        <v/>
      </c>
    </row>
    <row r="1226">
      <c r="A1226" s="17" t="inlineStr">
        <is>
          <t>Pour de Bon</t>
        </is>
      </c>
      <c r="B1226" s="17" t="inlineStr">
        <is>
          <t>Live</t>
        </is>
      </c>
      <c r="C1226" s="17" t="inlineStr">
        <is>
          <t>Pour De Bon</t>
        </is>
      </c>
      <c r="D1226" s="17" t="inlineStr">
        <is>
          <t>Charcuterie artisanale et terrines</t>
        </is>
      </c>
      <c r="E1226" s="18" t="inlineStr">
        <is>
          <t>Charcuterie artisanale au meilleur prix | Pour De Bon</t>
        </is>
      </c>
      <c r="F1226" s="17" t="inlineStr">
        <is>
          <t>Charcuterie en ligne : jambons, saucissons, pâtés et terrines de charcutiers artisans et meilleurs ouvriers de France, livrés en frais à domicile dès 60 €.</t>
        </is>
      </c>
      <c r="G1226" s="19" t="inlineStr">
        <is>
          <t>https://www.pourdebon.com/charcuterie-c4</t>
        </is>
      </c>
      <c r="H1226" s="20" t="n">
        <v>816</v>
      </c>
      <c r="I1226" s="20" t="n">
        <v>8</v>
      </c>
      <c r="J1226" s="21">
        <f>IF(H1226=0,0,I1226/H1226)</f>
        <v/>
      </c>
    </row>
    <row r="1227">
      <c r="A1227" s="17" t="inlineStr">
        <is>
          <t>Pour de Bon</t>
        </is>
      </c>
      <c r="B1227" s="17" t="inlineStr">
        <is>
          <t>Live</t>
        </is>
      </c>
      <c r="C1227" s="17" t="inlineStr">
        <is>
          <t>Pour De Bon</t>
        </is>
      </c>
      <c r="D1227" s="17" t="inlineStr">
        <is>
          <t>Légumes frais et de saison</t>
        </is>
      </c>
      <c r="E1227" s="18" t="inlineStr">
        <is>
          <t>Légumes frais de producteurs prix bas | Pour De Bon</t>
        </is>
      </c>
      <c r="F1227" s="17" t="inlineStr">
        <is>
          <t>Légumes frais de La Ferme des Prun’Elles, Ferme Joos et L’Oliveraie du Coudon : commandez directement au maraîcher, livraison à domicile dès 20 € de commande.</t>
        </is>
      </c>
      <c r="G1227" s="19" t="inlineStr">
        <is>
          <t>https://www.pourdebon.com/legumes-c21</t>
        </is>
      </c>
      <c r="H1227" s="20" t="n">
        <v>814</v>
      </c>
      <c r="I1227" s="20" t="n">
        <v>4</v>
      </c>
      <c r="J1227" s="21">
        <f>IF(H1227=0,0,I1227/H1227)</f>
        <v/>
      </c>
    </row>
    <row r="1228">
      <c r="A1228" s="17" t="inlineStr">
        <is>
          <t>PV</t>
        </is>
      </c>
      <c r="B1228" s="17" t="inlineStr">
        <is>
          <t>Live</t>
        </is>
      </c>
      <c r="C1228" s="17" t="inlineStr">
        <is>
          <t>Pierre &amp; Vacances</t>
        </is>
      </c>
      <c r="D1228" s="17" t="inlineStr">
        <is>
          <t>Travel and Tourism</t>
        </is>
      </c>
      <c r="E1228" s="18" t="inlineStr">
        <is>
          <t>Location de vacances France et Europe | Pierre et Vacances</t>
        </is>
      </c>
      <c r="F1228" s="17" t="inlineStr">
        <is>
          <t>Louez un appartement ou une résidence Pierre &amp; Vacances, à la mer comme à la montagne, en France et en Europe.</t>
        </is>
      </c>
      <c r="G1228" s="19" t="inlineStr">
        <is>
          <t>http://www.jdoqocy.com/click-101713520-17329047</t>
        </is>
      </c>
      <c r="H1228" s="20" t="n">
        <v>321474</v>
      </c>
      <c r="I1228" s="20" t="n">
        <v>1622</v>
      </c>
      <c r="J1228" s="21">
        <f>IF(H1228=0,0,I1228/H1228)</f>
        <v/>
      </c>
    </row>
    <row r="1229">
      <c r="A1229" s="17" t="inlineStr">
        <is>
          <t>PV</t>
        </is>
      </c>
      <c r="B1229" s="17" t="inlineStr">
        <is>
          <t>Live</t>
        </is>
      </c>
      <c r="C1229" s="17" t="inlineStr">
        <is>
          <t>Pierre &amp; Vacances</t>
        </is>
      </c>
      <c r="D1229" s="17" t="inlineStr">
        <is>
          <t>Travel and Tourism</t>
        </is>
      </c>
      <c r="E1229" s="18" t="inlineStr">
        <is>
          <t>Vacances à la montagne en Hiver | Pierre &amp; Vacances</t>
        </is>
      </c>
      <c r="F1229" s="17" t="inlineStr">
        <is>
          <t>Séjours à la montagne cet hiver : réservez votre résidence Pierre &amp; Vacances, près des pistes.</t>
        </is>
      </c>
      <c r="G1229" s="19" t="inlineStr">
        <is>
          <t>http://www.jdoqocy.com/click-101713520-15893190</t>
        </is>
      </c>
      <c r="H1229" s="20" t="n">
        <v>317479</v>
      </c>
      <c r="I1229" s="20" t="n">
        <v>1522</v>
      </c>
      <c r="J1229" s="21">
        <f>IF(H1229=0,0,I1229/H1229)</f>
        <v/>
      </c>
    </row>
    <row r="1230">
      <c r="A1230" s="17" t="inlineStr">
        <is>
          <t>Allo Pneus</t>
        </is>
      </c>
      <c r="B1230" s="17" t="inlineStr">
        <is>
          <t>Live</t>
        </is>
      </c>
      <c r="C1230" s="17" t="inlineStr">
        <is>
          <t>Allo Pneus</t>
        </is>
      </c>
      <c r="D1230" s="17" t="inlineStr">
        <is>
          <t>Scooters, Motorbikes, and E-bikes</t>
        </is>
      </c>
      <c r="E1230" s="18" t="inlineStr">
        <is>
          <t>Pneus moto et scooter pas chers | Allo Pneus</t>
        </is>
      </c>
      <c r="F1230" s="17" t="inlineStr">
        <is>
          <t>Comparez les pneus moto et scooter Michelin, Bridgestone, Pirelli et Metzeler par dimension, et faites-les monter près de chez vous.</t>
        </is>
      </c>
      <c r="G1230" s="19" t="inlineStr">
        <is>
          <t>https://lb.affilae.com/r/?p=61b9aae6d4b9873f6d45ef3d&amp;af=546&amp;lp=https%3A%2F%2Fwww.allopneus.com%2Fproduit%2Fpneu-moto%2Fmichelin%2Fscooter%2Fcity-grip-2%2F140-70-14-68-s%2F0005506619%3Futm_source%3Daffilae%26utm_medium%3Daffiliation%26utm_campaign%3Dlemrock</t>
        </is>
      </c>
      <c r="H1230" s="20" t="n">
        <v>31123</v>
      </c>
      <c r="I1230" s="20" t="n">
        <v>163</v>
      </c>
      <c r="J1230" s="21">
        <f>IF(H1230=0,0,I1230/H1230)</f>
        <v/>
      </c>
    </row>
    <row r="1231">
      <c r="A1231" s="17" t="inlineStr">
        <is>
          <t>Allo Pneus</t>
        </is>
      </c>
      <c r="B1231" s="17" t="inlineStr">
        <is>
          <t>Live</t>
        </is>
      </c>
      <c r="C1231" s="17" t="inlineStr">
        <is>
          <t>Allo Pneus</t>
        </is>
      </c>
      <c r="D1231" s="17" t="inlineStr">
        <is>
          <t>Scooters, Motorbikes, and E-bikes</t>
        </is>
      </c>
      <c r="E1231" s="18" t="inlineStr">
        <is>
          <t>Pneus moto et scooter pas chers | Allo Pneus</t>
        </is>
      </c>
      <c r="F1231" s="17" t="inlineStr">
        <is>
          <t>Comparez les pneus moto et scooter Michelin, Bridgestone, Pirelli et Metzeler par dimension, et faites-les monter près de chez vous.</t>
        </is>
      </c>
      <c r="G1231" s="19" t="inlineStr">
        <is>
          <t>https://lb.affilae.com/r/?p=61b9aae6d4b9873f6d45ef3d&amp;af=546&amp;lp=https%3A%2F%2Fwww.allopneus.com%2Fproduit%2Fpneu-moto%2Fmetzeler%2Fsport-route%2Froadtec-z6%2F120-70r17-58-w%2F0000342194%3Futm_source%3Daffilae%26utm_medium%3Daffiliation%26utm_campaign%3Dlemrock</t>
        </is>
      </c>
      <c r="H1231" s="20" t="n">
        <v>27614</v>
      </c>
      <c r="I1231" s="20" t="n">
        <v>58</v>
      </c>
      <c r="J1231" s="21">
        <f>IF(H1231=0,0,I1231/H1231)</f>
        <v/>
      </c>
    </row>
    <row r="1232">
      <c r="A1232" s="17" t="inlineStr">
        <is>
          <t>Allo Pneus</t>
        </is>
      </c>
      <c r="B1232" s="17" t="inlineStr">
        <is>
          <t>Live</t>
        </is>
      </c>
      <c r="C1232" s="17" t="inlineStr">
        <is>
          <t>Allo Pneus</t>
        </is>
      </c>
      <c r="D1232" s="17" t="inlineStr">
        <is>
          <t>Pneus SUV et 4x4</t>
        </is>
      </c>
      <c r="E1232" s="18" t="inlineStr">
        <is>
          <t>Pneu Continental SPORTCONTACT 7 225/40R18 92Y</t>
        </is>
      </c>
      <c r="F1232" s="17" t="inlineStr">
        <is>
          <t>Leader de la vente de pneus pas chers en ligne, retrouvez avec Allopneus le pneu Continental SPORTCONTACT 7 225/40R18 92Y. Montage en centre ou à domicile !</t>
        </is>
      </c>
      <c r="G1232" s="19" t="inlineStr">
        <is>
          <t>https://lb.affilae.com/r/?p=61b9aae6d4b9873f6d45ef3d&amp;af=546&amp;lp=https%3A%2F%2Fwww.allopneus.com%2Fproduit%2Fpneu-auto%2Fcontinental%2Ftourisme-ete%2Fsportcontact-7%2F225-40r18-92y%2F0006167021%3Futm_source%3Daffilae%26utm_medium%3Daffiliation%26utm_campaign%3Dlemrock</t>
        </is>
      </c>
      <c r="H1232" s="20" t="n">
        <v>16759</v>
      </c>
      <c r="I1232" s="20" t="n">
        <v>55</v>
      </c>
      <c r="J1232" s="21">
        <f>IF(H1232=0,0,I1232/H1232)</f>
        <v/>
      </c>
    </row>
    <row r="1233">
      <c r="A1233" s="17" t="inlineStr">
        <is>
          <t>Allo Pneus</t>
        </is>
      </c>
      <c r="B1233" s="17" t="inlineStr">
        <is>
          <t>Live</t>
        </is>
      </c>
      <c r="C1233" s="17" t="inlineStr">
        <is>
          <t>Allo Pneus</t>
        </is>
      </c>
      <c r="D1233" s="17" t="inlineStr">
        <is>
          <t>Pneus SUV et 4x4</t>
        </is>
      </c>
      <c r="E1233" s="18" t="inlineStr">
        <is>
          <t>Pneu Bridgestone Battlax S21 120/70R17 58 W - ALLOPNEUS.COM</t>
        </is>
      </c>
      <c r="F1233" s="17" t="inlineStr">
        <is>
          <t>Leader de la vente de pneus pas chers en ligne, retrouvez avec Allopneus le pneu Bridgestone Battlax S21 120/70R17 58 W. Montage en centre ou à domicile !</t>
        </is>
      </c>
      <c r="G1233" s="19" t="inlineStr">
        <is>
          <t>https://lb.affilae.com/r/?p=61b9aae6d4b9873f6d45ef3d&amp;af=546&amp;lp=https%3A%2F%2Fwww.allopneus.com%2Fproduit%2Fpneu-moto%2Fbridgestone%2Fsport-route%2Fbattlax-s21%2F120-70r17-58-w%2F0004257947%3Futm_source%3Daffilae%26utm_medium%3Daffiliation%26utm_campaign%3Dlemrock</t>
        </is>
      </c>
      <c r="H1233" s="20" t="n">
        <v>14094</v>
      </c>
      <c r="I1233" s="20" t="n">
        <v>39</v>
      </c>
      <c r="J1233" s="21">
        <f>IF(H1233=0,0,I1233/H1233)</f>
        <v/>
      </c>
    </row>
    <row r="1234">
      <c r="A1234" s="17" t="inlineStr">
        <is>
          <t>Allo Pneus</t>
        </is>
      </c>
      <c r="B1234" s="17" t="inlineStr">
        <is>
          <t>Live</t>
        </is>
      </c>
      <c r="C1234" s="17" t="inlineStr">
        <is>
          <t>Allo Pneus</t>
        </is>
      </c>
      <c r="D1234" s="17" t="inlineStr">
        <is>
          <t>Pneus SUV et 4x4</t>
        </is>
      </c>
      <c r="E1234" s="18" t="inlineStr">
        <is>
          <t>Pneu Michelin CITY GRIP 2 140/70-14 68 S - ALLOPNEUS.COM</t>
        </is>
      </c>
      <c r="F1234" s="17" t="inlineStr">
        <is>
          <t>Leader de la vente de pneus pas chers en ligne, retrouvez avec Allopneus le pneu Michelin CITY GRIP 2 140/70-14 68 S. Montage en centre ou à domicile !</t>
        </is>
      </c>
      <c r="G1234" s="19" t="inlineStr">
        <is>
          <t>https://lb.affilae.com/r/?p=61b9aae6d4b9873f6d45ef3d&amp;af=546&amp;lp=https%3A%2F%2Fwww.allopneus.com%2Fproduit%2Fpneu-moto%2Fmichelin%2Fscooter%2Fcity-grip-2%2F140-70-14-68-s%2F0005506619%3Futm_source%3Daffilae%26utm_medium%3Daffiliation%26utm_campaign%3Dlemrock</t>
        </is>
      </c>
      <c r="H1234" s="20" t="n">
        <v>12610</v>
      </c>
      <c r="I1234" s="20" t="n">
        <v>38</v>
      </c>
      <c r="J1234" s="21">
        <f>IF(H1234=0,0,I1234/H1234)</f>
        <v/>
      </c>
    </row>
    <row r="1235">
      <c r="A1235" s="17" t="inlineStr">
        <is>
          <t>Allo Pneus</t>
        </is>
      </c>
      <c r="B1235" s="17" t="inlineStr">
        <is>
          <t>Live</t>
        </is>
      </c>
      <c r="C1235" s="17" t="inlineStr">
        <is>
          <t>Allo Pneus</t>
        </is>
      </c>
      <c r="D1235" s="17" t="inlineStr">
        <is>
          <t>Automotive Products</t>
        </is>
      </c>
      <c r="E1235" s="18" t="inlineStr">
        <is>
          <t>Pneu Goodyear EFFICIENTGRIP CARGO 2 215/65R16 109T</t>
        </is>
      </c>
      <c r="F1235" s="17" t="inlineStr">
        <is>
          <t>Leader de la vente de pneus pas chers en ligne, retrouvez avec Allopneus le pneu Goodyear EFFICIENTGRIP CARGO 2 215/65R16 109T. Montage en centre ou à domicile !</t>
        </is>
      </c>
      <c r="G1235" s="19" t="inlineStr">
        <is>
          <t>https://lb.affilae.com/r/?p=61b9aae6d4b9873f6d45ef3d&amp;af=546&amp;lp=https%3A%2F%2Fwww.allopneus.com%2Fproduit%2Fpneu-auto%2Fgoodyear%2Fcamionnette-ete%2Fefficientgrip-cargo-2%2F215-65r16-109t%2F0006162913%3Futm_source%3Daffilae%26utm_medium%3Daffiliation%26utm_campaign%3Dlemrock</t>
        </is>
      </c>
      <c r="H1235" s="20" t="n">
        <v>12413</v>
      </c>
      <c r="I1235" s="20" t="n">
        <v>23</v>
      </c>
      <c r="J1235" s="21">
        <f>IF(H1235=0,0,I1235/H1235)</f>
        <v/>
      </c>
    </row>
    <row r="1236">
      <c r="A1236" s="17" t="inlineStr">
        <is>
          <t>Allo Pneus</t>
        </is>
      </c>
      <c r="B1236" s="17" t="inlineStr">
        <is>
          <t>Live</t>
        </is>
      </c>
      <c r="C1236" s="17" t="inlineStr">
        <is>
          <t>Allo Pneus</t>
        </is>
      </c>
      <c r="D1236" s="17" t="inlineStr">
        <is>
          <t>Automotive Products</t>
        </is>
      </c>
      <c r="E1236" s="18" t="inlineStr">
        <is>
          <t>Pneu Kleber QUADRAXER SUV 225/55R18 102V - ALLOPNEUS.COM</t>
        </is>
      </c>
      <c r="F1236" s="17" t="inlineStr">
        <is>
          <t>Leader de la vente de pneus pas chers en ligne, retrouvez avec Allopneus le pneu Kleber QUADRAXER SUV 225/55R18 102V. Montage en centre ou à domicile !</t>
        </is>
      </c>
      <c r="G1236" s="19" t="inlineStr">
        <is>
          <t>https://lb.affilae.com/r/?p=61b9aae6d4b9873f6d45ef3d&amp;af=546&amp;lp=https%3A%2F%2Fwww.allopneus.com%2Fproduit%2Fpneu-auto%2Fkleber%2F4x4-4saisons%2Fquadraxer-suv%2F225-55r18-102v%2F0005944280%3Futm_source%3Daffilae%26utm_medium%3Daffiliation%26utm_campaign%3Dlemrock</t>
        </is>
      </c>
      <c r="H1236" s="20" t="n">
        <v>11430</v>
      </c>
      <c r="I1236" s="20" t="n">
        <v>46</v>
      </c>
      <c r="J1236" s="21">
        <f>IF(H1236=0,0,I1236/H1236)</f>
        <v/>
      </c>
    </row>
    <row r="1237">
      <c r="A1237" s="17" t="inlineStr">
        <is>
          <t>Allo Pneus</t>
        </is>
      </c>
      <c r="B1237" s="17" t="inlineStr">
        <is>
          <t>Live</t>
        </is>
      </c>
      <c r="C1237" s="17" t="inlineStr">
        <is>
          <t>Allo Pneus</t>
        </is>
      </c>
      <c r="D1237" s="17" t="inlineStr">
        <is>
          <t>Automotive Products</t>
        </is>
      </c>
      <c r="E1237" s="18" t="inlineStr">
        <is>
          <t>Pneus auto et moto au meilleur prix | Allopneus</t>
        </is>
      </c>
      <c r="F1237" s="17" t="inlineStr">
        <is>
          <t>Le pneu Bridgestone Battlax S21 120/70R17 58 W en ligne chez Allopneus, spécialiste du pneu pas cher, avec montage en centre ou à domicile.</t>
        </is>
      </c>
      <c r="G1237" s="19" t="inlineStr">
        <is>
          <t>https://lb.affilae.com/r/?p=61b9aae6d4b9873f6d45ef3d&amp;af=546&amp;lp=https%3A%2F%2Fwww.allopneus.com%2Fproduit%2Fpneu-moto%2Fbridgestone%2Fsport-route%2Fbattlax-s21%2F120-70r17-58-w%2F0004257947%3Futm_source%3Daffilae%26utm_medium%3Daffiliation%26utm_campaign%3Dlemrock</t>
        </is>
      </c>
      <c r="H1237" s="20" t="n">
        <v>11366</v>
      </c>
      <c r="I1237" s="20" t="n">
        <v>33</v>
      </c>
      <c r="J1237" s="21">
        <f>IF(H1237=0,0,I1237/H1237)</f>
        <v/>
      </c>
    </row>
    <row r="1238">
      <c r="A1238" s="17" t="inlineStr">
        <is>
          <t>Allo Pneus</t>
        </is>
      </c>
      <c r="B1238" s="17" t="inlineStr">
        <is>
          <t>Live</t>
        </is>
      </c>
      <c r="C1238" s="17" t="inlineStr">
        <is>
          <t>Allo Pneus</t>
        </is>
      </c>
      <c r="D1238" s="17" t="inlineStr">
        <is>
          <t>Pneus SUV et 4x4</t>
        </is>
      </c>
      <c r="E1238" s="18" t="inlineStr">
        <is>
          <t>Pneu Kleber DYNAXER HP5 SUV 215/55R18 99V - ALLOPNEUS.COM</t>
        </is>
      </c>
      <c r="F1238" s="17" t="inlineStr">
        <is>
          <t>Leader de la vente de pneus pas chers en ligne, retrouvez avec Allopneus le pneu Kleber DYNAXER HP5 SUV 215/55R18 99V. Montage en centre ou à domicile !</t>
        </is>
      </c>
      <c r="G1238" s="19" t="inlineStr">
        <is>
          <t>https://lb.affilae.com/r/?p=61b9aae6d4b9873f6d45ef3d&amp;af=546&amp;lp=https%3A%2F%2Fwww.allopneus.com%2Fproduit%2Fpneu-auto%2Fkleber%2F4x4-ete%2Fdynaxer-hp5-suv%2F215-55r18-99v%2F0006776418%3Futm_source%3Daffilae%26utm_medium%3Daffiliation%26utm_campaign%3Dlemrock</t>
        </is>
      </c>
      <c r="H1238" s="20" t="n">
        <v>11244</v>
      </c>
      <c r="I1238" s="20" t="n">
        <v>62</v>
      </c>
      <c r="J1238" s="21">
        <f>IF(H1238=0,0,I1238/H1238)</f>
        <v/>
      </c>
    </row>
    <row r="1239">
      <c r="A1239" s="17" t="inlineStr">
        <is>
          <t>Allo Pneus</t>
        </is>
      </c>
      <c r="B1239" s="17" t="inlineStr">
        <is>
          <t>Live</t>
        </is>
      </c>
      <c r="C1239" s="17" t="inlineStr">
        <is>
          <t>Allo Pneus</t>
        </is>
      </c>
      <c r="D1239" s="17" t="inlineStr">
        <is>
          <t>Automotive Products</t>
        </is>
      </c>
      <c r="E1239" s="18" t="inlineStr">
        <is>
          <t>Pneus auto et moto au meilleur prix | Allopneus</t>
        </is>
      </c>
      <c r="F1239" s="17" t="inlineStr">
        <is>
          <t>Commandez le pneu Bridgestone BATTLAX SCOOTER SC2 160/60R15 67 H chez Allopneus, leader de la vente de pneus pas chers en ligne, et faites-le monter en centre ou à domicile.</t>
        </is>
      </c>
      <c r="G1239" s="19" t="inlineStr">
        <is>
          <t>https://lb.affilae.com/r/?p=61b9aae6d4b9873f6d45ef3d&amp;af=546&amp;lp=https%3A%2F%2Fwww.allopneus.com%2Fproduit%2Fpneu-moto%2Fbridgestone%2Fscooter%2Fbattlax-scooter-sc2%2F160-60r15-67-h%2F0004771525%3Futm_source%3Daffilae%26utm_medium%3Daffiliation%26utm_campaign%3Dlemrock</t>
        </is>
      </c>
      <c r="H1239" s="20" t="n">
        <v>10993</v>
      </c>
      <c r="I1239" s="20" t="n">
        <v>35</v>
      </c>
      <c r="J1239" s="21">
        <f>IF(H1239=0,0,I1239/H1239)</f>
        <v/>
      </c>
    </row>
    <row r="1240">
      <c r="A1240" s="17" t="inlineStr">
        <is>
          <t>Allo Pneus</t>
        </is>
      </c>
      <c r="B1240" s="17" t="inlineStr">
        <is>
          <t>Live</t>
        </is>
      </c>
      <c r="C1240" s="17" t="inlineStr">
        <is>
          <t>Allo Pneus</t>
        </is>
      </c>
      <c r="D1240" s="17" t="inlineStr">
        <is>
          <t>Pneus SUV et 4x4</t>
        </is>
      </c>
      <c r="E1240" s="18" t="inlineStr">
        <is>
          <t>Pneu Metzeler ROADTEC Z6 120/70R17 58 W - ALLOPNEUS.COM</t>
        </is>
      </c>
      <c r="F1240" s="17" t="inlineStr">
        <is>
          <t>Leader de la vente de pneus pas chers en ligne, retrouvez avec Allopneus le pneu Metzeler ROADTEC Z6 120/70R17 58 W. Montage en centre ou à domicile !</t>
        </is>
      </c>
      <c r="G1240" s="19" t="inlineStr">
        <is>
          <t>https://lb.affilae.com/r/?p=61b9aae6d4b9873f6d45ef3d&amp;af=546&amp;lp=https%3A%2F%2Fwww.allopneus.com%2Fproduit%2Fpneu-moto%2Fmetzeler%2Fsport-route%2Froadtec-z6%2F120-70r17-58-w%2F0000342194%3Futm_source%3Daffilae%26utm_medium%3Daffiliation%26utm_campaign%3Dlemrock</t>
        </is>
      </c>
      <c r="H1240" s="20" t="n">
        <v>10683</v>
      </c>
      <c r="I1240" s="20" t="n">
        <v>35</v>
      </c>
      <c r="J1240" s="21">
        <f>IF(H1240=0,0,I1240/H1240)</f>
        <v/>
      </c>
    </row>
    <row r="1241">
      <c r="A1241" s="17" t="inlineStr">
        <is>
          <t>Allo Pneus</t>
        </is>
      </c>
      <c r="B1241" s="17" t="inlineStr">
        <is>
          <t>Live</t>
        </is>
      </c>
      <c r="C1241" s="17" t="inlineStr">
        <is>
          <t>Allo Pneus</t>
        </is>
      </c>
      <c r="D1241" s="17" t="inlineStr">
        <is>
          <t>Pneus SUV et 4x4</t>
        </is>
      </c>
      <c r="E1241" s="18" t="inlineStr">
        <is>
          <t>Pneu Michelin PILOT ROAD 4 120/70R17 58 W - ALLOPNEUS.COM</t>
        </is>
      </c>
      <c r="F1241" s="17" t="inlineStr">
        <is>
          <t>Leader de la vente de pneus pas chers en ligne, retrouvez avec Allopneus le pneu Michelin PILOT ROAD 4 120/70R17 58 W. Montage en centre ou à domicile !</t>
        </is>
      </c>
      <c r="G1241" s="19" t="inlineStr">
        <is>
          <t>https://lb.affilae.com/r/?p=61b9aae6d4b9873f6d45ef3d&amp;af=546&amp;lp=https%3A%2F%2Fwww.allopneus.com%2Fproduit%2Fpneu-moto%2Fmichelin%2Fsport-route%2Fpilot-road-4%2F120-70r17-58-w%2F0003783411%3Futm_source%3Daffilae%26utm_medium%3Daffiliation%26utm_campaign%3Dlemrock</t>
        </is>
      </c>
      <c r="H1241" s="20" t="n">
        <v>10180</v>
      </c>
      <c r="I1241" s="20" t="n">
        <v>32</v>
      </c>
      <c r="J1241" s="21">
        <f>IF(H1241=0,0,I1241/H1241)</f>
        <v/>
      </c>
    </row>
    <row r="1242">
      <c r="A1242" s="17" t="inlineStr">
        <is>
          <t>Allo Pneus</t>
        </is>
      </c>
      <c r="B1242" s="17" t="inlineStr">
        <is>
          <t>Live</t>
        </is>
      </c>
      <c r="C1242" s="17" t="inlineStr">
        <is>
          <t>Allo Pneus</t>
        </is>
      </c>
      <c r="D1242" s="17" t="inlineStr">
        <is>
          <t>Pneus SUV et 4x4</t>
        </is>
      </c>
      <c r="E1242" s="18" t="inlineStr">
        <is>
          <t>Pneu Kleber TRANSPRO 4S 215/65R16 109R - ALLOPNEUS.COM</t>
        </is>
      </c>
      <c r="F1242" s="17" t="inlineStr">
        <is>
          <t>Leader de la vente de pneus pas chers en ligne, retrouvez avec Allopneus le pneu Kleber TRANSPRO 4S 215/65R16 109R. Montage en centre ou à domicile !</t>
        </is>
      </c>
      <c r="G1242" s="19" t="inlineStr">
        <is>
          <t>https://lb.affilae.com/r/?p=61b9aae6d4b9873f6d45ef3d&amp;af=546&amp;lp=https%3A%2F%2Fwww.allopneus.com%2Fproduit%2Fpneu-auto%2Fkleber%2Fcamionnette-4saisons%2Ftranspro-4s%2F215-65r16-109r%2F0004519429%3Futm_source%3Daffilae%26utm_medium%3Daffiliation%26utm_campaign%3Dlemrock</t>
        </is>
      </c>
      <c r="H1242" s="20" t="n">
        <v>10016</v>
      </c>
      <c r="I1242" s="20" t="n">
        <v>25</v>
      </c>
      <c r="J1242" s="21">
        <f>IF(H1242=0,0,I1242/H1242)</f>
        <v/>
      </c>
    </row>
    <row r="1243">
      <c r="A1243" s="17" t="inlineStr">
        <is>
          <t>Allo Pneus</t>
        </is>
      </c>
      <c r="B1243" s="17" t="inlineStr">
        <is>
          <t>Live</t>
        </is>
      </c>
      <c r="C1243" s="17" t="inlineStr">
        <is>
          <t>Allo Pneus</t>
        </is>
      </c>
      <c r="D1243" s="17" t="inlineStr">
        <is>
          <t>Pneus SUV et 4x4</t>
        </is>
      </c>
      <c r="E1243" s="18" t="inlineStr">
        <is>
          <t>Pneu Falken EUROALL SEASON AS210 195/65R15 91H</t>
        </is>
      </c>
      <c r="F1243" s="17" t="inlineStr">
        <is>
          <t>Leader de la vente de pneus pas chers en ligne, retrouvez avec Allopneus le pneu Falken EUROALL SEASON AS210 195/65R15 91H. Montage en centre ou à domicile !</t>
        </is>
      </c>
      <c r="G1243" s="19" t="inlineStr">
        <is>
          <t>https://lb.affilae.com/r/?p=61b9aae6d4b9873f6d45ef3d&amp;af=546&amp;lp=https%3A%2F%2Fwww.allopneus.com%2Fproduit%2Fpneu-auto%2Ffalken%2Ftourisme-4saisons%2Feuroall-season-as210%2F195-65r15-91h%2F0002042432%3Futm_source%3Daffilae%26utm_medium%3Daffiliation%26utm_campaign%3Dlemrock</t>
        </is>
      </c>
      <c r="H1243" s="20" t="n">
        <v>9818</v>
      </c>
      <c r="I1243" s="20" t="n">
        <v>34</v>
      </c>
      <c r="J1243" s="21">
        <f>IF(H1243=0,0,I1243/H1243)</f>
        <v/>
      </c>
    </row>
    <row r="1244">
      <c r="A1244" s="17" t="inlineStr">
        <is>
          <t>Allo Pneus</t>
        </is>
      </c>
      <c r="B1244" s="17" t="inlineStr">
        <is>
          <t>Live</t>
        </is>
      </c>
      <c r="C1244" s="17" t="inlineStr">
        <is>
          <t>Allo Pneus</t>
        </is>
      </c>
      <c r="D1244" s="17" t="inlineStr">
        <is>
          <t>Automotive Products</t>
        </is>
      </c>
      <c r="E1244" s="18" t="inlineStr">
        <is>
          <t>Pneu Kleber TRANSPRO 4S 215/65R16 109R - ALLOPNEUS.COM</t>
        </is>
      </c>
      <c r="F1244" s="17" t="inlineStr">
        <is>
          <t>Leader de la vente de pneus pas chers en ligne, retrouvez avec Allopneus le pneu Kleber TRANSPRO 4S 215/65R16 109R. Montage en centre ou à domicile !</t>
        </is>
      </c>
      <c r="G1244" s="19" t="inlineStr">
        <is>
          <t>https://lb.affilae.com/r/?p=61b9aae6d4b9873f6d45ef3d&amp;af=546&amp;lp=https%3A%2F%2Fwww.allopneus.com%2Fproduit%2Fpneu-auto%2Fkleber%2Fcamionnette-4saisons%2Ftranspro-4s%2F215-65r16-109r%2F0004519429%3Futm_source%3Daffilae%26utm_medium%3Daffiliation%26utm_campaign%3Dlemrock</t>
        </is>
      </c>
      <c r="H1244" s="20" t="n">
        <v>9074</v>
      </c>
      <c r="I1244" s="20" t="n">
        <v>31</v>
      </c>
      <c r="J1244" s="21">
        <f>IF(H1244=0,0,I1244/H1244)</f>
        <v/>
      </c>
    </row>
    <row r="1245">
      <c r="A1245" s="17" t="inlineStr">
        <is>
          <t>Allo Pneus</t>
        </is>
      </c>
      <c r="B1245" s="17" t="inlineStr">
        <is>
          <t>Live</t>
        </is>
      </c>
      <c r="C1245" s="17" t="inlineStr">
        <is>
          <t>Allo Pneus</t>
        </is>
      </c>
      <c r="D1245" s="17" t="inlineStr">
        <is>
          <t>Automotive Products</t>
        </is>
      </c>
      <c r="E1245" s="18" t="inlineStr">
        <is>
          <t>Pneu Goodtrip SAFEGUARD 175/65R14 90T - ALLOPNEUS.COM</t>
        </is>
      </c>
      <c r="F1245" s="17" t="inlineStr">
        <is>
          <t>Leader de la vente de pneus pas chers en ligne, retrouvez avec Allopneus le pneu Goodtrip SAFEGUARD 175/65R14 90T. Montage en centre ou à domicile !</t>
        </is>
      </c>
      <c r="G1245" s="19" t="inlineStr">
        <is>
          <t>https://lb.affilae.com/r/?p=61b9aae6d4b9873f6d45ef3d&amp;af=546&amp;lp=https%3A%2F%2Fwww.allopneus.com%2Fproduit%2Fpneu-auto%2Fgoodtrip%2Fcamionnette-ete%2Fsafeguard%2F175-65r14-90t%2F0002044545%3Futm_source%3Daffilae%26utm_medium%3Daffiliation%26utm_campaign%3Dlemrock</t>
        </is>
      </c>
      <c r="H1245" s="20" t="n">
        <v>9032</v>
      </c>
      <c r="I1245" s="20" t="n">
        <v>28</v>
      </c>
      <c r="J1245" s="21">
        <f>IF(H1245=0,0,I1245/H1245)</f>
        <v/>
      </c>
    </row>
    <row r="1246">
      <c r="A1246" s="17" t="inlineStr">
        <is>
          <t>Allo Pneus</t>
        </is>
      </c>
      <c r="B1246" s="17" t="inlineStr">
        <is>
          <t>Live</t>
        </is>
      </c>
      <c r="C1246" s="17" t="inlineStr">
        <is>
          <t>Allo Pneus</t>
        </is>
      </c>
      <c r="D1246" s="17" t="inlineStr">
        <is>
          <t>Pneus SUV et 4x4</t>
        </is>
      </c>
      <c r="E1246" s="18" t="inlineStr">
        <is>
          <t>Pneu Dunlop SPORT ALL SEASON 205/55R16 91V - ALLOPNEUS.COM</t>
        </is>
      </c>
      <c r="F1246" s="17" t="inlineStr">
        <is>
          <t>Leader de la vente de pneus pas chers en ligne, retrouvez avec Allopneus le pneu Dunlop SPORT ALL SEASON 205/55R16 91V. Montage en centre ou à domicile !</t>
        </is>
      </c>
      <c r="G1246" s="19" t="inlineStr">
        <is>
          <t>https://lb.affilae.com/r/?p=61b9aae6d4b9873f6d45ef3d&amp;af=546&amp;lp=https%3A%2F%2Fwww.allopneus.com%2Fproduit%2Fpneu-auto%2Fdunlop%2Ftourisme-4saisons%2Fsport-all-season%2F205-55r16-91v%2F0005674634%3Futm_source%3Daffilae%26utm_medium%3Daffiliation%26utm_campaign%3Dlemrock</t>
        </is>
      </c>
      <c r="H1246" s="20" t="n">
        <v>8837</v>
      </c>
      <c r="I1246" s="20" t="n">
        <v>45</v>
      </c>
      <c r="J1246" s="21">
        <f>IF(H1246=0,0,I1246/H1246)</f>
        <v/>
      </c>
    </row>
    <row r="1247">
      <c r="A1247" s="17" t="inlineStr">
        <is>
          <t>Allo Pneus</t>
        </is>
      </c>
      <c r="B1247" s="17" t="inlineStr">
        <is>
          <t>Live</t>
        </is>
      </c>
      <c r="C1247" s="17" t="inlineStr">
        <is>
          <t>Allo Pneus</t>
        </is>
      </c>
      <c r="D1247" s="17" t="inlineStr">
        <is>
          <t>Pneus SUV et 4x4</t>
        </is>
      </c>
      <c r="E1247" s="18" t="inlineStr">
        <is>
          <t>Pneu Kleber QUADRAXER SUV 225/55R18 102V - ALLOPNEUS.COM</t>
        </is>
      </c>
      <c r="F1247" s="17" t="inlineStr">
        <is>
          <t>Leader de la vente de pneus pas chers en ligne, retrouvez avec Allopneus le pneu Kleber QUADRAXER SUV 225/55R18 102V. Montage en centre ou à domicile !</t>
        </is>
      </c>
      <c r="G1247" s="19" t="inlineStr">
        <is>
          <t>https://lb.affilae.com/r/?p=61b9aae6d4b9873f6d45ef3d&amp;af=546&amp;lp=https%3A%2F%2Fwww.allopneus.com%2Fproduit%2Fpneu-auto%2Fkleber%2F4x4-4saisons%2Fquadraxer-suv%2F225-55r18-102v%2F0005944280%3Futm_source%3Daffilae%26utm_medium%3Daffiliation%26utm_campaign%3Dlemrock</t>
        </is>
      </c>
      <c r="H1247" s="20" t="n">
        <v>8625</v>
      </c>
      <c r="I1247" s="20" t="n">
        <v>49</v>
      </c>
      <c r="J1247" s="21">
        <f>IF(H1247=0,0,I1247/H1247)</f>
        <v/>
      </c>
    </row>
    <row r="1248">
      <c r="A1248" s="17" t="inlineStr">
        <is>
          <t>Allo Pneus</t>
        </is>
      </c>
      <c r="B1248" s="17" t="inlineStr">
        <is>
          <t>Live</t>
        </is>
      </c>
      <c r="C1248" s="17" t="inlineStr">
        <is>
          <t>Allo Pneus</t>
        </is>
      </c>
      <c r="D1248" s="17" t="inlineStr">
        <is>
          <t>Pneus SUV et 4x4</t>
        </is>
      </c>
      <c r="E1248" s="18" t="inlineStr">
        <is>
          <t>Pneu Hankook KINERGY 4S 2 X 235/55R19 105W - ALLOPNEUS.COM</t>
        </is>
      </c>
      <c r="F1248" s="17" t="inlineStr">
        <is>
          <t>Leader de la vente de pneus pas chers en ligne, retrouvez avec Allopneus le pneu Hankook KINERGY 4S 2 X 235/55R19 105W. Montage en centre ou à domicile !</t>
        </is>
      </c>
      <c r="G1248" s="19" t="inlineStr">
        <is>
          <t>https://lb.affilae.com/r/?p=61b9aae6d4b9873f6d45ef3d&amp;af=546&amp;lp=https%3A%2F%2Fwww.allopneus.com%2Fproduit%2Fpneu-auto%2Fhankook%2F4x4-4saisons%2Fkinergy-4s-2-x%2F235-55r19-105w%2F0005071342%3Futm_source%3Daffilae%26utm_medium%3Daffiliation%26utm_campaign%3Dlemrock</t>
        </is>
      </c>
      <c r="H1248" s="20" t="n">
        <v>8491</v>
      </c>
      <c r="I1248" s="20" t="n">
        <v>36</v>
      </c>
      <c r="J1248" s="21">
        <f>IF(H1248=0,0,I1248/H1248)</f>
        <v/>
      </c>
    </row>
    <row r="1249">
      <c r="A1249" s="17" t="inlineStr">
        <is>
          <t>Allo Pneus</t>
        </is>
      </c>
      <c r="B1249" s="17" t="inlineStr">
        <is>
          <t>Live</t>
        </is>
      </c>
      <c r="C1249" s="17" t="inlineStr">
        <is>
          <t>Allo Pneus</t>
        </is>
      </c>
      <c r="D1249" s="17" t="inlineStr">
        <is>
          <t>Pneus SUV et 4x4</t>
        </is>
      </c>
      <c r="E1249" s="18" t="inlineStr">
        <is>
          <t>Pneu Dunlop SPORT BLURESPONSE 205/55R16 91V - ALLOPNEUS.COM</t>
        </is>
      </c>
      <c r="F1249" s="17" t="inlineStr">
        <is>
          <t>Leader de la vente de pneus pas chers en ligne, retrouvez avec Allopneus le pneu Dunlop SPORT BLURESPONSE 205/55R16 91V. Montage en centre ou à domicile !</t>
        </is>
      </c>
      <c r="G1249" s="19" t="inlineStr">
        <is>
          <t>https://lb.affilae.com/r/?p=61b9aae6d4b9873f6d45ef3d&amp;af=546&amp;lp=https%3A%2F%2Fwww.allopneus.com%2Fproduit%2Fpneu-auto%2Fdunlop%2Ftourisme-ete%2Fsport-bluresponse%2F205-55r16-91v%2F0003665305%3Futm_source%3Daffilae%26utm_medium%3Daffiliation%26utm_campaign%3Dlemrock</t>
        </is>
      </c>
      <c r="H1249" s="20" t="n">
        <v>8426</v>
      </c>
      <c r="I1249" s="20" t="n">
        <v>21</v>
      </c>
      <c r="J1249" s="21">
        <f>IF(H1249=0,0,I1249/H1249)</f>
        <v/>
      </c>
    </row>
    <row r="1250">
      <c r="A1250" s="17" t="inlineStr">
        <is>
          <t>Allo Pneus</t>
        </is>
      </c>
      <c r="B1250" s="17" t="inlineStr">
        <is>
          <t>Live</t>
        </is>
      </c>
      <c r="C1250" s="17" t="inlineStr">
        <is>
          <t>Allo Pneus</t>
        </is>
      </c>
      <c r="D1250" s="17" t="inlineStr">
        <is>
          <t>Pneus SUV et 4x4</t>
        </is>
      </c>
      <c r="E1250" s="18" t="inlineStr">
        <is>
          <t>Pneu Pirelli SCORPION 255/45R19 100V - ALLOPNEUS.COM</t>
        </is>
      </c>
      <c r="F1250" s="17" t="inlineStr">
        <is>
          <t>Leader de la vente de pneus pas chers en ligne, retrouvez avec Allopneus le pneu Pirelli SCORPION 255/45R19 100V. Montage en centre ou à domicile !</t>
        </is>
      </c>
      <c r="G1250" s="19" t="inlineStr">
        <is>
          <t>https://lb.affilae.com/r/?p=61b9aae6d4b9873f6d45ef3d&amp;af=546&amp;lp=https%3A%2F%2Fwww.allopneus.com%2Fproduit%2Fpneu-auto%2Fpirelli%2F4x4-ete%2Fscorpion%2F255-45r19-100v%2F0005636706%3Futm_source%3Daffilae%26utm_medium%3Daffiliation%26utm_campaign%3Dlemrock</t>
        </is>
      </c>
      <c r="H1250" s="20" t="n">
        <v>8338</v>
      </c>
      <c r="I1250" s="20" t="n">
        <v>23</v>
      </c>
      <c r="J1250" s="21">
        <f>IF(H1250=0,0,I1250/H1250)</f>
        <v/>
      </c>
    </row>
    <row r="1251">
      <c r="A1251" s="17" t="inlineStr">
        <is>
          <t>Allo Pneus</t>
        </is>
      </c>
      <c r="B1251" s="17" t="inlineStr">
        <is>
          <t>Live</t>
        </is>
      </c>
      <c r="C1251" s="17" t="inlineStr">
        <is>
          <t>Allo Pneus</t>
        </is>
      </c>
      <c r="D1251" s="17" t="inlineStr">
        <is>
          <t>Automotive Products</t>
        </is>
      </c>
      <c r="E1251" s="18" t="inlineStr">
        <is>
          <t>Pneu Continental SPORTCONTACT 7 225/40R18 92Y</t>
        </is>
      </c>
      <c r="F1251" s="17" t="inlineStr">
        <is>
          <t>Leader de la vente de pneus pas chers en ligne, retrouvez avec Allopneus le pneu Continental SPORTCONTACT 7 225/40R18 92Y. Montage en centre ou à domicile !</t>
        </is>
      </c>
      <c r="G1251" s="19" t="inlineStr">
        <is>
          <t>https://lb.affilae.com/r/?p=61b9aae6d4b9873f6d45ef3d&amp;af=546&amp;lp=https%3A%2F%2Fwww.allopneus.com%2Fproduit%2Fpneu-auto%2Fcontinental%2Ftourisme-ete%2Fsportcontact-7%2F225-40r18-92y%2F0006167021%3Futm_source%3Daffilae%26utm_medium%3Daffiliation%26utm_campaign%3Dlemrock</t>
        </is>
      </c>
      <c r="H1251" s="20" t="n">
        <v>8260</v>
      </c>
      <c r="I1251" s="20" t="n">
        <v>26</v>
      </c>
      <c r="J1251" s="21">
        <f>IF(H1251=0,0,I1251/H1251)</f>
        <v/>
      </c>
    </row>
    <row r="1252">
      <c r="A1252" s="17" t="inlineStr">
        <is>
          <t>Allo Pneus</t>
        </is>
      </c>
      <c r="B1252" s="17" t="inlineStr">
        <is>
          <t>Live</t>
        </is>
      </c>
      <c r="C1252" s="17" t="inlineStr">
        <is>
          <t>Allo Pneus</t>
        </is>
      </c>
      <c r="D1252" s="17" t="inlineStr">
        <is>
          <t>Automotive Products</t>
        </is>
      </c>
      <c r="E1252" s="18" t="inlineStr">
        <is>
          <t>Pneu Ilink WINTER IL868 205/55 R16 91H - ALLOPNEUS.COM</t>
        </is>
      </c>
      <c r="F1252" s="17" t="inlineStr">
        <is>
          <t>Leader de la vente de pneus pas chers en ligne, retrouvez avec Allopneus le pneu Ilink WINTER IL868 205/55 R16 91H. Montage en centre ou à domicile !</t>
        </is>
      </c>
      <c r="G1252" s="19" t="inlineStr">
        <is>
          <t>https://lb.affilae.com/r/?p=61b9aae6d4b9873f6d45ef3d&amp;af=546&amp;lp=https%3A%2F%2Fwww.allopneus.com%2Fproduit%2Fpneu-auto%2Filink%2Ftourisme-hiver%2Fwinter-il868%2F205-55-r16-91h%2F0002040398%3Futm_source%3Daffilae%26utm_medium%3Daffiliation%26utm_campaign%3Dlemrock</t>
        </is>
      </c>
      <c r="H1252" s="20" t="n">
        <v>8245</v>
      </c>
      <c r="I1252" s="20" t="n">
        <v>39</v>
      </c>
      <c r="J1252" s="21">
        <f>IF(H1252=0,0,I1252/H1252)</f>
        <v/>
      </c>
    </row>
    <row r="1253">
      <c r="A1253" s="17" t="inlineStr">
        <is>
          <t>Allo Pneus</t>
        </is>
      </c>
      <c r="B1253" s="17" t="inlineStr">
        <is>
          <t>Live</t>
        </is>
      </c>
      <c r="C1253" s="17" t="inlineStr">
        <is>
          <t>Allo Pneus</t>
        </is>
      </c>
      <c r="D1253" s="17" t="inlineStr">
        <is>
          <t>Pneus SUV et 4x4</t>
        </is>
      </c>
      <c r="E1253" s="18" t="inlineStr">
        <is>
          <t>Pneu Continental VanContact Ultra Camper 215/70R15 109R</t>
        </is>
      </c>
      <c r="F1253" s="17" t="inlineStr">
        <is>
          <t>Leader de la vente de pneus pas chers en ligne, retrouvez avec Allopneus le pneu Continental VanContact Ultra Camper 215/70R15 109R. Montage en centre ou à domicile !</t>
        </is>
      </c>
      <c r="G1253" s="19" t="inlineStr">
        <is>
          <t>https://lb.affilae.com/r/?p=61b9aae6d4b9873f6d45ef3d&amp;af=546&amp;lp=https%3A%2F%2Fwww.allopneus.com%2Fproduit%2Fpneu-auto%2Fcontinental%2Fcamionnette-ete%2Fvancontact-ultra-camper%2F215-70r15-109r%2F0002045446%3Futm_source%3Daffilae%26utm_medium%3Daffiliation%26utm_campaign%3Dlemrock</t>
        </is>
      </c>
      <c r="H1253" s="20" t="n">
        <v>8223</v>
      </c>
      <c r="I1253" s="20" t="n">
        <v>35</v>
      </c>
      <c r="J1253" s="21">
        <f>IF(H1253=0,0,I1253/H1253)</f>
        <v/>
      </c>
    </row>
    <row r="1254">
      <c r="A1254" s="17" t="inlineStr">
        <is>
          <t>Allo Pneus</t>
        </is>
      </c>
      <c r="B1254" s="17" t="inlineStr">
        <is>
          <t>Live</t>
        </is>
      </c>
      <c r="C1254" s="17" t="inlineStr">
        <is>
          <t>Allo Pneus</t>
        </is>
      </c>
      <c r="D1254" s="17" t="inlineStr">
        <is>
          <t>Pneus SUV et 4x4</t>
        </is>
      </c>
      <c r="E1254" s="18" t="inlineStr">
        <is>
          <t>Pneu Hankook VENTUS PRIME 3 K125A 215/65R17 99V</t>
        </is>
      </c>
      <c r="F1254" s="17" t="inlineStr">
        <is>
          <t>Leader de la vente de pneus pas chers en ligne, retrouvez avec Allopneus le pneu Hankook VENTUS PRIME 3 K125A 215/65R17 99V. Montage en centre ou à domicile !</t>
        </is>
      </c>
      <c r="G1254" s="19" t="inlineStr">
        <is>
          <t>https://lb.affilae.com/r/?p=61b9aae6d4b9873f6d45ef3d&amp;af=546&amp;lp=https%3A%2F%2Fwww.allopneus.com%2Fproduit%2Fpneu-auto%2Fhankook%2F4x4-ete%2Fventus-prime-3-k125a%2F215-65r17-99v%2F0005083951%3Futm_source%3Daffilae%26utm_medium%3Daffiliation%26utm_campaign%3Dlemrock</t>
        </is>
      </c>
      <c r="H1254" s="20" t="n">
        <v>8139</v>
      </c>
      <c r="I1254" s="20" t="n">
        <v>43</v>
      </c>
      <c r="J1254" s="21">
        <f>IF(H1254=0,0,I1254/H1254)</f>
        <v/>
      </c>
    </row>
    <row r="1255">
      <c r="A1255" s="17" t="inlineStr">
        <is>
          <t>Allo Pneus</t>
        </is>
      </c>
      <c r="B1255" s="17" t="inlineStr">
        <is>
          <t>Live</t>
        </is>
      </c>
      <c r="C1255" s="17" t="inlineStr">
        <is>
          <t>Allo Pneus</t>
        </is>
      </c>
      <c r="D1255" s="17" t="inlineStr">
        <is>
          <t>Automotive Products</t>
        </is>
      </c>
      <c r="E1255" s="18" t="inlineStr">
        <is>
          <t>Pneu Continental VANCONTACT 4SEASON 215/65R16 109T</t>
        </is>
      </c>
      <c r="F1255" s="17" t="inlineStr">
        <is>
          <t>Leader de la vente de pneus pas chers en ligne, retrouvez avec Allopneus le pneu Continental VANCONTACT 4SEASON 215/65R16 109T. Montage en centre ou à domicile !</t>
        </is>
      </c>
      <c r="G1255" s="19" t="inlineStr">
        <is>
          <t>https://lb.affilae.com/r/?p=61b9aae6d4b9873f6d45ef3d&amp;af=546&amp;lp=https%3A%2F%2Fwww.allopneus.com%2Fproduit%2Fpneu-auto%2Fcontinental%2Fcamionnette-4saisons%2Fvancontact-4season%2F215-65r16-109t%2F0004520736%3Futm_source%3Daffilae%26utm_medium%3Daffiliation%26utm_campaign%3Dlemrock</t>
        </is>
      </c>
      <c r="H1255" s="20" t="n">
        <v>8136</v>
      </c>
      <c r="I1255" s="20" t="n">
        <v>13</v>
      </c>
      <c r="J1255" s="21">
        <f>IF(H1255=0,0,I1255/H1255)</f>
        <v/>
      </c>
    </row>
    <row r="1256">
      <c r="A1256" s="17" t="inlineStr">
        <is>
          <t>Allo Pneus</t>
        </is>
      </c>
      <c r="B1256" s="17" t="inlineStr">
        <is>
          <t>Live</t>
        </is>
      </c>
      <c r="C1256" s="17" t="inlineStr">
        <is>
          <t>Allo Pneus</t>
        </is>
      </c>
      <c r="D1256" s="17" t="inlineStr">
        <is>
          <t>Pneus SUV et 4x4</t>
        </is>
      </c>
      <c r="E1256" s="18" t="inlineStr">
        <is>
          <t>Pneu Bf Goodrich ALL-TERRAIN T/A KO3 265/65R17 116S</t>
        </is>
      </c>
      <c r="F1256" s="17" t="inlineStr">
        <is>
          <t>Leader de la vente de pneus pas chers en ligne, retrouvez avec Allopneus le pneu Bf Goodrich ALL-TERRAIN T/A KO3 265/65R17 116S. Montage en centre ou à domicile !</t>
        </is>
      </c>
      <c r="G1256" s="19" t="inlineStr">
        <is>
          <t>https://lb.affilae.com/r/?p=61b9aae6d4b9873f6d45ef3d&amp;af=546&amp;lp=https%3A%2F%2Fwww.allopneus.com%2Fproduit%2Fpneu-auto%2Fbf-goodrich%2F4x4-ete%2Fall-terrain-t-a-ko3%2F265-65r17-116s%2F0002046082%3Futm_source%3Daffilae%26utm_medium%3Daffiliation%26utm_campaign%3Dlemrock</t>
        </is>
      </c>
      <c r="H1256" s="20" t="n">
        <v>8111</v>
      </c>
      <c r="I1256" s="20" t="n">
        <v>34</v>
      </c>
      <c r="J1256" s="21">
        <f>IF(H1256=0,0,I1256/H1256)</f>
        <v/>
      </c>
    </row>
    <row r="1257">
      <c r="A1257" s="17" t="inlineStr">
        <is>
          <t>Allo Pneus</t>
        </is>
      </c>
      <c r="B1257" s="17" t="inlineStr">
        <is>
          <t>Live</t>
        </is>
      </c>
      <c r="C1257" s="17" t="inlineStr">
        <is>
          <t>Allo Pneus</t>
        </is>
      </c>
      <c r="D1257" s="17" t="inlineStr">
        <is>
          <t>Pneus SUV et 4x4</t>
        </is>
      </c>
      <c r="E1257" s="18" t="inlineStr">
        <is>
          <t>Pneu Goodyear EFFICIENTGRIP CARGO 2 215/65R16 109T</t>
        </is>
      </c>
      <c r="F1257" s="17" t="inlineStr">
        <is>
          <t>Leader de la vente de pneus pas chers en ligne, retrouvez avec Allopneus le pneu Goodyear EFFICIENTGRIP CARGO 2 215/65R16 109T. Montage en centre ou à domicile !</t>
        </is>
      </c>
      <c r="G1257" s="19" t="inlineStr">
        <is>
          <t>https://lb.affilae.com/r/?p=61b9aae6d4b9873f6d45ef3d&amp;af=546&amp;lp=https%3A%2F%2Fwww.allopneus.com%2Fproduit%2Fpneu-auto%2Fgoodyear%2Fcamionnette-ete%2Fefficientgrip-cargo-2%2F215-65r16-109t%2F0006162913%3Futm_source%3Daffilae%26utm_medium%3Daffiliation%26utm_campaign%3Dlemrock</t>
        </is>
      </c>
      <c r="H1257" s="20" t="n">
        <v>8050</v>
      </c>
      <c r="I1257" s="20" t="n">
        <v>30</v>
      </c>
      <c r="J1257" s="21">
        <f>IF(H1257=0,0,I1257/H1257)</f>
        <v/>
      </c>
    </row>
    <row r="1258">
      <c r="A1258" s="17" t="inlineStr">
        <is>
          <t>Allo Pneus</t>
        </is>
      </c>
      <c r="B1258" s="17" t="inlineStr">
        <is>
          <t>Live</t>
        </is>
      </c>
      <c r="C1258" s="17" t="inlineStr">
        <is>
          <t>Allo Pneus</t>
        </is>
      </c>
      <c r="D1258" s="17" t="inlineStr">
        <is>
          <t>Pneus SUV et 4x4</t>
        </is>
      </c>
      <c r="E1258" s="18" t="inlineStr">
        <is>
          <t>Pneu Continental VANCONTACT 4SEASON 215/65R16 109T</t>
        </is>
      </c>
      <c r="F1258" s="17" t="inlineStr">
        <is>
          <t>Leader de la vente de pneus pas chers en ligne, retrouvez avec Allopneus le pneu Continental VANCONTACT 4SEASON 215/65R16 109T. Montage en centre ou à domicile !</t>
        </is>
      </c>
      <c r="G1258" s="19" t="inlineStr">
        <is>
          <t>https://lb.affilae.com/r/?p=61b9aae6d4b9873f6d45ef3d&amp;af=546&amp;lp=https%3A%2F%2Fwww.allopneus.com%2Fproduit%2Fpneu-auto%2Fcontinental%2Fcamionnette-4saisons%2Fvancontact-4season%2F215-65r16-109t%2F0004520736%3Futm_source%3Daffilae%26utm_medium%3Daffiliation%26utm_campaign%3Dlemrock</t>
        </is>
      </c>
      <c r="H1258" s="20" t="n">
        <v>7959</v>
      </c>
      <c r="I1258" s="20" t="n">
        <v>38</v>
      </c>
      <c r="J1258" s="21">
        <f>IF(H1258=0,0,I1258/H1258)</f>
        <v/>
      </c>
    </row>
    <row r="1259">
      <c r="A1259" s="17" t="inlineStr">
        <is>
          <t>Allo Pneus</t>
        </is>
      </c>
      <c r="B1259" s="17" t="inlineStr">
        <is>
          <t>Live</t>
        </is>
      </c>
      <c r="C1259" s="17" t="inlineStr">
        <is>
          <t>Allo Pneus</t>
        </is>
      </c>
      <c r="D1259" s="17" t="inlineStr">
        <is>
          <t>Automotive Products</t>
        </is>
      </c>
      <c r="E1259" s="18" t="inlineStr">
        <is>
          <t>Pneus auto et moto au meilleur prix | Allopneus</t>
        </is>
      </c>
      <c r="F1259" s="17" t="inlineStr">
        <is>
          <t>Le pneu Pirelli DIABLO ROSSO SCOOTER 160/60R15 67 H en ligne chez Allopneus, spécialiste du pneu pas cher, avec montage en centre ou à domicile.</t>
        </is>
      </c>
      <c r="G1259" s="19" t="inlineStr">
        <is>
          <t>https://lb.affilae.com/r/?p=61b9aae6d4b9873f6d45ef3d&amp;af=546&amp;lp=https%3A%2F%2Fwww.allopneus.com%2Fproduit%2Fpneu-moto%2Fpirelli%2Fscooter%2Fdiablo-rosso-scooter%2F160-60r15-67-h%2F0004529248%3Futm_source%3Daffilae%26utm_medium%3Daffiliation%26utm_campaign%3Dlemrock</t>
        </is>
      </c>
      <c r="H1259" s="20" t="n">
        <v>7899</v>
      </c>
      <c r="I1259" s="20" t="n">
        <v>37</v>
      </c>
      <c r="J1259" s="21">
        <f>IF(H1259=0,0,I1259/H1259)</f>
        <v/>
      </c>
    </row>
    <row r="1260">
      <c r="A1260" s="17" t="inlineStr">
        <is>
          <t>Allo Pneus</t>
        </is>
      </c>
      <c r="B1260" s="17" t="inlineStr">
        <is>
          <t>Live</t>
        </is>
      </c>
      <c r="C1260" s="17" t="inlineStr">
        <is>
          <t>Allo Pneus</t>
        </is>
      </c>
      <c r="D1260" s="17" t="inlineStr">
        <is>
          <t>Pneus SUV et 4x4</t>
        </is>
      </c>
      <c r="E1260" s="18" t="inlineStr">
        <is>
          <t>Pneu Continental AllSeason Contact 155/65R14 75T</t>
        </is>
      </c>
      <c r="F1260" s="17" t="inlineStr">
        <is>
          <t>Leader de la vente de pneus pas chers en ligne, retrouvez avec Allopneus le pneu Continental AllSeason Contact 155/65R14 75T. Montage en centre ou à domicile !</t>
        </is>
      </c>
      <c r="G1260" s="19" t="inlineStr">
        <is>
          <t>https://lb.affilae.com/r/?p=61b9aae6d4b9873f6d45ef3d&amp;af=546&amp;lp=https%3A%2F%2Fwww.allopneus.com%2Fproduit%2Fpneu-auto%2Fcontinental%2Ftourisme-4saisons%2Fallseason-contact%2F155-65r14-75t%2F0004770606%3Futm_source%3Daffilae%26utm_medium%3Daffiliation%26utm_campaign%3Dlemrock</t>
        </is>
      </c>
      <c r="H1260" s="20" t="n">
        <v>7869</v>
      </c>
      <c r="I1260" s="20" t="n">
        <v>35</v>
      </c>
      <c r="J1260" s="21">
        <f>IF(H1260=0,0,I1260/H1260)</f>
        <v/>
      </c>
    </row>
    <row r="1261">
      <c r="A1261" s="17" t="inlineStr">
        <is>
          <t>Allo Pneus</t>
        </is>
      </c>
      <c r="B1261" s="17" t="inlineStr">
        <is>
          <t>Live</t>
        </is>
      </c>
      <c r="C1261" s="17" t="inlineStr">
        <is>
          <t>Allo Pneus</t>
        </is>
      </c>
      <c r="D1261" s="17" t="inlineStr">
        <is>
          <t>Automotive Products</t>
        </is>
      </c>
      <c r="E1261" s="18" t="inlineStr">
        <is>
          <t>Pneus auto et moto au meilleur prix | Allopneus</t>
        </is>
      </c>
      <c r="F1261" s="17" t="inlineStr">
        <is>
          <t>Le pneu Michelin PILOT ROAD 4 120/70R17 58 W en ligne chez Allopneus, spécialiste du pneu pas cher, avec montage en centre ou à domicile.</t>
        </is>
      </c>
      <c r="G1261" s="19" t="inlineStr">
        <is>
          <t>https://lb.affilae.com/r/?p=61b9aae6d4b9873f6d45ef3d&amp;af=546&amp;lp=https%3A%2F%2Fwww.allopneus.com%2Fproduit%2Fpneu-moto%2Fmichelin%2Fsport-route%2Fpilot-road-4%2F120-70r17-58-w%2F0003783411%3Futm_source%3Daffilae%26utm_medium%3Daffiliation%26utm_campaign%3Dlemrock</t>
        </is>
      </c>
      <c r="H1261" s="20" t="n">
        <v>7807</v>
      </c>
      <c r="I1261" s="20" t="n">
        <v>32</v>
      </c>
      <c r="J1261" s="21">
        <f>IF(H1261=0,0,I1261/H1261)</f>
        <v/>
      </c>
    </row>
    <row r="1262">
      <c r="A1262" s="17" t="inlineStr">
        <is>
          <t>Allo Pneus</t>
        </is>
      </c>
      <c r="B1262" s="17" t="inlineStr">
        <is>
          <t>Live</t>
        </is>
      </c>
      <c r="C1262" s="17" t="inlineStr">
        <is>
          <t>Allo Pneus</t>
        </is>
      </c>
      <c r="D1262" s="17" t="inlineStr">
        <is>
          <t>Automotive Products</t>
        </is>
      </c>
      <c r="E1262" s="18" t="inlineStr">
        <is>
          <t>Pneu Kleber DYNAXER HP5 SUV 215/55R18 99V - ALLOPNEUS.COM</t>
        </is>
      </c>
      <c r="F1262" s="17" t="inlineStr">
        <is>
          <t>Leader de la vente de pneus pas chers en ligne, retrouvez avec Allopneus le pneu Kleber DYNAXER HP5 SUV 215/55R18 99V. Montage en centre ou à domicile !</t>
        </is>
      </c>
      <c r="G1262" s="19" t="inlineStr">
        <is>
          <t>https://lb.affilae.com/r/?p=61b9aae6d4b9873f6d45ef3d&amp;af=546&amp;lp=https%3A%2F%2Fwww.allopneus.com%2Fproduit%2Fpneu-auto%2Fkleber%2F4x4-ete%2Fdynaxer-hp5-suv%2F215-55r18-99v%2F0006776418%3Futm_source%3Daffilae%26utm_medium%3Daffiliation%26utm_campaign%3Dlemrock</t>
        </is>
      </c>
      <c r="H1262" s="20" t="n">
        <v>7796</v>
      </c>
      <c r="I1262" s="20" t="n">
        <v>27</v>
      </c>
      <c r="J1262" s="21">
        <f>IF(H1262=0,0,I1262/H1262)</f>
        <v/>
      </c>
    </row>
    <row r="1263">
      <c r="A1263" s="17" t="inlineStr">
        <is>
          <t>Allo Pneus</t>
        </is>
      </c>
      <c r="B1263" s="17" t="inlineStr">
        <is>
          <t>Live</t>
        </is>
      </c>
      <c r="C1263" s="17" t="inlineStr">
        <is>
          <t>Allo Pneus</t>
        </is>
      </c>
      <c r="D1263" s="17" t="inlineStr">
        <is>
          <t>Automotive Products</t>
        </is>
      </c>
      <c r="E1263" s="18" t="inlineStr">
        <is>
          <t>Pneus auto et moto au meilleur prix | Allopneus</t>
        </is>
      </c>
      <c r="F1263" s="17" t="inlineStr">
        <is>
          <t>Le pneu Michelin ENDURO MEDIUM 140/80-18 70 R en ligne chez Allopneus, spécialiste du pneu pas cher, avec montage en centre ou à domicile.</t>
        </is>
      </c>
      <c r="G1263" s="19" t="inlineStr">
        <is>
          <t>https://lb.affilae.com/r/?p=61b9aae6d4b9873f6d45ef3d&amp;af=546&amp;lp=https%3A%2F%2Fwww.allopneus.com%2Fproduit%2Fpneu-moto%2Fmichelin%2Fcross-enduro-trial%2Fenduro-medium%2F140-80-18-70-r%2F0004703552%3Futm_source%3Daffilae%26utm_medium%3Daffiliation%26utm_campaign%3Dlemrock</t>
        </is>
      </c>
      <c r="H1263" s="20" t="n">
        <v>7659</v>
      </c>
      <c r="I1263" s="20" t="n">
        <v>35</v>
      </c>
      <c r="J1263" s="21">
        <f>IF(H1263=0,0,I1263/H1263)</f>
        <v/>
      </c>
    </row>
    <row r="1264">
      <c r="A1264" s="17" t="inlineStr">
        <is>
          <t>Allo Pneus</t>
        </is>
      </c>
      <c r="B1264" s="17" t="inlineStr">
        <is>
          <t>Live</t>
        </is>
      </c>
      <c r="C1264" s="17" t="inlineStr">
        <is>
          <t>Allo Pneus</t>
        </is>
      </c>
      <c r="D1264" s="17" t="inlineStr">
        <is>
          <t>Automotive Products</t>
        </is>
      </c>
      <c r="E1264" s="18" t="inlineStr">
        <is>
          <t>Pneu Falken EuroAllSeason VAN11 215/65R16 109R</t>
        </is>
      </c>
      <c r="F1264" s="17" t="inlineStr">
        <is>
          <t>Leader de la vente de pneus pas chers en ligne, retrouvez avec Allopneus le pneu Falken EuroAllSeason VAN11 215/65R16 109R. Montage en centre ou à domicile !</t>
        </is>
      </c>
      <c r="G1264" s="19" t="inlineStr">
        <is>
          <t>https://lb.affilae.com/r/?p=61b9aae6d4b9873f6d45ef3d&amp;af=546&amp;lp=https%3A%2F%2Fwww.allopneus.com%2Fproduit%2Fpneu-auto%2Ffalken%2Fcamionnette-4saisons%2Feuroallseason-van11%2F215-65r16-109r%2F0004948429%3Futm_source%3Daffilae%26utm_medium%3Daffiliation%26utm_campaign%3Dlemrock</t>
        </is>
      </c>
      <c r="H1264" s="20" t="n">
        <v>7648</v>
      </c>
      <c r="I1264" s="20" t="n">
        <v>32</v>
      </c>
      <c r="J1264" s="21">
        <f>IF(H1264=0,0,I1264/H1264)</f>
        <v/>
      </c>
    </row>
    <row r="1265">
      <c r="A1265" s="17" t="inlineStr">
        <is>
          <t>Allo Pneus</t>
        </is>
      </c>
      <c r="B1265" s="17" t="inlineStr">
        <is>
          <t>Live</t>
        </is>
      </c>
      <c r="C1265" s="17" t="inlineStr">
        <is>
          <t>Allo Pneus</t>
        </is>
      </c>
      <c r="D1265" s="17" t="inlineStr">
        <is>
          <t>Automotive Products</t>
        </is>
      </c>
      <c r="E1265" s="18" t="inlineStr">
        <is>
          <t>Pneus auto et moto au meilleur prix | Allopneus</t>
        </is>
      </c>
      <c r="F1265" s="17" t="inlineStr">
        <is>
          <t>Commandez le pneu Metzeler ROADTEC Z6 120/70R17 58 W chez Allopneus, leader de la vente de pneus pas chers en ligne, et faites-le monter en centre ou à domicile.</t>
        </is>
      </c>
      <c r="G1265" s="19" t="inlineStr">
        <is>
          <t>https://lb.affilae.com/r/?p=61b9aae6d4b9873f6d45ef3d&amp;af=546&amp;lp=https%3A%2F%2Fwww.allopneus.com%2Fproduit%2Fpneu-moto%2Fmetzeler%2Fsport-route%2Froadtec-z6%2F120-70r17-58-w%2F0000342194%3Futm_source%3Daffilae%26utm_medium%3Daffiliation%26utm_campaign%3Dlemrock</t>
        </is>
      </c>
      <c r="H1265" s="20" t="n">
        <v>7627</v>
      </c>
      <c r="I1265" s="20" t="n">
        <v>36</v>
      </c>
      <c r="J1265" s="21">
        <f>IF(H1265=0,0,I1265/H1265)</f>
        <v/>
      </c>
    </row>
    <row r="1266">
      <c r="A1266" s="17" t="inlineStr">
        <is>
          <t>Allo Pneus</t>
        </is>
      </c>
      <c r="B1266" s="17" t="inlineStr">
        <is>
          <t>Live</t>
        </is>
      </c>
      <c r="C1266" s="17" t="inlineStr">
        <is>
          <t>Allo Pneus</t>
        </is>
      </c>
      <c r="D1266" s="17" t="inlineStr">
        <is>
          <t>Automotive Products</t>
        </is>
      </c>
      <c r="E1266" s="18" t="inlineStr">
        <is>
          <t>Pneu Continental VanContact Ultra Camper 215/70R15 109R</t>
        </is>
      </c>
      <c r="F1266" s="17" t="inlineStr">
        <is>
          <t>Leader de la vente de pneus pas chers en ligne, retrouvez avec Allopneus le pneu Continental VanContact Ultra Camper 215/70R15 109R. Montage en centre ou à domicile !</t>
        </is>
      </c>
      <c r="G1266" s="19" t="inlineStr">
        <is>
          <t>https://lb.affilae.com/r/?p=61b9aae6d4b9873f6d45ef3d&amp;af=546&amp;lp=https%3A%2F%2Fwww.allopneus.com%2Fproduit%2Fpneu-auto%2Fcontinental%2Fcamionnette-ete%2Fvancontact-ultra-camper%2F215-70r15-109r%2F0002045446%3Futm_source%3Daffilae%26utm_medium%3Daffiliation%26utm_campaign%3Dlemrock</t>
        </is>
      </c>
      <c r="H1266" s="20" t="n">
        <v>7594</v>
      </c>
      <c r="I1266" s="20" t="n">
        <v>36</v>
      </c>
      <c r="J1266" s="21">
        <f>IF(H1266=0,0,I1266/H1266)</f>
        <v/>
      </c>
    </row>
    <row r="1267">
      <c r="A1267" s="17" t="inlineStr">
        <is>
          <t>Allo Pneus</t>
        </is>
      </c>
      <c r="B1267" s="17" t="inlineStr">
        <is>
          <t>Live</t>
        </is>
      </c>
      <c r="C1267" s="17" t="inlineStr">
        <is>
          <t>Allo Pneus</t>
        </is>
      </c>
      <c r="D1267" s="17" t="inlineStr">
        <is>
          <t>Pneus SUV et 4x4</t>
        </is>
      </c>
      <c r="E1267" s="18" t="inlineStr">
        <is>
          <t>Pneu Michelin ALPIN 7 185/65R15 88T - ALLOPNEUS.COM</t>
        </is>
      </c>
      <c r="F1267" s="17" t="inlineStr">
        <is>
          <t>Leader de la vente de pneus pas chers en ligne, retrouvez avec Allopneus le pneu Michelin ALPIN 7 185/65R15 88T. Montage en centre ou à domicile !</t>
        </is>
      </c>
      <c r="G1267" s="19" t="inlineStr">
        <is>
          <t>https://lb.affilae.com/r/?p=61b9aae6d4b9873f6d45ef3d&amp;af=546&amp;lp=https%3A%2F%2Fwww.allopneus.com%2Fproduit%2Fpneu-auto%2Fmichelin%2Ftourisme-hiver%2Falpin-7%2F185-65r15-88t%2F0006593316%3Futm_source%3Daffilae%26utm_medium%3Daffiliation%26utm_campaign%3Dlemrock</t>
        </is>
      </c>
      <c r="H1267" s="20" t="n">
        <v>7466</v>
      </c>
      <c r="I1267" s="20" t="n">
        <v>34</v>
      </c>
      <c r="J1267" s="21">
        <f>IF(H1267=0,0,I1267/H1267)</f>
        <v/>
      </c>
    </row>
    <row r="1268">
      <c r="A1268" s="17" t="inlineStr">
        <is>
          <t>Allo Pneus</t>
        </is>
      </c>
      <c r="B1268" s="17" t="inlineStr">
        <is>
          <t>Live</t>
        </is>
      </c>
      <c r="C1268" s="17" t="inlineStr">
        <is>
          <t>Allo Pneus</t>
        </is>
      </c>
      <c r="D1268" s="17" t="inlineStr">
        <is>
          <t>Pneus SUV et 4x4</t>
        </is>
      </c>
      <c r="E1268" s="18" t="inlineStr">
        <is>
          <t>Pneu Hankook Winter i*cept RS3 W462 185/65R15 88T</t>
        </is>
      </c>
      <c r="F1268" s="17" t="inlineStr">
        <is>
          <t>Leader de la vente de pneus pas chers en ligne, retrouvez avec Allopneus le pneu Hankook Winter i*cept RS3 W462 185/65R15 88T. Montage en centre ou à domicile !</t>
        </is>
      </c>
      <c r="G1268" s="19" t="inlineStr">
        <is>
          <t>https://lb.affilae.com/r/?p=61b9aae6d4b9873f6d45ef3d&amp;af=546&amp;lp=https%3A%2F%2Fwww.allopneus.com%2Fproduit%2Fpneu-auto%2Fhankook%2Ftourisme-hiver%2Fwinter-i-cept-rs3-w462%2F185-65r15-88t%2F0006090315%3Futm_source%3Daffilae%26utm_medium%3Daffiliation%26utm_campaign%3Dlemrock</t>
        </is>
      </c>
      <c r="H1268" s="20" t="n">
        <v>7253</v>
      </c>
      <c r="I1268" s="20" t="n">
        <v>31</v>
      </c>
      <c r="J1268" s="21">
        <f>IF(H1268=0,0,I1268/H1268)</f>
        <v/>
      </c>
    </row>
    <row r="1269">
      <c r="A1269" s="17" t="inlineStr">
        <is>
          <t>Allo Pneus</t>
        </is>
      </c>
      <c r="B1269" s="17" t="inlineStr">
        <is>
          <t>Live</t>
        </is>
      </c>
      <c r="C1269" s="17" t="inlineStr">
        <is>
          <t>Allo Pneus</t>
        </is>
      </c>
      <c r="D1269" s="17" t="inlineStr">
        <is>
          <t>Pneus SUV et 4x4</t>
        </is>
      </c>
      <c r="E1269" s="18" t="inlineStr">
        <is>
          <t>Pneu Ilink WINTER IL868 205/55 R16 91H - ALLOPNEUS.COM</t>
        </is>
      </c>
      <c r="F1269" s="17" t="inlineStr">
        <is>
          <t>Leader de la vente de pneus pas chers en ligne, retrouvez avec Allopneus le pneu Ilink WINTER IL868 205/55 R16 91H. Montage en centre ou à domicile !</t>
        </is>
      </c>
      <c r="G1269" s="19" t="inlineStr">
        <is>
          <t>https://lb.affilae.com/r/?p=61b9aae6d4b9873f6d45ef3d&amp;af=546&amp;lp=https%3A%2F%2Fwww.allopneus.com%2Fproduit%2Fpneu-auto%2Filink%2Ftourisme-hiver%2Fwinter-il868%2F205-55-r16-91h%2F0002040398%3Futm_source%3Daffilae%26utm_medium%3Daffiliation%26utm_campaign%3Dlemrock</t>
        </is>
      </c>
      <c r="H1269" s="20" t="n">
        <v>7141</v>
      </c>
      <c r="I1269" s="20" t="n">
        <v>30</v>
      </c>
      <c r="J1269" s="21">
        <f>IF(H1269=0,0,I1269/H1269)</f>
        <v/>
      </c>
    </row>
    <row r="1270">
      <c r="A1270" s="17" t="inlineStr">
        <is>
          <t>Allo Pneus</t>
        </is>
      </c>
      <c r="B1270" s="17" t="inlineStr">
        <is>
          <t>Live</t>
        </is>
      </c>
      <c r="C1270" s="17" t="inlineStr">
        <is>
          <t>Allo Pneus</t>
        </is>
      </c>
      <c r="D1270" s="17" t="inlineStr">
        <is>
          <t>Automotive Products</t>
        </is>
      </c>
      <c r="E1270" s="18" t="inlineStr">
        <is>
          <t>Pneu Hankook Winter i*cept RS3 W462 185/65R15 88T</t>
        </is>
      </c>
      <c r="F1270" s="17" t="inlineStr">
        <is>
          <t>Leader de la vente de pneus pas chers en ligne, retrouvez avec Allopneus le pneu Hankook Winter i*cept RS3 W462 185/65R15 88T. Montage en centre ou à domicile !</t>
        </is>
      </c>
      <c r="G1270" s="19" t="inlineStr">
        <is>
          <t>https://lb.affilae.com/r/?p=61b9aae6d4b9873f6d45ef3d&amp;af=546&amp;lp=https%3A%2F%2Fwww.allopneus.com%2Fproduit%2Fpneu-auto%2Fhankook%2Ftourisme-hiver%2Fwinter-i-cept-rs3-w462%2F185-65r15-88t%2F0006090315%3Futm_source%3Daffilae%26utm_medium%3Daffiliation%26utm_campaign%3Dlemrock</t>
        </is>
      </c>
      <c r="H1270" s="20" t="n">
        <v>6977</v>
      </c>
      <c r="I1270" s="20" t="n">
        <v>33</v>
      </c>
      <c r="J1270" s="21">
        <f>IF(H1270=0,0,I1270/H1270)</f>
        <v/>
      </c>
    </row>
    <row r="1271">
      <c r="A1271" s="17" t="inlineStr">
        <is>
          <t>Allo Pneus</t>
        </is>
      </c>
      <c r="B1271" s="17" t="inlineStr">
        <is>
          <t>Live</t>
        </is>
      </c>
      <c r="C1271" s="17" t="inlineStr">
        <is>
          <t>Allo Pneus</t>
        </is>
      </c>
      <c r="D1271" s="17" t="inlineStr">
        <is>
          <t>Automotive Products</t>
        </is>
      </c>
      <c r="E1271" s="18" t="inlineStr">
        <is>
          <t>Pneus auto et moto au meilleur prix | Allopneus</t>
        </is>
      </c>
      <c r="F1271" s="17" t="inlineStr">
        <is>
          <t>Le pneu Michelin CITY GRIP 2 140/70-14 68 S est en vente chez Allopneus, leader du pneu pas cher en ligne, avec montage en centre ou à domicile.</t>
        </is>
      </c>
      <c r="G1271" s="19" t="inlineStr">
        <is>
          <t>https://lb.affilae.com/r/?p=61b9aae6d4b9873f6d45ef3d&amp;af=546&amp;lp=https%3A%2F%2Fwww.allopneus.com%2Fproduit%2Fpneu-moto%2Fmichelin%2Fscooter%2Fcity-grip-2%2F140-70-14-68-s%2F0005506619%3Futm_source%3Daffilae%26utm_medium%3Daffiliation%26utm_campaign%3Dlemrock</t>
        </is>
      </c>
      <c r="H1271" s="20" t="n">
        <v>6839</v>
      </c>
      <c r="I1271" s="20" t="n">
        <v>35</v>
      </c>
      <c r="J1271" s="21">
        <f>IF(H1271=0,0,I1271/H1271)</f>
        <v/>
      </c>
    </row>
    <row r="1272">
      <c r="A1272" s="17" t="inlineStr">
        <is>
          <t>Allo Pneus</t>
        </is>
      </c>
      <c r="B1272" s="17" t="inlineStr">
        <is>
          <t>Live</t>
        </is>
      </c>
      <c r="C1272" s="17" t="inlineStr">
        <is>
          <t>Allo Pneus</t>
        </is>
      </c>
      <c r="D1272" s="17" t="inlineStr">
        <is>
          <t>Pneus SUV et 4x4</t>
        </is>
      </c>
      <c r="E1272" s="18" t="inlineStr">
        <is>
          <t>Pneu Bridgestone TURANZA T005 195/55R16 87H - ALLOPNEUS.COM</t>
        </is>
      </c>
      <c r="F1272" s="17" t="inlineStr">
        <is>
          <t>Leader de la vente de pneus pas chers en ligne, retrouvez avec Allopneus le pneu Bridgestone TURANZA T005 195/55R16 87H. Montage en centre ou à domicile !</t>
        </is>
      </c>
      <c r="G1272" s="19" t="inlineStr">
        <is>
          <t>https://lb.affilae.com/r/?p=61b9aae6d4b9873f6d45ef3d&amp;af=546&amp;lp=https%3A%2F%2Fwww.allopneus.com%2Fproduit%2Fpneu-auto%2Fbridgestone%2Ftourisme-ete%2Fturanza-t005%2F195-55r16-87h%2F0005086294%3Futm_source%3Daffilae%26utm_medium%3Daffiliation%26utm_campaign%3Dlemrock</t>
        </is>
      </c>
      <c r="H1272" s="20" t="n">
        <v>6819</v>
      </c>
      <c r="I1272" s="20" t="n">
        <v>17</v>
      </c>
      <c r="J1272" s="21">
        <f>IF(H1272=0,0,I1272/H1272)</f>
        <v/>
      </c>
    </row>
    <row r="1273">
      <c r="A1273" s="17" t="inlineStr">
        <is>
          <t>Allo Pneus</t>
        </is>
      </c>
      <c r="B1273" s="17" t="inlineStr">
        <is>
          <t>Live</t>
        </is>
      </c>
      <c r="C1273" s="17" t="inlineStr">
        <is>
          <t>Allo Pneus</t>
        </is>
      </c>
      <c r="D1273" s="17" t="inlineStr">
        <is>
          <t>Automotive Products</t>
        </is>
      </c>
      <c r="E1273" s="18" t="inlineStr">
        <is>
          <t>Pneu Dunlop SPORT BLURESPONSE 205/55R16 91V - ALLOPNEUS.COM</t>
        </is>
      </c>
      <c r="F1273" s="17" t="inlineStr">
        <is>
          <t>Leader de la vente de pneus pas chers en ligne, retrouvez avec Allopneus le pneu Dunlop SPORT BLURESPONSE 205/55R16 91V. Montage en centre ou à domicile !</t>
        </is>
      </c>
      <c r="G1273" s="19" t="inlineStr">
        <is>
          <t>https://lb.affilae.com/r/?p=61b9aae6d4b9873f6d45ef3d&amp;af=546&amp;lp=https%3A%2F%2Fwww.allopneus.com%2Fproduit%2Fpneu-auto%2Fdunlop%2Ftourisme-ete%2Fsport-bluresponse%2F205-55r16-91v%2F0003665305%3Futm_source%3Daffilae%26utm_medium%3Daffiliation%26utm_campaign%3Dlemrock</t>
        </is>
      </c>
      <c r="H1273" s="20" t="n">
        <v>6777</v>
      </c>
      <c r="I1273" s="20" t="n">
        <v>28</v>
      </c>
      <c r="J1273" s="21">
        <f>IF(H1273=0,0,I1273/H1273)</f>
        <v/>
      </c>
    </row>
    <row r="1274">
      <c r="A1274" s="17" t="inlineStr">
        <is>
          <t>Allo Pneus</t>
        </is>
      </c>
      <c r="B1274" s="17" t="inlineStr">
        <is>
          <t>Live</t>
        </is>
      </c>
      <c r="C1274" s="17" t="inlineStr">
        <is>
          <t>Allo Pneus</t>
        </is>
      </c>
      <c r="D1274" s="17" t="inlineStr">
        <is>
          <t>Automotive Products</t>
        </is>
      </c>
      <c r="E1274" s="18" t="inlineStr">
        <is>
          <t>Pneu Dunlop SPORT ALL SEASON 205/55R16 91V - ALLOPNEUS.COM</t>
        </is>
      </c>
      <c r="F1274" s="17" t="inlineStr">
        <is>
          <t>Leader de la vente de pneus pas chers en ligne, retrouvez avec Allopneus le pneu Dunlop SPORT ALL SEASON 205/55R16 91V. Montage en centre ou à domicile !</t>
        </is>
      </c>
      <c r="G1274" s="19" t="inlineStr">
        <is>
          <t>https://lb.affilae.com/r/?p=61b9aae6d4b9873f6d45ef3d&amp;af=546&amp;lp=https%3A%2F%2Fwww.allopneus.com%2Fproduit%2Fpneu-auto%2Fdunlop%2Ftourisme-4saisons%2Fsport-all-season%2F205-55r16-91v%2F0005674634%3Futm_source%3Daffilae%26utm_medium%3Daffiliation%26utm_campaign%3Dlemrock</t>
        </is>
      </c>
      <c r="H1274" s="20" t="n">
        <v>6774</v>
      </c>
      <c r="I1274" s="20" t="n">
        <v>29</v>
      </c>
      <c r="J1274" s="21">
        <f>IF(H1274=0,0,I1274/H1274)</f>
        <v/>
      </c>
    </row>
    <row r="1275">
      <c r="A1275" s="17" t="inlineStr">
        <is>
          <t>Allo Pneus</t>
        </is>
      </c>
      <c r="B1275" s="17" t="inlineStr">
        <is>
          <t>Live</t>
        </is>
      </c>
      <c r="C1275" s="17" t="inlineStr">
        <is>
          <t>Allo Pneus</t>
        </is>
      </c>
      <c r="D1275" s="17" t="inlineStr">
        <is>
          <t>Automotive Products</t>
        </is>
      </c>
      <c r="E1275" s="18" t="inlineStr">
        <is>
          <t>Pneu Falken EUROALL SEASON AS210 195/65R15 91H</t>
        </is>
      </c>
      <c r="F1275" s="17" t="inlineStr">
        <is>
          <t>Leader de la vente de pneus pas chers en ligne, retrouvez avec Allopneus le pneu Falken EUROALL SEASON AS210 195/65R15 91H. Montage en centre ou à domicile !</t>
        </is>
      </c>
      <c r="G1275" s="19" t="inlineStr">
        <is>
          <t>https://lb.affilae.com/r/?p=61b9aae6d4b9873f6d45ef3d&amp;af=546&amp;lp=https%3A%2F%2Fwww.allopneus.com%2Fproduit%2Fpneu-auto%2Ffalken%2Ftourisme-4saisons%2Feuroall-season-as210%2F195-65r15-91h%2F0002042432%3Futm_source%3Daffilae%26utm_medium%3Daffiliation%26utm_campaign%3Dlemrock</t>
        </is>
      </c>
      <c r="H1275" s="20" t="n">
        <v>6757</v>
      </c>
      <c r="I1275" s="20" t="n">
        <v>26</v>
      </c>
      <c r="J1275" s="21">
        <f>IF(H1275=0,0,I1275/H1275)</f>
        <v/>
      </c>
    </row>
    <row r="1276">
      <c r="A1276" s="17" t="inlineStr">
        <is>
          <t>Allo Pneus</t>
        </is>
      </c>
      <c r="B1276" s="17" t="inlineStr">
        <is>
          <t>Live</t>
        </is>
      </c>
      <c r="C1276" s="17" t="inlineStr">
        <is>
          <t>Allo Pneus</t>
        </is>
      </c>
      <c r="D1276" s="17" t="inlineStr">
        <is>
          <t>Automotive Products</t>
        </is>
      </c>
      <c r="E1276" s="18" t="inlineStr">
        <is>
          <t>Pneu Hankook VENTUS PRIME 3 K125A 215/65R17 99V</t>
        </is>
      </c>
      <c r="F1276" s="17" t="inlineStr">
        <is>
          <t>Leader de la vente de pneus pas chers en ligne, retrouvez avec Allopneus le pneu Hankook VENTUS PRIME 3 K125A 215/65R17 99V. Montage en centre ou à domicile !</t>
        </is>
      </c>
      <c r="G1276" s="19" t="inlineStr">
        <is>
          <t>https://lb.affilae.com/r/?p=61b9aae6d4b9873f6d45ef3d&amp;af=546&amp;lp=https%3A%2F%2Fwww.allopneus.com%2Fproduit%2Fpneu-auto%2Fhankook%2F4x4-ete%2Fventus-prime-3-k125a%2F215-65r17-99v%2F0005083951%3Futm_source%3Daffilae%26utm_medium%3Daffiliation%26utm_campaign%3Dlemrock</t>
        </is>
      </c>
      <c r="H1276" s="20" t="n">
        <v>6649</v>
      </c>
      <c r="I1276" s="20" t="n">
        <v>36</v>
      </c>
      <c r="J1276" s="21">
        <f>IF(H1276=0,0,I1276/H1276)</f>
        <v/>
      </c>
    </row>
    <row r="1277">
      <c r="A1277" s="17" t="inlineStr">
        <is>
          <t>Allo Pneus</t>
        </is>
      </c>
      <c r="B1277" s="17" t="inlineStr">
        <is>
          <t>Live</t>
        </is>
      </c>
      <c r="C1277" s="17" t="inlineStr">
        <is>
          <t>Allo Pneus</t>
        </is>
      </c>
      <c r="D1277" s="17" t="inlineStr">
        <is>
          <t>Automotive Products</t>
        </is>
      </c>
      <c r="E1277" s="18" t="inlineStr">
        <is>
          <t>Pneu Bf Goodrich ALL-TERRAIN T/A KO3 265/65R17 116S</t>
        </is>
      </c>
      <c r="F1277" s="17" t="inlineStr">
        <is>
          <t>Leader de la vente de pneus pas chers en ligne, retrouvez avec Allopneus le pneu Bf Goodrich ALL-TERRAIN T/A KO3 265/65R17 116S. Montage en centre ou à domicile !</t>
        </is>
      </c>
      <c r="G1277" s="19" t="inlineStr">
        <is>
          <t>https://lb.affilae.com/r/?p=61b9aae6d4b9873f6d45ef3d&amp;af=546&amp;lp=https%3A%2F%2Fwww.allopneus.com%2Fproduit%2Fpneu-auto%2Fbf-goodrich%2F4x4-ete%2Fall-terrain-t-a-ko3%2F265-65r17-116s%2F0002046082%3Futm_source%3Daffilae%26utm_medium%3Daffiliation%26utm_campaign%3Dlemrock</t>
        </is>
      </c>
      <c r="H1277" s="20" t="n">
        <v>6564</v>
      </c>
      <c r="I1277" s="20" t="n">
        <v>26</v>
      </c>
      <c r="J1277" s="21">
        <f>IF(H1277=0,0,I1277/H1277)</f>
        <v/>
      </c>
    </row>
    <row r="1278">
      <c r="A1278" s="17" t="inlineStr">
        <is>
          <t>Allo Pneus</t>
        </is>
      </c>
      <c r="B1278" s="17" t="inlineStr">
        <is>
          <t>Live</t>
        </is>
      </c>
      <c r="C1278" s="17" t="inlineStr">
        <is>
          <t>Allo Pneus</t>
        </is>
      </c>
      <c r="D1278" s="17" t="inlineStr">
        <is>
          <t>Automotive Products</t>
        </is>
      </c>
      <c r="E1278" s="18" t="inlineStr">
        <is>
          <t>Pneu Bridgestone TURANZA T005 195/55R16 87H - ALLOPNEUS.COM</t>
        </is>
      </c>
      <c r="F1278" s="17" t="inlineStr">
        <is>
          <t>Leader de la vente de pneus pas chers en ligne, retrouvez avec Allopneus le pneu Bridgestone TURANZA T005 195/55R16 87H. Montage en centre ou à domicile !</t>
        </is>
      </c>
      <c r="G1278" s="19" t="inlineStr">
        <is>
          <t>https://lb.affilae.com/r/?p=61b9aae6d4b9873f6d45ef3d&amp;af=546&amp;lp=https%3A%2F%2Fwww.allopneus.com%2Fproduit%2Fpneu-auto%2Fbridgestone%2Ftourisme-ete%2Fturanza-t005%2F195-55r16-87h%2F0005086294%3Futm_source%3Daffilae%26utm_medium%3Daffiliation%26utm_campaign%3Dlemrock</t>
        </is>
      </c>
      <c r="H1278" s="20" t="n">
        <v>6550</v>
      </c>
      <c r="I1278" s="20" t="n">
        <v>29</v>
      </c>
      <c r="J1278" s="21">
        <f>IF(H1278=0,0,I1278/H1278)</f>
        <v/>
      </c>
    </row>
    <row r="1279">
      <c r="A1279" s="17" t="inlineStr">
        <is>
          <t>Allo Pneus</t>
        </is>
      </c>
      <c r="B1279" s="17" t="inlineStr">
        <is>
          <t>Live</t>
        </is>
      </c>
      <c r="C1279" s="17" t="inlineStr">
        <is>
          <t>Allo Pneus</t>
        </is>
      </c>
      <c r="D1279" s="17" t="inlineStr">
        <is>
          <t>Automotive Products</t>
        </is>
      </c>
      <c r="E1279" s="18" t="inlineStr">
        <is>
          <t>Pneu Continental AllSeason Contact 155/65R14 75T</t>
        </is>
      </c>
      <c r="F1279" s="17" t="inlineStr">
        <is>
          <t>Leader de la vente de pneus pas chers en ligne, retrouvez avec Allopneus le pneu Continental AllSeason Contact 155/65R14 75T. Montage en centre ou à domicile !</t>
        </is>
      </c>
      <c r="G1279" s="19" t="inlineStr">
        <is>
          <t>https://lb.affilae.com/r/?p=61b9aae6d4b9873f6d45ef3d&amp;af=546&amp;lp=https%3A%2F%2Fwww.allopneus.com%2Fproduit%2Fpneu-auto%2Fcontinental%2Ftourisme-4saisons%2Fallseason-contact%2F155-65r14-75t%2F0004770606%3Futm_source%3Daffilae%26utm_medium%3Daffiliation%26utm_campaign%3Dlemrock</t>
        </is>
      </c>
      <c r="H1279" s="20" t="n">
        <v>6530</v>
      </c>
      <c r="I1279" s="20" t="n">
        <v>22</v>
      </c>
      <c r="J1279" s="21">
        <f>IF(H1279=0,0,I1279/H1279)</f>
        <v/>
      </c>
    </row>
    <row r="1280">
      <c r="A1280" s="17" t="inlineStr">
        <is>
          <t>Allo Pneus</t>
        </is>
      </c>
      <c r="B1280" s="17" t="inlineStr">
        <is>
          <t>Live</t>
        </is>
      </c>
      <c r="C1280" s="17" t="inlineStr">
        <is>
          <t>Allo Pneus</t>
        </is>
      </c>
      <c r="D1280" s="17" t="inlineStr">
        <is>
          <t>Automotive Products</t>
        </is>
      </c>
      <c r="E1280" s="18" t="inlineStr">
        <is>
          <t>Pneu Pirelli SCORPION 255/45R19 100V - ALLOPNEUS.COM</t>
        </is>
      </c>
      <c r="F1280" s="17" t="inlineStr">
        <is>
          <t>Leader de la vente de pneus pas chers en ligne, retrouvez avec Allopneus le pneu Pirelli SCORPION 255/45R19 100V. Montage en centre ou à domicile !</t>
        </is>
      </c>
      <c r="G1280" s="19" t="inlineStr">
        <is>
          <t>https://lb.affilae.com/r/?p=61b9aae6d4b9873f6d45ef3d&amp;af=546&amp;lp=https%3A%2F%2Fwww.allopneus.com%2Fproduit%2Fpneu-auto%2Fpirelli%2F4x4-ete%2Fscorpion%2F255-45r19-100v%2F0005636706%3Futm_source%3Daffilae%26utm_medium%3Daffiliation%26utm_campaign%3Dlemrock</t>
        </is>
      </c>
      <c r="H1280" s="20" t="n">
        <v>6337</v>
      </c>
      <c r="I1280" s="20" t="n">
        <v>28</v>
      </c>
      <c r="J1280" s="21">
        <f>IF(H1280=0,0,I1280/H1280)</f>
        <v/>
      </c>
    </row>
    <row r="1281">
      <c r="A1281" s="17" t="inlineStr">
        <is>
          <t>Allo Pneus</t>
        </is>
      </c>
      <c r="B1281" s="17" t="inlineStr">
        <is>
          <t>Live</t>
        </is>
      </c>
      <c r="C1281" s="17" t="inlineStr">
        <is>
          <t>Allo Pneus</t>
        </is>
      </c>
      <c r="D1281" s="17" t="inlineStr">
        <is>
          <t>Scooters, Motorbikes, and E-bikes</t>
        </is>
      </c>
      <c r="E1281" s="18" t="inlineStr">
        <is>
          <t>Pneus moto et scooter pas chers | Allo Pneus</t>
        </is>
      </c>
      <c r="F1281" s="17" t="inlineStr">
        <is>
          <t>Comparez les pneus moto et scooter Michelin, Bridgestone, Pirelli et Metzeler par dimension, et faites-les monter près de chez vous.</t>
        </is>
      </c>
      <c r="G1281" s="19" t="inlineStr">
        <is>
          <t>https://lb.affilae.com/r/?p=61b9aae6d4b9873f6d45ef3d&amp;af=546&amp;lp=https%3A%2F%2Fwww.allopneus.com%2Fproduit%2Fpneu-moto%2Fmichelin%2Fsport-route%2Fpilot-road-4%2F120-70r17-58-w%2F0003783411%3Futm_source%3Daffilae%26utm_medium%3Daffiliation%26utm_campaign%3Dlemrock</t>
        </is>
      </c>
      <c r="H1281" s="20" t="n">
        <v>6334</v>
      </c>
      <c r="I1281" s="20" t="n">
        <v>27</v>
      </c>
      <c r="J1281" s="21">
        <f>IF(H1281=0,0,I1281/H1281)</f>
        <v/>
      </c>
    </row>
    <row r="1282">
      <c r="A1282" s="17" t="inlineStr">
        <is>
          <t>Allo Pneus</t>
        </is>
      </c>
      <c r="B1282" s="17" t="inlineStr">
        <is>
          <t>Live</t>
        </is>
      </c>
      <c r="C1282" s="17" t="inlineStr">
        <is>
          <t>Allo Pneus</t>
        </is>
      </c>
      <c r="D1282" s="17" t="inlineStr">
        <is>
          <t>Automotive Products</t>
        </is>
      </c>
      <c r="E1282" s="18" t="inlineStr">
        <is>
          <t>Pneu Kumho SOLUS 4S HA32 225/50R18 99W - ALLOPNEUS.COM</t>
        </is>
      </c>
      <c r="F1282" s="17" t="inlineStr">
        <is>
          <t>Leader de la vente de pneus pas chers en ligne, retrouvez avec Allopneus le pneu Kumho SOLUS 4S HA32 225/50R18 99W. Montage en centre ou à domicile !</t>
        </is>
      </c>
      <c r="G1282" s="19" t="inlineStr">
        <is>
          <t>https://lb.affilae.com/r/?p=61b9aae6d4b9873f6d45ef3d&amp;af=546&amp;lp=https%3A%2F%2Fwww.allopneus.com%2Fproduit%2Fpneu-auto%2Fkumho%2F4x4-4saisons%2Fsolus-4s-ha32%2F225-50r18-99w%2F0006117093%3Futm_source%3Daffilae%26utm_medium%3Daffiliation%26utm_campaign%3Dlemrock</t>
        </is>
      </c>
      <c r="H1282" s="20" t="n">
        <v>6266</v>
      </c>
      <c r="I1282" s="20" t="n">
        <v>37</v>
      </c>
      <c r="J1282" s="21">
        <f>IF(H1282=0,0,I1282/H1282)</f>
        <v/>
      </c>
    </row>
    <row r="1283">
      <c r="A1283" s="17" t="inlineStr">
        <is>
          <t>Allo Pneus</t>
        </is>
      </c>
      <c r="B1283" s="17" t="inlineStr">
        <is>
          <t>Live</t>
        </is>
      </c>
      <c r="C1283" s="17" t="inlineStr">
        <is>
          <t>Allo Pneus</t>
        </is>
      </c>
      <c r="D1283" s="17" t="inlineStr">
        <is>
          <t>Scooters, Motorbikes, and E-bikes</t>
        </is>
      </c>
      <c r="E1283" s="18" t="inlineStr">
        <is>
          <t>Pneus moto et scooter pas chers | Allo Pneus</t>
        </is>
      </c>
      <c r="F1283" s="17" t="inlineStr">
        <is>
          <t>Comparez les pneus moto et scooter Michelin, Bridgestone, Pirelli et Metzeler par dimension, et faites-les monter près de chez vous.</t>
        </is>
      </c>
      <c r="G1283" s="19" t="inlineStr">
        <is>
          <t>https://lb.affilae.com/r/?p=61b9aae6d4b9873f6d45ef3d&amp;af=546&amp;lp=https%3A%2F%2Fwww.allopneus.com%2Fproduit%2Fpneu-moto%2Fbridgestone%2Fscooter%2Fbattlax-scooter-sc2%2F160-60r15-67-h%2F0004771525%3Futm_source%3Daffilae%26utm_medium%3Daffiliation%26utm_campaign%3Dlemrock</t>
        </is>
      </c>
      <c r="H1283" s="20" t="n">
        <v>6231</v>
      </c>
      <c r="I1283" s="20" t="n">
        <v>19</v>
      </c>
      <c r="J1283" s="21">
        <f>IF(H1283=0,0,I1283/H1283)</f>
        <v/>
      </c>
    </row>
    <row r="1284">
      <c r="A1284" s="17" t="inlineStr">
        <is>
          <t>Allo Pneus</t>
        </is>
      </c>
      <c r="B1284" s="17" t="inlineStr">
        <is>
          <t>Live</t>
        </is>
      </c>
      <c r="C1284" s="17" t="inlineStr">
        <is>
          <t>Allo Pneus</t>
        </is>
      </c>
      <c r="D1284" s="17" t="inlineStr">
        <is>
          <t>Scooters, Motorbikes, and E-bikes</t>
        </is>
      </c>
      <c r="E1284" s="18" t="inlineStr">
        <is>
          <t>Pneus moto et scooter pas chers | Allo Pneus</t>
        </is>
      </c>
      <c r="F1284" s="17" t="inlineStr">
        <is>
          <t>Comparez les pneus moto et scooter Michelin, Bridgestone, Pirelli et Metzeler par dimension, et faites-les monter près de chez vous.</t>
        </is>
      </c>
      <c r="G1284" s="19" t="inlineStr">
        <is>
          <t>https://lb.affilae.com/r/?p=61b9aae6d4b9873f6d45ef3d&amp;af=546&amp;lp=https%3A%2F%2Fwww.allopneus.com%2Fproduit%2Fpneu-moto%2Fpirelli%2Fscooter%2Fdiablo-rosso-scooter%2F160-60r15-67-h%2F0004529248%3Futm_source%3Daffilae%26utm_medium%3Daffiliation%26utm_campaign%3Dlemrock</t>
        </is>
      </c>
      <c r="H1284" s="20" t="n">
        <v>6221</v>
      </c>
      <c r="I1284" s="20" t="n">
        <v>31</v>
      </c>
      <c r="J1284" s="21">
        <f>IF(H1284=0,0,I1284/H1284)</f>
        <v/>
      </c>
    </row>
    <row r="1285">
      <c r="A1285" s="17" t="inlineStr">
        <is>
          <t>Allo Pneus</t>
        </is>
      </c>
      <c r="B1285" s="17" t="inlineStr">
        <is>
          <t>Live</t>
        </is>
      </c>
      <c r="C1285" s="17" t="inlineStr">
        <is>
          <t>Allo Pneus</t>
        </is>
      </c>
      <c r="D1285" s="17" t="inlineStr">
        <is>
          <t>Automotive Products</t>
        </is>
      </c>
      <c r="E1285" s="18" t="inlineStr">
        <is>
          <t>Pneu Hankook KINERGY 4S 2 X 235/55R19 105W - ALLOPNEUS.COM</t>
        </is>
      </c>
      <c r="F1285" s="17" t="inlineStr">
        <is>
          <t>Leader de la vente de pneus pas chers en ligne, retrouvez avec Allopneus le pneu Hankook KINERGY 4S 2 X 235/55R19 105W. Montage en centre ou à domicile !</t>
        </is>
      </c>
      <c r="G1285" s="19" t="inlineStr">
        <is>
          <t>https://lb.affilae.com/r/?p=61b9aae6d4b9873f6d45ef3d&amp;af=546&amp;lp=https%3A%2F%2Fwww.allopneus.com%2Fproduit%2Fpneu-auto%2Fhankook%2F4x4-4saisons%2Fkinergy-4s-2-x%2F235-55r19-105w%2F0005071342%3Futm_source%3Daffilae%26utm_medium%3Daffiliation%26utm_campaign%3Dlemrock</t>
        </is>
      </c>
      <c r="H1285" s="20" t="n">
        <v>6210</v>
      </c>
      <c r="I1285" s="20" t="n">
        <v>27</v>
      </c>
      <c r="J1285" s="21">
        <f>IF(H1285=0,0,I1285/H1285)</f>
        <v/>
      </c>
    </row>
    <row r="1286">
      <c r="A1286" s="17" t="inlineStr">
        <is>
          <t>Allo Pneus</t>
        </is>
      </c>
      <c r="B1286" s="17" t="inlineStr">
        <is>
          <t>Live</t>
        </is>
      </c>
      <c r="C1286" s="17" t="inlineStr">
        <is>
          <t>Allo Pneus</t>
        </is>
      </c>
      <c r="D1286" s="17" t="inlineStr">
        <is>
          <t>Automotive Products</t>
        </is>
      </c>
      <c r="E1286" s="18" t="inlineStr">
        <is>
          <t>Pneu Nankang VAN TR-10 185/70R13 106N - ALLOPNEUS.COM</t>
        </is>
      </c>
      <c r="F1286" s="17" t="inlineStr">
        <is>
          <t>Leader de la vente de pneus pas chers en ligne, retrouvez avec Allopneus le pneu Nankang VAN TR-10 185/70R13 106N. Montage en centre ou à domicile !</t>
        </is>
      </c>
      <c r="G1286" s="19" t="inlineStr">
        <is>
          <t>https://lb.affilae.com/r/?p=61b9aae6d4b9873f6d45ef3d&amp;af=546&amp;lp=https%3A%2F%2Fwww.allopneus.com%2Fproduit%2Fpneu-auto%2Fnankang%2Fcamionnette-ete-remorque-bagagere%2Fvan-tr-10%2F185-70r13-106n%2F0004104330%3Futm_source%3Daffilae%26utm_medium%3Daffiliation%26utm_campaign%3Dlemrock</t>
        </is>
      </c>
      <c r="H1286" s="20" t="n">
        <v>6145</v>
      </c>
      <c r="I1286" s="20" t="n">
        <v>29</v>
      </c>
      <c r="J1286" s="21">
        <f>IF(H1286=0,0,I1286/H1286)</f>
        <v/>
      </c>
    </row>
    <row r="1287">
      <c r="A1287" s="17" t="inlineStr">
        <is>
          <t>Allo Pneus</t>
        </is>
      </c>
      <c r="B1287" s="17" t="inlineStr">
        <is>
          <t>Live</t>
        </is>
      </c>
      <c r="C1287" s="17" t="inlineStr">
        <is>
          <t>Allo Pneus</t>
        </is>
      </c>
      <c r="D1287" s="17" t="inlineStr">
        <is>
          <t>Automotive Products</t>
        </is>
      </c>
      <c r="E1287" s="18" t="inlineStr">
        <is>
          <t>Pneu Michelin ALPIN 7 185/65R15 88T - ALLOPNEUS.COM</t>
        </is>
      </c>
      <c r="F1287" s="17" t="inlineStr">
        <is>
          <t>Leader de la vente de pneus pas chers en ligne, retrouvez avec Allopneus le pneu Michelin ALPIN 7 185/65R15 88T. Montage en centre ou à domicile !</t>
        </is>
      </c>
      <c r="G1287" s="19" t="inlineStr">
        <is>
          <t>https://lb.affilae.com/r/?p=61b9aae6d4b9873f6d45ef3d&amp;af=546&amp;lp=https%3A%2F%2Fwww.allopneus.com%2Fproduit%2Fpneu-auto%2Fmichelin%2Ftourisme-hiver%2Falpin-7%2F185-65r15-88t%2F0006593316%3Futm_source%3Daffilae%26utm_medium%3Daffiliation%26utm_campaign%3Dlemrock</t>
        </is>
      </c>
      <c r="H1287" s="20" t="n">
        <v>6125</v>
      </c>
      <c r="I1287" s="20" t="n">
        <v>28</v>
      </c>
      <c r="J1287" s="21">
        <f>IF(H1287=0,0,I1287/H1287)</f>
        <v/>
      </c>
    </row>
    <row r="1288">
      <c r="A1288" s="17" t="inlineStr">
        <is>
          <t>Allo Pneus</t>
        </is>
      </c>
      <c r="B1288" s="17" t="inlineStr">
        <is>
          <t>Live</t>
        </is>
      </c>
      <c r="C1288" s="17" t="inlineStr">
        <is>
          <t>Allo Pneus</t>
        </is>
      </c>
      <c r="D1288" s="17" t="inlineStr">
        <is>
          <t>Scooters, Motorbikes, and E-bikes</t>
        </is>
      </c>
      <c r="E1288" s="18" t="inlineStr">
        <is>
          <t>Pneus moto et scooter pas chers | Allo Pneus</t>
        </is>
      </c>
      <c r="F1288" s="17" t="inlineStr">
        <is>
          <t>Comparez les pneus moto et scooter Michelin, Bridgestone, Pirelli et Metzeler par dimension, et faites-les monter près de chez vous.</t>
        </is>
      </c>
      <c r="G1288" s="19" t="inlineStr">
        <is>
          <t>https://lb.affilae.com/r/?p=61b9aae6d4b9873f6d45ef3d&amp;af=546&amp;lp=https%3A%2F%2Fwww.allopneus.com%2Fproduit%2Fpneu-moto%2Fbridgestone%2Fsport-route%2Fbattlax-s21%2F120-70r17-58-w%2F0004257947%3Futm_source%3Daffilae%26utm_medium%3Daffiliation%26utm_campaign%3Dlemrock</t>
        </is>
      </c>
      <c r="H1288" s="20" t="n">
        <v>6079</v>
      </c>
      <c r="I1288" s="20" t="n">
        <v>29</v>
      </c>
      <c r="J1288" s="21">
        <f>IF(H1288=0,0,I1288/H1288)</f>
        <v/>
      </c>
    </row>
    <row r="1289">
      <c r="A1289" s="17" t="inlineStr">
        <is>
          <t>Allo Pneus</t>
        </is>
      </c>
      <c r="B1289" s="17" t="inlineStr">
        <is>
          <t>Live</t>
        </is>
      </c>
      <c r="C1289" s="17" t="inlineStr">
        <is>
          <t>Allo Pneus</t>
        </is>
      </c>
      <c r="D1289" s="17" t="inlineStr">
        <is>
          <t>Scooters, Motorbikes, and E-bikes</t>
        </is>
      </c>
      <c r="E1289" s="18" t="inlineStr">
        <is>
          <t>Pneus moto et scooter pas chers | Allo Pneus</t>
        </is>
      </c>
      <c r="F1289" s="17" t="inlineStr">
        <is>
          <t>Comparez les pneus moto et scooter Michelin, Bridgestone, Pirelli et Metzeler par dimension, et faites-les monter près de chez vous.</t>
        </is>
      </c>
      <c r="G1289" s="19" t="inlineStr">
        <is>
          <t>https://lb.affilae.com/r/?p=61b9aae6d4b9873f6d45ef3d&amp;af=546&amp;lp=https%3A%2F%2Fwww.allopneus.com%2Fproduit%2Fpneu-moto%2Fmichelin%2Fcross-enduro-trial%2Fenduro-medium%2F140-80-18-70-r%2F0004703552%3Futm_source%3Daffilae%26utm_medium%3Daffiliation%26utm_campaign%3Dlemrock</t>
        </is>
      </c>
      <c r="H1289" s="20" t="n">
        <v>6038</v>
      </c>
      <c r="I1289" s="20" t="n">
        <v>40</v>
      </c>
      <c r="J1289" s="21">
        <f>IF(H1289=0,0,I1289/H1289)</f>
        <v/>
      </c>
    </row>
    <row r="1290">
      <c r="A1290" s="17" t="inlineStr">
        <is>
          <t>Allo Pneus</t>
        </is>
      </c>
      <c r="B1290" s="17" t="inlineStr">
        <is>
          <t>Live</t>
        </is>
      </c>
      <c r="C1290" s="17" t="inlineStr">
        <is>
          <t>Allo Pneus</t>
        </is>
      </c>
      <c r="D1290" s="17" t="inlineStr">
        <is>
          <t>Pneus moto</t>
        </is>
      </c>
      <c r="E1290" s="18" t="inlineStr">
        <is>
          <t>Pneu Bridgestone BATTLAX SCOOTER SC2 160/60R15 67 H</t>
        </is>
      </c>
      <c r="F1290" s="17" t="inlineStr">
        <is>
          <t>Leader de la vente de pneus pas chers en ligne, retrouvez avec Allopneus le pneu Bridgestone BATTLAX SCOOTER SC2 160/60R15 67 H. Montage en centre ou à domicile !</t>
        </is>
      </c>
      <c r="G1290" s="19" t="inlineStr">
        <is>
          <t>https://lb.affilae.com/r/?p=61b9aae6d4b9873f6d45ef3d&amp;af=546&amp;lp=https%3A%2F%2Fwww.allopneus.com%2Fproduit%2Fpneu-moto%2Fbridgestone%2Fscooter%2Fbattlax-scooter-sc2%2F160-60r15-67-h%2F0004771525%3Futm_source%3Daffilae%26utm_medium%3Daffiliation%26utm_campaign%3Dlemrock</t>
        </is>
      </c>
      <c r="H1290" s="20" t="n">
        <v>3385</v>
      </c>
      <c r="I1290" s="20" t="n">
        <v>13</v>
      </c>
      <c r="J1290" s="21">
        <f>IF(H1290=0,0,I1290/H1290)</f>
        <v/>
      </c>
    </row>
    <row r="1291">
      <c r="A1291" s="17" t="inlineStr">
        <is>
          <t>Allo Pneus</t>
        </is>
      </c>
      <c r="B1291" s="17" t="inlineStr">
        <is>
          <t>Live</t>
        </is>
      </c>
      <c r="C1291" s="17" t="inlineStr">
        <is>
          <t>Allo Pneus</t>
        </is>
      </c>
      <c r="D1291" s="17" t="inlineStr">
        <is>
          <t>Pneus moto</t>
        </is>
      </c>
      <c r="E1291" s="18" t="inlineStr">
        <is>
          <t>Pneu Pirelli DIABLO ROSSO SCOOTER 160/60R15 67 H</t>
        </is>
      </c>
      <c r="F1291" s="17" t="inlineStr">
        <is>
          <t>Leader de la vente de pneus pas chers en ligne, retrouvez avec Allopneus le pneu Pirelli DIABLO ROSSO SCOOTER 160/60R15 67 H. Montage en centre ou à domicile !</t>
        </is>
      </c>
      <c r="G1291" s="19" t="inlineStr">
        <is>
          <t>https://lb.affilae.com/r/?p=61b9aae6d4b9873f6d45ef3d&amp;af=546&amp;lp=https%3A%2F%2Fwww.allopneus.com%2Fproduit%2Fpneu-moto%2Fpirelli%2Fscooter%2Fdiablo-rosso-scooter%2F160-60r15-67-h%2F0004529248%3Futm_source%3Daffilae%26utm_medium%3Daffiliation%26utm_campaign%3Dlemrock</t>
        </is>
      </c>
      <c r="H1291" s="20" t="n">
        <v>2025</v>
      </c>
      <c r="I1291" s="20" t="n">
        <v>10</v>
      </c>
      <c r="J1291" s="21">
        <f>IF(H1291=0,0,I1291/H1291)</f>
        <v/>
      </c>
    </row>
    <row r="1292">
      <c r="A1292" s="17" t="inlineStr">
        <is>
          <t>Allo Pneus</t>
        </is>
      </c>
      <c r="B1292" s="17" t="inlineStr">
        <is>
          <t>Live</t>
        </is>
      </c>
      <c r="C1292" s="17" t="inlineStr">
        <is>
          <t>Allo Pneus</t>
        </is>
      </c>
      <c r="D1292" s="17" t="inlineStr">
        <is>
          <t>Pneus moto</t>
        </is>
      </c>
      <c r="E1292" s="18" t="inlineStr">
        <is>
          <t>Pneu Metzeler ROADTEC Z6 120/70R17 58 W - ALLOPNEUS.COM</t>
        </is>
      </c>
      <c r="F1292" s="17" t="inlineStr">
        <is>
          <t>Leader de la vente de pneus pas chers en ligne, retrouvez avec Allopneus le pneu Metzeler ROADTEC Z6 120/70R17 58 W. Montage en centre ou à domicile !</t>
        </is>
      </c>
      <c r="G1292" s="19" t="inlineStr">
        <is>
          <t>https://lb.affilae.com/r/?p=61b9aae6d4b9873f6d45ef3d&amp;af=546&amp;lp=https%3A%2F%2Fwww.allopneus.com%2Fproduit%2Fpneu-moto%2Fmetzeler%2Fsport-route%2Froadtec-z6%2F120-70r17-58-w%2F0000342194%3Futm_source%3Daffilae%26utm_medium%3Daffiliation%26utm_campaign%3Dlemrock</t>
        </is>
      </c>
      <c r="H1292" s="20" t="n">
        <v>1590</v>
      </c>
      <c r="I1292" s="20" t="n">
        <v>6</v>
      </c>
      <c r="J1292" s="21">
        <f>IF(H1292=0,0,I1292/H1292)</f>
        <v/>
      </c>
    </row>
    <row r="1293">
      <c r="A1293" s="17" t="inlineStr">
        <is>
          <t>Allo Pneus</t>
        </is>
      </c>
      <c r="B1293" s="17" t="inlineStr">
        <is>
          <t>Live</t>
        </is>
      </c>
      <c r="C1293" s="17" t="inlineStr">
        <is>
          <t>Allo Pneus</t>
        </is>
      </c>
      <c r="D1293" s="17" t="inlineStr">
        <is>
          <t>Pneus utilitaires, fourgons et camping-cars</t>
        </is>
      </c>
      <c r="E1293" s="18" t="inlineStr">
        <is>
          <t>Pneu Nankang VAN TR-10 185/70R13 106N - ALLOPNEUS.COM</t>
        </is>
      </c>
      <c r="F1293" s="17" t="inlineStr">
        <is>
          <t>Leader de la vente de pneus pas chers en ligne, retrouvez avec Allopneus le pneu Nankang VAN TR-10 185/70R13 106N. Montage en centre ou à domicile !</t>
        </is>
      </c>
      <c r="G1293" s="19" t="inlineStr">
        <is>
          <t>https://lb.affilae.com/r/?p=61b9aae6d4b9873f6d45ef3d&amp;af=546&amp;lp=https%3A%2F%2Fwww.allopneus.com%2Fproduit%2Fpneu-auto%2Fnankang%2Fcamionnette-ete-remorque-bagagere%2Fvan-tr-10%2F185-70r13-106n%2F0004104330%3Futm_source%3Daffilae%26utm_medium%3Daffiliation%26utm_campaign%3Dlemrock</t>
        </is>
      </c>
      <c r="H1293" s="20" t="n">
        <v>1544</v>
      </c>
      <c r="I1293" s="20" t="n">
        <v>6</v>
      </c>
      <c r="J1293" s="21">
        <f>IF(H1293=0,0,I1293/H1293)</f>
        <v/>
      </c>
    </row>
    <row r="1294">
      <c r="A1294" s="17" t="inlineStr">
        <is>
          <t>Allo Pneus</t>
        </is>
      </c>
      <c r="B1294" s="17" t="inlineStr">
        <is>
          <t>Live</t>
        </is>
      </c>
      <c r="C1294" s="17" t="inlineStr">
        <is>
          <t>Allo Pneus</t>
        </is>
      </c>
      <c r="D1294" s="17" t="inlineStr">
        <is>
          <t>Pneus moto</t>
        </is>
      </c>
      <c r="E1294" s="18" t="inlineStr">
        <is>
          <t>Pneu Michelin CITY GRIP 2 140/70-14 68 S - ALLOPNEUS.COM</t>
        </is>
      </c>
      <c r="F1294" s="17" t="inlineStr">
        <is>
          <t>Leader de la vente de pneus pas chers en ligne, retrouvez avec Allopneus le pneu Michelin CITY GRIP 2 140/70-14 68 S. Montage en centre ou à domicile !</t>
        </is>
      </c>
      <c r="G1294" s="19" t="inlineStr">
        <is>
          <t>https://lb.affilae.com/r/?p=61b9aae6d4b9873f6d45ef3d&amp;af=546&amp;lp=https%3A%2F%2Fwww.allopneus.com%2Fproduit%2Fpneu-moto%2Fmichelin%2Fscooter%2Fcity-grip-2%2F140-70-14-68-s%2F0005506619%3Futm_source%3Daffilae%26utm_medium%3Daffiliation%26utm_campaign%3Dlemrock</t>
        </is>
      </c>
      <c r="H1294" s="20" t="n">
        <v>1527</v>
      </c>
      <c r="I1294" s="20" t="n">
        <v>8</v>
      </c>
      <c r="J1294" s="21">
        <f>IF(H1294=0,0,I1294/H1294)</f>
        <v/>
      </c>
    </row>
    <row r="1295">
      <c r="A1295" s="17" t="inlineStr">
        <is>
          <t>Allo Pneus</t>
        </is>
      </c>
      <c r="B1295" s="17" t="inlineStr">
        <is>
          <t>Live</t>
        </is>
      </c>
      <c r="C1295" s="17" t="inlineStr">
        <is>
          <t>Allo Pneus</t>
        </is>
      </c>
      <c r="D1295" s="17" t="inlineStr">
        <is>
          <t>Pneus moto</t>
        </is>
      </c>
      <c r="E1295" s="18" t="inlineStr">
        <is>
          <t>Pneu Bridgestone Battlax S21 120/70R17 58 W - ALLOPNEUS.COM</t>
        </is>
      </c>
      <c r="F1295" s="17" t="inlineStr">
        <is>
          <t>Leader de la vente de pneus pas chers en ligne, retrouvez avec Allopneus le pneu Bridgestone Battlax S21 120/70R17 58 W. Montage en centre ou à domicile !</t>
        </is>
      </c>
      <c r="G1295" s="19" t="inlineStr">
        <is>
          <t>https://lb.affilae.com/r/?p=61b9aae6d4b9873f6d45ef3d&amp;af=546&amp;lp=https%3A%2F%2Fwww.allopneus.com%2Fproduit%2Fpneu-moto%2Fbridgestone%2Fsport-route%2Fbattlax-s21%2F120-70r17-58-w%2F0004257947%3Futm_source%3Daffilae%26utm_medium%3Daffiliation%26utm_campaign%3Dlemrock</t>
        </is>
      </c>
      <c r="H1295" s="20" t="n">
        <v>1526</v>
      </c>
      <c r="I1295" s="20" t="n">
        <v>6</v>
      </c>
      <c r="J1295" s="21">
        <f>IF(H1295=0,0,I1295/H1295)</f>
        <v/>
      </c>
    </row>
    <row r="1296">
      <c r="A1296" s="17" t="inlineStr">
        <is>
          <t>Allo Pneus</t>
        </is>
      </c>
      <c r="B1296" s="17" t="inlineStr">
        <is>
          <t>Live</t>
        </is>
      </c>
      <c r="C1296" s="17" t="inlineStr">
        <is>
          <t>Allo Pneus</t>
        </is>
      </c>
      <c r="D1296" s="17" t="inlineStr">
        <is>
          <t>Pneus hiver</t>
        </is>
      </c>
      <c r="E1296" s="18" t="inlineStr">
        <is>
          <t>Pneu Hankook Winter i*cept RS3 W462 185/65R15 88T</t>
        </is>
      </c>
      <c r="F1296" s="17" t="inlineStr">
        <is>
          <t>Leader de la vente de pneus pas chers en ligne, retrouvez avec Allopneus le pneu Hankook Winter i*cept RS3 W462 185/65R15 88T. Montage en centre ou à domicile !</t>
        </is>
      </c>
      <c r="G1296" s="19" t="inlineStr">
        <is>
          <t>https://lb.affilae.com/r/?p=61b9aae6d4b9873f6d45ef3d&amp;af=546&amp;lp=https%3A%2F%2Fwww.allopneus.com%2Fproduit%2Fpneu-auto%2Fhankook%2Ftourisme-hiver%2Fwinter-i-cept-rs3-w462%2F185-65r15-88t%2F0006090315%3Futm_source%3Daffilae%26utm_medium%3Daffiliation%26utm_campaign%3Dlemrock</t>
        </is>
      </c>
      <c r="H1296" s="20" t="n">
        <v>1515</v>
      </c>
      <c r="I1296" s="20" t="n">
        <v>12</v>
      </c>
      <c r="J1296" s="21">
        <f>IF(H1296=0,0,I1296/H1296)</f>
        <v/>
      </c>
    </row>
    <row r="1297">
      <c r="A1297" s="17" t="inlineStr">
        <is>
          <t>Allo Pneus</t>
        </is>
      </c>
      <c r="B1297" s="17" t="inlineStr">
        <is>
          <t>Live</t>
        </is>
      </c>
      <c r="C1297" s="17" t="inlineStr">
        <is>
          <t>Allo Pneus</t>
        </is>
      </c>
      <c r="D1297" s="17" t="inlineStr">
        <is>
          <t>Pneus utilitaires, fourgons et camping-cars</t>
        </is>
      </c>
      <c r="E1297" s="18" t="inlineStr">
        <is>
          <t>Pneu Falken EuroAllSeason VAN11 215/65R16 109R</t>
        </is>
      </c>
      <c r="F1297" s="17" t="inlineStr">
        <is>
          <t>Leader de la vente de pneus pas chers en ligne, retrouvez avec Allopneus le pneu Falken EuroAllSeason VAN11 215/65R16 109R. Montage en centre ou à domicile !</t>
        </is>
      </c>
      <c r="G1297" s="19" t="inlineStr">
        <is>
          <t>https://lb.affilae.com/r/?p=61b9aae6d4b9873f6d45ef3d&amp;af=546&amp;lp=https%3A%2F%2Fwww.allopneus.com%2Fproduit%2Fpneu-auto%2Ffalken%2Fcamionnette-4saisons%2Feuroallseason-van11%2F215-65r16-109r%2F0004948429%3Futm_source%3Daffilae%26utm_medium%3Daffiliation%26utm_campaign%3Dlemrock</t>
        </is>
      </c>
      <c r="H1297" s="20" t="n">
        <v>1511</v>
      </c>
      <c r="I1297" s="20" t="n">
        <v>6</v>
      </c>
      <c r="J1297" s="21">
        <f>IF(H1297=0,0,I1297/H1297)</f>
        <v/>
      </c>
    </row>
    <row r="1298">
      <c r="A1298" s="17" t="inlineStr">
        <is>
          <t>Allo Pneus</t>
        </is>
      </c>
      <c r="B1298" s="17" t="inlineStr">
        <is>
          <t>Live</t>
        </is>
      </c>
      <c r="C1298" s="17" t="inlineStr">
        <is>
          <t>Allo Pneus</t>
        </is>
      </c>
      <c r="D1298" s="17" t="inlineStr">
        <is>
          <t>Pneus moto</t>
        </is>
      </c>
      <c r="E1298" s="18" t="inlineStr">
        <is>
          <t>Pneu Michelin PILOT ROAD 4 120/70R17 58 W - ALLOPNEUS.COM</t>
        </is>
      </c>
      <c r="F1298" s="17" t="inlineStr">
        <is>
          <t>Leader de la vente de pneus pas chers en ligne, retrouvez avec Allopneus le pneu Michelin PILOT ROAD 4 120/70R17 58 W. Montage en centre ou à domicile !</t>
        </is>
      </c>
      <c r="G1298" s="19" t="inlineStr">
        <is>
          <t>https://lb.affilae.com/r/?p=61b9aae6d4b9873f6d45ef3d&amp;af=546&amp;lp=https%3A%2F%2Fwww.allopneus.com%2Fproduit%2Fpneu-moto%2Fmichelin%2Fsport-route%2Fpilot-road-4%2F120-70r17-58-w%2F0003783411%3Futm_source%3Daffilae%26utm_medium%3Daffiliation%26utm_campaign%3Dlemrock</t>
        </is>
      </c>
      <c r="H1298" s="20" t="n">
        <v>1510</v>
      </c>
      <c r="I1298" s="20" t="n">
        <v>10</v>
      </c>
      <c r="J1298" s="21">
        <f>IF(H1298=0,0,I1298/H1298)</f>
        <v/>
      </c>
    </row>
    <row r="1299">
      <c r="A1299" s="17" t="inlineStr">
        <is>
          <t>Allo Pneus</t>
        </is>
      </c>
      <c r="B1299" s="17" t="inlineStr">
        <is>
          <t>Live</t>
        </is>
      </c>
      <c r="C1299" s="17" t="inlineStr">
        <is>
          <t>Allo Pneus</t>
        </is>
      </c>
      <c r="D1299" s="17" t="inlineStr">
        <is>
          <t>Pneus hiver</t>
        </is>
      </c>
      <c r="E1299" s="18" t="inlineStr">
        <is>
          <t>Pneu Ilink WINTER IL868 205/55 R16 91H - ALLOPNEUS.COM</t>
        </is>
      </c>
      <c r="F1299" s="17" t="inlineStr">
        <is>
          <t>Leader de la vente de pneus pas chers en ligne, retrouvez avec Allopneus le pneu Ilink WINTER IL868 205/55 R16 91H. Montage en centre ou à domicile !</t>
        </is>
      </c>
      <c r="G1299" s="19" t="inlineStr">
        <is>
          <t>https://lb.affilae.com/r/?p=61b9aae6d4b9873f6d45ef3d&amp;af=546&amp;lp=https%3A%2F%2Fwww.allopneus.com%2Fproduit%2Fpneu-auto%2Filink%2Ftourisme-hiver%2Fwinter-il868%2F205-55-r16-91h%2F0002040398%3Futm_source%3Daffilae%26utm_medium%3Daffiliation%26utm_campaign%3Dlemrock</t>
        </is>
      </c>
      <c r="H1299" s="20" t="n">
        <v>1509</v>
      </c>
      <c r="I1299" s="20" t="n">
        <v>6</v>
      </c>
      <c r="J1299" s="21">
        <f>IF(H1299=0,0,I1299/H1299)</f>
        <v/>
      </c>
    </row>
    <row r="1300">
      <c r="A1300" s="17" t="inlineStr">
        <is>
          <t>Allo Pneus</t>
        </is>
      </c>
      <c r="B1300" s="17" t="inlineStr">
        <is>
          <t>Live</t>
        </is>
      </c>
      <c r="C1300" s="17" t="inlineStr">
        <is>
          <t>Allo Pneus</t>
        </is>
      </c>
      <c r="D1300" s="17" t="inlineStr">
        <is>
          <t>Pneus moto</t>
        </is>
      </c>
      <c r="E1300" s="18" t="inlineStr">
        <is>
          <t>Pneu Michelin ENDURO MEDIUM 140/80-18 70 R - ALLOPNEUS.COM</t>
        </is>
      </c>
      <c r="F1300" s="17" t="inlineStr">
        <is>
          <t>Leader de la vente de pneus pas chers en ligne, retrouvez avec Allopneus le pneu Michelin ENDURO MEDIUM 140/80-18 70 R. Montage en centre ou à domicile !</t>
        </is>
      </c>
      <c r="G1300" s="19" t="inlineStr">
        <is>
          <t>https://lb.affilae.com/r/?p=61b9aae6d4b9873f6d45ef3d&amp;af=546&amp;lp=https%3A%2F%2Fwww.allopneus.com%2Fproduit%2Fpneu-moto%2Fmichelin%2Fcross-enduro-trial%2Fenduro-medium%2F140-80-18-70-r%2F0004703552%3Futm_source%3Daffilae%26utm_medium%3Daffiliation%26utm_campaign%3Dlemrock</t>
        </is>
      </c>
      <c r="H1300" s="20" t="n">
        <v>1505</v>
      </c>
      <c r="I1300" s="20" t="n">
        <v>6</v>
      </c>
      <c r="J1300" s="21">
        <f>IF(H1300=0,0,I1300/H1300)</f>
        <v/>
      </c>
    </row>
    <row r="1301">
      <c r="A1301" s="17" t="inlineStr">
        <is>
          <t>Allo Pneus</t>
        </is>
      </c>
      <c r="B1301" s="17" t="inlineStr">
        <is>
          <t>Live</t>
        </is>
      </c>
      <c r="C1301" s="17" t="inlineStr">
        <is>
          <t>Allo Pneus</t>
        </is>
      </c>
      <c r="D1301" s="17" t="inlineStr">
        <is>
          <t>Pneus utilitaires, fourgons et camping-cars</t>
        </is>
      </c>
      <c r="E1301" s="18" t="inlineStr">
        <is>
          <t>Pneu Continental VANCONTACT 4SEASON 215/65R16 109T</t>
        </is>
      </c>
      <c r="F1301" s="17" t="inlineStr">
        <is>
          <t>Leader de la vente de pneus pas chers en ligne, retrouvez avec Allopneus le pneu Continental VANCONTACT 4SEASON 215/65R16 109T. Montage en centre ou à domicile !</t>
        </is>
      </c>
      <c r="G1301" s="19" t="inlineStr">
        <is>
          <t>https://lb.affilae.com/r/?p=61b9aae6d4b9873f6d45ef3d&amp;af=546&amp;lp=https%3A%2F%2Fwww.allopneus.com%2Fproduit%2Fpneu-auto%2Fcontinental%2Fcamionnette-4saisons%2Fvancontact-4season%2F215-65r16-109t%2F0004520736%3Futm_source%3Daffilae%26utm_medium%3Daffiliation%26utm_campaign%3Dlemrock</t>
        </is>
      </c>
      <c r="H1301" s="20" t="n">
        <v>1495</v>
      </c>
      <c r="I1301" s="20" t="n">
        <v>14</v>
      </c>
      <c r="J1301" s="21">
        <f>IF(H1301=0,0,I1301/H1301)</f>
        <v/>
      </c>
    </row>
    <row r="1302">
      <c r="A1302" s="17" t="inlineStr">
        <is>
          <t>Allo Pneus</t>
        </is>
      </c>
      <c r="B1302" s="17" t="inlineStr">
        <is>
          <t>Live</t>
        </is>
      </c>
      <c r="C1302" s="17" t="inlineStr">
        <is>
          <t>Allo Pneus</t>
        </is>
      </c>
      <c r="D1302" s="17" t="inlineStr">
        <is>
          <t>Pneus utilitaires, fourgons et camping-cars</t>
        </is>
      </c>
      <c r="E1302" s="18" t="inlineStr">
        <is>
          <t>Pneu Kleber TRANSPRO 4S 215/65R16 109R - ALLOPNEUS.COM</t>
        </is>
      </c>
      <c r="F1302" s="17" t="inlineStr">
        <is>
          <t>Leader de la vente de pneus pas chers en ligne, retrouvez avec Allopneus le pneu Kleber TRANSPRO 4S 215/65R16 109R. Montage en centre ou à domicile !</t>
        </is>
      </c>
      <c r="G1302" s="19" t="inlineStr">
        <is>
          <t>https://lb.affilae.com/r/?p=61b9aae6d4b9873f6d45ef3d&amp;af=546&amp;lp=https%3A%2F%2Fwww.allopneus.com%2Fproduit%2Fpneu-auto%2Fkleber%2Fcamionnette-4saisons%2Ftranspro-4s%2F215-65r16-109r%2F0004519429%3Futm_source%3Daffilae%26utm_medium%3Daffiliation%26utm_campaign%3Dlemrock</t>
        </is>
      </c>
      <c r="H1302" s="20" t="n">
        <v>1491</v>
      </c>
      <c r="I1302" s="20" t="n">
        <v>3</v>
      </c>
      <c r="J1302" s="21">
        <f>IF(H1302=0,0,I1302/H1302)</f>
        <v/>
      </c>
    </row>
    <row r="1303">
      <c r="A1303" s="17" t="inlineStr">
        <is>
          <t>Allo Pneus</t>
        </is>
      </c>
      <c r="B1303" s="17" t="inlineStr">
        <is>
          <t>Live</t>
        </is>
      </c>
      <c r="C1303" s="17" t="inlineStr">
        <is>
          <t>Allo Pneus</t>
        </is>
      </c>
      <c r="D1303" s="17" t="inlineStr">
        <is>
          <t>Pneus hiver</t>
        </is>
      </c>
      <c r="E1303" s="18" t="inlineStr">
        <is>
          <t>Pneu Michelin ALPIN 7 185/65R15 88T - ALLOPNEUS.COM</t>
        </is>
      </c>
      <c r="F1303" s="17" t="inlineStr">
        <is>
          <t>Leader de la vente de pneus pas chers en ligne, retrouvez avec Allopneus le pneu Michelin ALPIN 7 185/65R15 88T. Montage en centre ou à domicile !</t>
        </is>
      </c>
      <c r="G1303" s="19" t="inlineStr">
        <is>
          <t>https://lb.affilae.com/r/?p=61b9aae6d4b9873f6d45ef3d&amp;af=546&amp;lp=https%3A%2F%2Fwww.allopneus.com%2Fproduit%2Fpneu-auto%2Fmichelin%2Ftourisme-hiver%2Falpin-7%2F185-65r15-88t%2F0006593316%3Futm_source%3Daffilae%26utm_medium%3Daffiliation%26utm_campaign%3Dlemrock</t>
        </is>
      </c>
      <c r="H1303" s="20" t="n">
        <v>1471</v>
      </c>
      <c r="I1303" s="20" t="n">
        <v>5</v>
      </c>
      <c r="J1303" s="21">
        <f>IF(H1303=0,0,I1303/H1303)</f>
        <v/>
      </c>
    </row>
    <row r="1304">
      <c r="A1304" s="17" t="inlineStr">
        <is>
          <t>Allo Pneus</t>
        </is>
      </c>
      <c r="B1304" s="17" t="inlineStr">
        <is>
          <t>Live</t>
        </is>
      </c>
      <c r="C1304" s="17" t="inlineStr">
        <is>
          <t>Allo Pneus</t>
        </is>
      </c>
      <c r="D1304" s="17" t="inlineStr">
        <is>
          <t>Pneus été voitures particulières</t>
        </is>
      </c>
      <c r="E1304" s="18" t="inlineStr">
        <is>
          <t>Pneu Continental SPORTCONTACT 7 225/40R18 92Y</t>
        </is>
      </c>
      <c r="F1304" s="17" t="inlineStr">
        <is>
          <t>Leader de la vente de pneus pas chers en ligne, retrouvez avec Allopneus le pneu Continental SPORTCONTACT 7 225/40R18 92Y. Montage en centre ou à domicile !</t>
        </is>
      </c>
      <c r="G1304" s="19" t="inlineStr">
        <is>
          <t>https://lb.affilae.com/r/?p=61b9aae6d4b9873f6d45ef3d&amp;af=546&amp;lp=https%3A%2F%2Fwww.allopneus.com%2Fproduit%2Fpneu-auto%2Fcontinental%2Ftourisme-ete%2Fsportcontact-7%2F225-40r18-92y%2F0006167021%3Futm_source%3Daffilae%26utm_medium%3Daffiliation%26utm_campaign%3Dlemrock</t>
        </is>
      </c>
      <c r="H1304" s="20" t="n">
        <v>1463</v>
      </c>
      <c r="I1304" s="20" t="n">
        <v>6</v>
      </c>
      <c r="J1304" s="21">
        <f>IF(H1304=0,0,I1304/H1304)</f>
        <v/>
      </c>
    </row>
    <row r="1305">
      <c r="A1305" s="17" t="inlineStr">
        <is>
          <t>Allo Pneus</t>
        </is>
      </c>
      <c r="B1305" s="17" t="inlineStr">
        <is>
          <t>Live</t>
        </is>
      </c>
      <c r="C1305" s="17" t="inlineStr">
        <is>
          <t>Allo Pneus</t>
        </is>
      </c>
      <c r="D1305" s="17" t="inlineStr">
        <is>
          <t>Pneus utilitaires, fourgons et camping-cars</t>
        </is>
      </c>
      <c r="E1305" s="18" t="inlineStr">
        <is>
          <t>Pneu Goodtrip SAFEGUARD 175/65R14 90T - ALLOPNEUS.COM</t>
        </is>
      </c>
      <c r="F1305" s="17" t="inlineStr">
        <is>
          <t>Leader de la vente de pneus pas chers en ligne, retrouvez avec Allopneus le pneu Goodtrip SAFEGUARD 175/65R14 90T. Montage en centre ou à domicile !</t>
        </is>
      </c>
      <c r="G1305" s="19" t="inlineStr">
        <is>
          <t>https://lb.affilae.com/r/?p=61b9aae6d4b9873f6d45ef3d&amp;af=546&amp;lp=https%3A%2F%2Fwww.allopneus.com%2Fproduit%2Fpneu-auto%2Fgoodtrip%2Fcamionnette-ete%2Fsafeguard%2F175-65r14-90t%2F0002044545%3Futm_source%3Daffilae%26utm_medium%3Daffiliation%26utm_campaign%3Dlemrock</t>
        </is>
      </c>
      <c r="H1305" s="20" t="n">
        <v>1462</v>
      </c>
      <c r="I1305" s="20" t="n">
        <v>10</v>
      </c>
      <c r="J1305" s="21">
        <f>IF(H1305=0,0,I1305/H1305)</f>
        <v/>
      </c>
    </row>
    <row r="1306">
      <c r="A1306" s="17" t="inlineStr">
        <is>
          <t>Allo Pneus</t>
        </is>
      </c>
      <c r="B1306" s="17" t="inlineStr">
        <is>
          <t>Live</t>
        </is>
      </c>
      <c r="C1306" s="17" t="inlineStr">
        <is>
          <t>Allo Pneus</t>
        </is>
      </c>
      <c r="D1306" s="17" t="inlineStr">
        <is>
          <t>Pneus toutes saisons voitures particulières</t>
        </is>
      </c>
      <c r="E1306" s="18" t="inlineStr">
        <is>
          <t>Pneu Falken EUROALL SEASON AS210 195/65R15 91H</t>
        </is>
      </c>
      <c r="F1306" s="17" t="inlineStr">
        <is>
          <t>Leader de la vente de pneus pas chers en ligne, retrouvez avec Allopneus le pneu Falken EUROALL SEASON AS210 195/65R15 91H. Montage en centre ou à domicile !</t>
        </is>
      </c>
      <c r="G1306" s="19" t="inlineStr">
        <is>
          <t>https://lb.affilae.com/r/?p=61b9aae6d4b9873f6d45ef3d&amp;af=546&amp;lp=https%3A%2F%2Fwww.allopneus.com%2Fproduit%2Fpneu-auto%2Ffalken%2Ftourisme-4saisons%2Feuroall-season-as210%2F195-65r15-91h%2F0002042432%3Futm_source%3Daffilae%26utm_medium%3Daffiliation%26utm_campaign%3Dlemrock</t>
        </is>
      </c>
      <c r="H1306" s="20" t="n">
        <v>1456</v>
      </c>
      <c r="I1306" s="20" t="n">
        <v>8</v>
      </c>
      <c r="J1306" s="21">
        <f>IF(H1306=0,0,I1306/H1306)</f>
        <v/>
      </c>
    </row>
    <row r="1307">
      <c r="A1307" s="17" t="inlineStr">
        <is>
          <t>Allo Pneus</t>
        </is>
      </c>
      <c r="B1307" s="17" t="inlineStr">
        <is>
          <t>Live</t>
        </is>
      </c>
      <c r="C1307" s="17" t="inlineStr">
        <is>
          <t>Allo Pneus</t>
        </is>
      </c>
      <c r="D1307" s="17" t="inlineStr">
        <is>
          <t>Pneus toutes saisons voitures particulières</t>
        </is>
      </c>
      <c r="E1307" s="18" t="inlineStr">
        <is>
          <t>Pneu Kumho SOLUS 4S HA32 225/50R18 99W - ALLOPNEUS.COM</t>
        </is>
      </c>
      <c r="F1307" s="17" t="inlineStr">
        <is>
          <t>Leader de la vente de pneus pas chers en ligne, retrouvez avec Allopneus le pneu Kumho SOLUS 4S HA32 225/50R18 99W. Montage en centre ou à domicile !</t>
        </is>
      </c>
      <c r="G1307" s="19" t="inlineStr">
        <is>
          <t>https://lb.affilae.com/r/?p=61b9aae6d4b9873f6d45ef3d&amp;af=546&amp;lp=https%3A%2F%2Fwww.allopneus.com%2Fproduit%2Fpneu-auto%2Fkumho%2F4x4-4saisons%2Fsolus-4s-ha32%2F225-50r18-99w%2F0006117093%3Futm_source%3Daffilae%26utm_medium%3Daffiliation%26utm_campaign%3Dlemrock</t>
        </is>
      </c>
      <c r="H1307" s="20" t="n">
        <v>1433</v>
      </c>
      <c r="I1307" s="20" t="n">
        <v>6</v>
      </c>
      <c r="J1307" s="21">
        <f>IF(H1307=0,0,I1307/H1307)</f>
        <v/>
      </c>
    </row>
    <row r="1308">
      <c r="A1308" s="17" t="inlineStr">
        <is>
          <t>Allo Pneus</t>
        </is>
      </c>
      <c r="B1308" s="17" t="inlineStr">
        <is>
          <t>Live</t>
        </is>
      </c>
      <c r="C1308" s="17" t="inlineStr">
        <is>
          <t>Allo Pneus</t>
        </is>
      </c>
      <c r="D1308" s="17" t="inlineStr">
        <is>
          <t>Pneus utilitaires, fourgons et camping-cars</t>
        </is>
      </c>
      <c r="E1308" s="18" t="inlineStr">
        <is>
          <t>Pneu Goodyear EFFICIENTGRIP CARGO 2 215/65R16 109T</t>
        </is>
      </c>
      <c r="F1308" s="17" t="inlineStr">
        <is>
          <t>Leader de la vente de pneus pas chers en ligne, retrouvez avec Allopneus le pneu Goodyear EFFICIENTGRIP CARGO 2 215/65R16 109T. Montage en centre ou à domicile !</t>
        </is>
      </c>
      <c r="G1308" s="19" t="inlineStr">
        <is>
          <t>https://lb.affilae.com/r/?p=61b9aae6d4b9873f6d45ef3d&amp;af=546&amp;lp=https%3A%2F%2Fwww.allopneus.com%2Fproduit%2Fpneu-auto%2Fgoodyear%2Fcamionnette-ete%2Fefficientgrip-cargo-2%2F215-65r16-109t%2F0006162913%3Futm_source%3Daffilae%26utm_medium%3Daffiliation%26utm_campaign%3Dlemrock</t>
        </is>
      </c>
      <c r="H1308" s="20" t="n">
        <v>1432</v>
      </c>
      <c r="I1308" s="20" t="n">
        <v>7</v>
      </c>
      <c r="J1308" s="21">
        <f>IF(H1308=0,0,I1308/H1308)</f>
        <v/>
      </c>
    </row>
    <row r="1309">
      <c r="A1309" s="17" t="inlineStr">
        <is>
          <t>Allo Pneus</t>
        </is>
      </c>
      <c r="B1309" s="17" t="inlineStr">
        <is>
          <t>Live</t>
        </is>
      </c>
      <c r="C1309" s="17" t="inlineStr">
        <is>
          <t>Allo Pneus</t>
        </is>
      </c>
      <c r="D1309" s="17" t="inlineStr">
        <is>
          <t>Pneus été voitures particulières</t>
        </is>
      </c>
      <c r="E1309" s="18" t="inlineStr">
        <is>
          <t>Pneu Dunlop SPORT BLURESPONSE 205/55R16 91V - ALLOPNEUS.COM</t>
        </is>
      </c>
      <c r="F1309" s="17" t="inlineStr">
        <is>
          <t>Leader de la vente de pneus pas chers en ligne, retrouvez avec Allopneus le pneu Dunlop SPORT BLURESPONSE 205/55R16 91V. Montage en centre ou à domicile !</t>
        </is>
      </c>
      <c r="G1309" s="19" t="inlineStr">
        <is>
          <t>https://lb.affilae.com/r/?p=61b9aae6d4b9873f6d45ef3d&amp;af=546&amp;lp=https%3A%2F%2Fwww.allopneus.com%2Fproduit%2Fpneu-auto%2Fdunlop%2Ftourisme-ete%2Fsport-bluresponse%2F205-55r16-91v%2F0003665305%3Futm_source%3Daffilae%26utm_medium%3Daffiliation%26utm_campaign%3Dlemrock</t>
        </is>
      </c>
      <c r="H1309" s="20" t="n">
        <v>1427</v>
      </c>
      <c r="I1309" s="20" t="n">
        <v>11</v>
      </c>
      <c r="J1309" s="21">
        <f>IF(H1309=0,0,I1309/H1309)</f>
        <v/>
      </c>
    </row>
    <row r="1310">
      <c r="A1310" s="17" t="inlineStr">
        <is>
          <t>Allo Pneus</t>
        </is>
      </c>
      <c r="B1310" s="17" t="inlineStr">
        <is>
          <t>Live</t>
        </is>
      </c>
      <c r="C1310" s="17" t="inlineStr">
        <is>
          <t>Allo Pneus</t>
        </is>
      </c>
      <c r="D1310" s="17" t="inlineStr">
        <is>
          <t>Pneus toutes saisons voitures particulières</t>
        </is>
      </c>
      <c r="E1310" s="18" t="inlineStr">
        <is>
          <t>Pneu Continental AllSeason Contact 155/65R14 75T</t>
        </is>
      </c>
      <c r="F1310" s="17" t="inlineStr">
        <is>
          <t>Leader de la vente de pneus pas chers en ligne, retrouvez avec Allopneus le pneu Continental AllSeason Contact 155/65R14 75T. Montage en centre ou à domicile !</t>
        </is>
      </c>
      <c r="G1310" s="19" t="inlineStr">
        <is>
          <t>https://lb.affilae.com/r/?p=61b9aae6d4b9873f6d45ef3d&amp;af=546&amp;lp=https%3A%2F%2Fwww.allopneus.com%2Fproduit%2Fpneu-auto%2Fcontinental%2Ftourisme-4saisons%2Fallseason-contact%2F155-65r14-75t%2F0004770606%3Futm_source%3Daffilae%26utm_medium%3Daffiliation%26utm_campaign%3Dlemrock</t>
        </is>
      </c>
      <c r="H1310" s="20" t="n">
        <v>1427</v>
      </c>
      <c r="I1310" s="20" t="n">
        <v>4</v>
      </c>
      <c r="J1310" s="21">
        <f>IF(H1310=0,0,I1310/H1310)</f>
        <v/>
      </c>
    </row>
    <row r="1311">
      <c r="A1311" s="17" t="inlineStr">
        <is>
          <t>Allo Pneus</t>
        </is>
      </c>
      <c r="B1311" s="17" t="inlineStr">
        <is>
          <t>Live</t>
        </is>
      </c>
      <c r="C1311" s="17" t="inlineStr">
        <is>
          <t>Allo Pneus</t>
        </is>
      </c>
      <c r="D1311" s="17" t="inlineStr">
        <is>
          <t>Pneus utilitaires, fourgons et camping-cars</t>
        </is>
      </c>
      <c r="E1311" s="18" t="inlineStr">
        <is>
          <t>Pneu Continental VanContact Ultra Camper 215/70R15 109R</t>
        </is>
      </c>
      <c r="F1311" s="17" t="inlineStr">
        <is>
          <t>Leader de la vente de pneus pas chers en ligne, retrouvez avec Allopneus le pneu Continental VanContact Ultra Camper 215/70R15 109R. Montage en centre ou à domicile !</t>
        </is>
      </c>
      <c r="G1311" s="19" t="inlineStr">
        <is>
          <t>https://lb.affilae.com/r/?p=61b9aae6d4b9873f6d45ef3d&amp;af=546&amp;lp=https%3A%2F%2Fwww.allopneus.com%2Fproduit%2Fpneu-auto%2Fcontinental%2Fcamionnette-ete%2Fvancontact-ultra-camper%2F215-70r15-109r%2F0002045446%3Futm_source%3Daffilae%26utm_medium%3Daffiliation%26utm_campaign%3Dlemrock</t>
        </is>
      </c>
      <c r="H1311" s="20" t="n">
        <v>1421</v>
      </c>
      <c r="I1311" s="20" t="n">
        <v>5</v>
      </c>
      <c r="J1311" s="21">
        <f>IF(H1311=0,0,I1311/H1311)</f>
        <v/>
      </c>
    </row>
    <row r="1312">
      <c r="A1312" s="17" t="inlineStr">
        <is>
          <t>Allo Pneus</t>
        </is>
      </c>
      <c r="B1312" s="17" t="inlineStr">
        <is>
          <t>Live</t>
        </is>
      </c>
      <c r="C1312" s="17" t="inlineStr">
        <is>
          <t>Allo Pneus</t>
        </is>
      </c>
      <c r="D1312" s="17" t="inlineStr">
        <is>
          <t>Pneus été voitures particulières</t>
        </is>
      </c>
      <c r="E1312" s="18" t="inlineStr">
        <is>
          <t>Pneu Bridgestone TURANZA T005 195/55R16 87H - ALLOPNEUS.COM</t>
        </is>
      </c>
      <c r="F1312" s="17" t="inlineStr">
        <is>
          <t>Leader de la vente de pneus pas chers en ligne, retrouvez avec Allopneus le pneu Bridgestone TURANZA T005 195/55R16 87H. Montage en centre ou à domicile !</t>
        </is>
      </c>
      <c r="G1312" s="19" t="inlineStr">
        <is>
          <t>https://lb.affilae.com/r/?p=61b9aae6d4b9873f6d45ef3d&amp;af=546&amp;lp=https%3A%2F%2Fwww.allopneus.com%2Fproduit%2Fpneu-auto%2Fbridgestone%2Ftourisme-ete%2Fturanza-t005%2F195-55r16-87h%2F0005086294%3Futm_source%3Daffilae%26utm_medium%3Daffiliation%26utm_campaign%3Dlemrock</t>
        </is>
      </c>
      <c r="H1312" s="20" t="n">
        <v>1415</v>
      </c>
      <c r="I1312" s="20" t="n">
        <v>6</v>
      </c>
      <c r="J1312" s="21">
        <f>IF(H1312=0,0,I1312/H1312)</f>
        <v/>
      </c>
    </row>
    <row r="1313">
      <c r="A1313" s="17" t="inlineStr">
        <is>
          <t>Allo Pneus</t>
        </is>
      </c>
      <c r="B1313" s="17" t="inlineStr">
        <is>
          <t>Live</t>
        </is>
      </c>
      <c r="C1313" s="17" t="inlineStr">
        <is>
          <t>Allo Pneus</t>
        </is>
      </c>
      <c r="D1313" s="17" t="inlineStr">
        <is>
          <t>Pneus toutes saisons voitures particulières</t>
        </is>
      </c>
      <c r="E1313" s="18" t="inlineStr">
        <is>
          <t>Pneu Dunlop SPORT ALL SEASON 205/55R16 91V - ALLOPNEUS.COM</t>
        </is>
      </c>
      <c r="F1313" s="17" t="inlineStr">
        <is>
          <t>Leader de la vente de pneus pas chers en ligne, retrouvez avec Allopneus le pneu Dunlop SPORT ALL SEASON 205/55R16 91V. Montage en centre ou à domicile !</t>
        </is>
      </c>
      <c r="G1313" s="19" t="inlineStr">
        <is>
          <t>https://lb.affilae.com/r/?p=61b9aae6d4b9873f6d45ef3d&amp;af=546&amp;lp=https%3A%2F%2Fwww.allopneus.com%2Fproduit%2Fpneu-auto%2Fdunlop%2Ftourisme-4saisons%2Fsport-all-season%2F205-55r16-91v%2F0005674634%3Futm_source%3Daffilae%26utm_medium%3Daffiliation%26utm_campaign%3Dlemrock</t>
        </is>
      </c>
      <c r="H1313" s="20" t="n">
        <v>1389</v>
      </c>
      <c r="I1313" s="20" t="n">
        <v>3</v>
      </c>
      <c r="J1313" s="21">
        <f>IF(H1313=0,0,I1313/H1313)</f>
        <v/>
      </c>
    </row>
    <row r="1314">
      <c r="A1314" s="17" t="inlineStr">
        <is>
          <t>Marshall</t>
        </is>
      </c>
      <c r="B1314" s="17" t="inlineStr">
        <is>
          <t>Live</t>
        </is>
      </c>
      <c r="C1314" s="17" t="inlineStr">
        <is>
          <t>Marshall 2</t>
        </is>
      </c>
      <c r="D1314" s="17" t="inlineStr">
        <is>
          <t>Casques audio</t>
        </is>
      </c>
      <c r="E1314" s="18" t="inlineStr">
        <is>
          <t>MARSHALL Major V - Casque sans fil pliable - Bluetooth</t>
        </is>
      </c>
      <c r="F1314" s="17" t="inlineStr">
        <is>
          <t>Cdiscount TV Son Photo - Découvrez notre offre MARSHALL Major V - Casque sans fil pliable - Bluetooth - Noir. Livraison gratuite à partir de 25€* | Paiement sécurisé | 4x possible</t>
        </is>
      </c>
      <c r="G1314" s="19" t="inlineStr">
        <is>
          <t>https://www.cdiscount.com/high-tech/casques-baladeur-hifi/marshall-major-v-casque-sans-fil-pliable-bluet/f-1065420-mar1715107895408.html?cid=lemwork&amp;cm_mmc=marshall2</t>
        </is>
      </c>
      <c r="H1314" s="20" t="n">
        <v>58114</v>
      </c>
      <c r="I1314" s="20" t="n">
        <v>164</v>
      </c>
      <c r="J1314" s="21">
        <f>IF(H1314=0,0,I1314/H1314)</f>
        <v/>
      </c>
    </row>
    <row r="1315">
      <c r="A1315" s="17" t="inlineStr">
        <is>
          <t>Marshall</t>
        </is>
      </c>
      <c r="B1315" s="17" t="inlineStr">
        <is>
          <t>Live</t>
        </is>
      </c>
      <c r="C1315" s="17" t="inlineStr">
        <is>
          <t>Marshall 2</t>
        </is>
      </c>
      <c r="D1315" s="17" t="inlineStr">
        <is>
          <t>Enceintes sono et DJ</t>
        </is>
      </c>
      <c r="E1315" s="18" t="inlineStr">
        <is>
          <t>Enceinte sono DJ - MARSHALL - Bromley 450 - Son stéréo 360°</t>
        </is>
      </c>
      <c r="F1315" s="17" t="inlineStr">
        <is>
          <t>Cdiscount TV Son Photo - Découvrez notre offre Enceinte sono DJ - MARSHALL - Bromley 450 - Son stéréo 360° - Lumières intégrées - Entrées micro et instrument - Noir. Livraison</t>
        </is>
      </c>
      <c r="G1315" s="19" t="inlineStr">
        <is>
          <t>https://www.cdiscount.com/high-tech/lecteurs-mp3-mp4-et-multimedia/enceinte-sono-dj-marshall-bromley-450-son-st/f-1063320-mar7340055409384.html?cid=lemwork&amp;cm_mmc=marshall7</t>
        </is>
      </c>
      <c r="H1315" s="20" t="n">
        <v>57632</v>
      </c>
      <c r="I1315" s="20" t="n">
        <v>143</v>
      </c>
      <c r="J1315" s="21">
        <f>IF(H1315=0,0,I1315/H1315)</f>
        <v/>
      </c>
    </row>
    <row r="1316">
      <c r="A1316" s="17" t="inlineStr">
        <is>
          <t>Marshall</t>
        </is>
      </c>
      <c r="B1316" s="17" t="inlineStr">
        <is>
          <t>Live</t>
        </is>
      </c>
      <c r="C1316" s="17" t="inlineStr">
        <is>
          <t>Marshall 2</t>
        </is>
      </c>
      <c r="D1316" s="17" t="inlineStr">
        <is>
          <t>Enceintes sono et DJ</t>
        </is>
      </c>
      <c r="E1316" s="18" t="inlineStr">
        <is>
          <t>Enceinte sono DJ - MARSHALL - Bromley 750 - True</t>
        </is>
      </c>
      <c r="F1316" s="17" t="inlineStr">
        <is>
          <t>Cdiscount TV Son Photo - Découvrez notre offre Enceinte sono DJ - MARSHALL - Bromley 750 - True Stereophonic 360° - Autonomie 40 h - Bluetooth 5.3 - Lumières intégrées. Livraison</t>
        </is>
      </c>
      <c r="G1316" s="19" t="inlineStr">
        <is>
          <t>https://www.cdiscount.com/high-tech/enceintes-sans-fil-bluetooth/enceinte-sono-dj-marshall-bromley-750-true-s/f-10684-aabpv29379.html?cid=lemwork&amp;cm_mmc=marshall4</t>
        </is>
      </c>
      <c r="H1316" s="20" t="n">
        <v>39073</v>
      </c>
      <c r="I1316" s="20" t="n">
        <v>85</v>
      </c>
      <c r="J1316" s="21">
        <f>IF(H1316=0,0,I1316/H1316)</f>
        <v/>
      </c>
    </row>
    <row r="1317">
      <c r="A1317" s="17" t="inlineStr">
        <is>
          <t>Marshall</t>
        </is>
      </c>
      <c r="B1317" s="17" t="inlineStr">
        <is>
          <t>Live</t>
        </is>
      </c>
      <c r="C1317" s="17" t="inlineStr">
        <is>
          <t>Marshall 2</t>
        </is>
      </c>
      <c r="D1317" s="17" t="inlineStr">
        <is>
          <t>Casques audio</t>
        </is>
      </c>
      <c r="E1317" s="18" t="inlineStr">
        <is>
          <t>Casque audio - MARSHALL - Milton A.N.C - Noir - Cdiscount</t>
        </is>
      </c>
      <c r="F1317" s="17" t="inlineStr">
        <is>
          <t>Cdiscount TV Son Photo - Découvrez notre offre Casque audio - MARSHALL - Milton A.N.C - Noir. Livraison gratuite à partir de 25€* | Paiement sécurisé | 4x possible | Retour simple</t>
        </is>
      </c>
      <c r="G1317" s="19" t="inlineStr">
        <is>
          <t>https://www.cdiscount.com/high-tech/casques-baladeur-hifi/casque-audio-marshall-milton-a-n-c-noir/f-1065420-mar7340055407373.html?cid=lemwork&amp;cm_mmc=marshall6</t>
        </is>
      </c>
      <c r="H1317" s="20" t="n">
        <v>36934</v>
      </c>
      <c r="I1317" s="20" t="n">
        <v>116</v>
      </c>
      <c r="J1317" s="21">
        <f>IF(H1317=0,0,I1317/H1317)</f>
        <v/>
      </c>
    </row>
    <row r="1318">
      <c r="A1318" s="17" t="inlineStr">
        <is>
          <t>Marshall</t>
        </is>
      </c>
      <c r="B1318" s="17" t="inlineStr">
        <is>
          <t>Live</t>
        </is>
      </c>
      <c r="C1318" s="17" t="inlineStr">
        <is>
          <t>Marshall 2</t>
        </is>
      </c>
      <c r="D1318" s="17" t="inlineStr">
        <is>
          <t>Enceintes sans-fil Bluetooth</t>
        </is>
      </c>
      <c r="E1318" s="18" t="inlineStr">
        <is>
          <t>Enceinte sono DJ - MARSHALL - Bromley 450 - Son stéréo 360°</t>
        </is>
      </c>
      <c r="F1318" s="17" t="inlineStr">
        <is>
          <t>Cdiscount TV Son Photo - Découvrez notre offre Enceinte sono DJ - MARSHALL - Bromley 450 - Son stéréo 360° - Lumières intégrées - Entrées micro et instrument - Noir. Livraison</t>
        </is>
      </c>
      <c r="G1318" s="19" t="inlineStr">
        <is>
          <t>https://www.cdiscount.com/high-tech/lecteurs-mp3-mp4-et-multimedia/enceinte-sono-dj-marshall-bromley-450-son-st/f-1063320-mar7340055409384.html?cid=lemwork&amp;cm_mmc=marshall7</t>
        </is>
      </c>
      <c r="H1318" s="20" t="n">
        <v>20573</v>
      </c>
      <c r="I1318" s="20" t="n">
        <v>72</v>
      </c>
      <c r="J1318" s="21">
        <f>IF(H1318=0,0,I1318/H1318)</f>
        <v/>
      </c>
    </row>
    <row r="1319">
      <c r="A1319" s="17" t="inlineStr">
        <is>
          <t>Marshall</t>
        </is>
      </c>
      <c r="B1319" s="17" t="inlineStr">
        <is>
          <t>Live</t>
        </is>
      </c>
      <c r="C1319" s="17" t="inlineStr">
        <is>
          <t>Marshall 2</t>
        </is>
      </c>
      <c r="D1319" s="17" t="inlineStr">
        <is>
          <t>Enceintes sans-fil Bluetooth</t>
        </is>
      </c>
      <c r="E1319" s="18" t="inlineStr">
        <is>
          <t>Enceinte sans fil Bluetooth Marshall Acton III Noir</t>
        </is>
      </c>
      <c r="F1319" s="17" t="inlineStr">
        <is>
          <t>Cdiscount TV Son Photo - Découvrez notre offre Enceinte sans fil Bluetooth Marshall Acton III Noir. Livraison gratuite à partir de 25€* | Paiement sécurisé | 4x possible | Retour</t>
        </is>
      </c>
      <c r="G1319" s="19" t="inlineStr">
        <is>
          <t>https://www.cdiscount.com/high-tech/home-cinema/enceinte-sans-fil-bluetooth-marshall-acton-iii-noi/f-106291002-mar7340055384940.html?cid=lemwork&amp;cm_mmc=marshall3</t>
        </is>
      </c>
      <c r="H1319" s="20" t="n">
        <v>19781</v>
      </c>
      <c r="I1319" s="20" t="n">
        <v>132</v>
      </c>
      <c r="J1319" s="21">
        <f>IF(H1319=0,0,I1319/H1319)</f>
        <v/>
      </c>
    </row>
    <row r="1320">
      <c r="A1320" s="17" t="inlineStr">
        <is>
          <t>Marshall</t>
        </is>
      </c>
      <c r="B1320" s="17" t="inlineStr">
        <is>
          <t>Live</t>
        </is>
      </c>
      <c r="C1320" s="17" t="inlineStr">
        <is>
          <t>Marshall 2</t>
        </is>
      </c>
      <c r="D1320" s="17" t="inlineStr">
        <is>
          <t>Consumer Electronics</t>
        </is>
      </c>
      <c r="E1320" s="18" t="inlineStr">
        <is>
          <t>Marshall - Matériel audio sans fil</t>
        </is>
      </c>
      <c r="F1320" s="17" t="inlineStr">
        <is>
          <t>L’enceinte sono DJ Marshall Bromley 750 tient 40 heures, diffuse un son stéréo 360° en Bluetooth 5.3 et embarque des lumières intégrées.</t>
        </is>
      </c>
      <c r="G1320" s="19" t="inlineStr">
        <is>
          <t>https://www.cdiscount.com/high-tech/enceintes-sans-fil-bluetooth/enceinte-sono-dj-marshall-bromley-750-true-s/f-10684-aabpv29379.html?cid=lemwork&amp;cm_mmc=marshall4</t>
        </is>
      </c>
      <c r="H1320" s="20" t="n">
        <v>17460</v>
      </c>
      <c r="I1320" s="20" t="n">
        <v>67</v>
      </c>
      <c r="J1320" s="21">
        <f>IF(H1320=0,0,I1320/H1320)</f>
        <v/>
      </c>
    </row>
    <row r="1321">
      <c r="A1321" s="17" t="inlineStr">
        <is>
          <t>Marshall</t>
        </is>
      </c>
      <c r="B1321" s="17" t="inlineStr">
        <is>
          <t>Live</t>
        </is>
      </c>
      <c r="C1321" s="17" t="inlineStr">
        <is>
          <t>Marshall 2</t>
        </is>
      </c>
      <c r="D1321" s="17" t="inlineStr">
        <is>
          <t>Enceintes sans-fil Bluetooth</t>
        </is>
      </c>
      <c r="E1321" s="18" t="inlineStr">
        <is>
          <t>Enceinte sans fil - MARSHALL - Kilburn III - Bluetooth - 50</t>
        </is>
      </c>
      <c r="F1321" s="17" t="inlineStr">
        <is>
          <t>Cdiscount TV Son Photo - Découvrez notre offre Enceinte sans fil - MARSHALL - Kilburn III - Bluetooth - 50 h d’autonomie - Résistante à la poussière et à l’eau. Livraison gratuite</t>
        </is>
      </c>
      <c r="G1321" s="19" t="inlineStr">
        <is>
          <t>https://www.cdiscount.com/high-tech/enceintes-sans-fil-bluetooth/enceinte-sans-fil-marshall-kilburn-iii-bluet/f-10684-aaasl38879.html?cid=lemwork&amp;cm_mmc=marshall1</t>
        </is>
      </c>
      <c r="H1321" s="20" t="n">
        <v>16590</v>
      </c>
      <c r="I1321" s="20" t="n">
        <v>84</v>
      </c>
      <c r="J1321" s="21">
        <f>IF(H1321=0,0,I1321/H1321)</f>
        <v/>
      </c>
    </row>
    <row r="1322">
      <c r="A1322" s="17" t="inlineStr">
        <is>
          <t>Marshall</t>
        </is>
      </c>
      <c r="B1322" s="17" t="inlineStr">
        <is>
          <t>Live</t>
        </is>
      </c>
      <c r="C1322" s="17" t="inlineStr">
        <is>
          <t>Marshall 2</t>
        </is>
      </c>
      <c r="D1322" s="17" t="inlineStr">
        <is>
          <t>Enceintes sans-fil Bluetooth</t>
        </is>
      </c>
      <c r="E1322" s="18" t="inlineStr">
        <is>
          <t>MARSHALL EMBERTON III - Enceinte portable sans fil - Plus</t>
        </is>
      </c>
      <c r="F1322" s="17" t="inlineStr">
        <is>
          <t>Cdiscount TV Son Photo - Découvrez notre offre MARSHALL EMBERTON III - Enceinte portable sans fil - Plus de 32h d'autonomie - Bluetooth - Noir et Laiton. Livraison gratuite à</t>
        </is>
      </c>
      <c r="G1322" s="19" t="inlineStr">
        <is>
          <t>https://www.cdiscount.com/high-tech/home-cinema/marshall-emberton-iii-enceinte-portable-sans-fil/f-106291002-mar1726684013015.html?cid=lemwork&amp;cm_mmc=marshall5</t>
        </is>
      </c>
      <c r="H1322" s="20" t="n">
        <v>16044</v>
      </c>
      <c r="I1322" s="20" t="n">
        <v>77</v>
      </c>
      <c r="J1322" s="21">
        <f>IF(H1322=0,0,I1322/H1322)</f>
        <v/>
      </c>
    </row>
    <row r="1323">
      <c r="A1323" s="17" t="inlineStr">
        <is>
          <t>Marshall</t>
        </is>
      </c>
      <c r="B1323" s="17" t="inlineStr">
        <is>
          <t>Live</t>
        </is>
      </c>
      <c r="C1323" s="17" t="inlineStr">
        <is>
          <t>Marshall 2</t>
        </is>
      </c>
      <c r="D1323" s="17" t="inlineStr">
        <is>
          <t>Consumer Electronics</t>
        </is>
      </c>
      <c r="E1323" s="18" t="inlineStr">
        <is>
          <t>Marshall - Matériel audio sans fil</t>
        </is>
      </c>
      <c r="F1323" s="17" t="inlineStr">
        <is>
          <t>L’enceinte portable sans fil Marshall Emberton III dépasse 32 heures d’autonomie en Bluetooth, et la livraison est gratuite dès 25 € d’achat.</t>
        </is>
      </c>
      <c r="G1323" s="19" t="inlineStr">
        <is>
          <t>https://www.cdiscount.com/high-tech/home-cinema/marshall-emberton-iii-enceinte-portable-sans-fil/f-106291002-mar1726684013015.html?cid=lemwork&amp;cm_mmc=marshall5</t>
        </is>
      </c>
      <c r="H1323" s="20" t="n">
        <v>15217</v>
      </c>
      <c r="I1323" s="20" t="n">
        <v>68</v>
      </c>
      <c r="J1323" s="21">
        <f>IF(H1323=0,0,I1323/H1323)</f>
        <v/>
      </c>
    </row>
    <row r="1324">
      <c r="A1324" s="17" t="inlineStr">
        <is>
          <t>Marshall</t>
        </is>
      </c>
      <c r="B1324" s="17" t="inlineStr">
        <is>
          <t>Live</t>
        </is>
      </c>
      <c r="C1324" s="17" t="inlineStr">
        <is>
          <t>Marshall 2</t>
        </is>
      </c>
      <c r="D1324" s="17" t="inlineStr">
        <is>
          <t>Consumer Electronics</t>
        </is>
      </c>
      <c r="E1324" s="18" t="inlineStr">
        <is>
          <t>Marshall - Matériel audio sans fil</t>
        </is>
      </c>
      <c r="F1324" s="17" t="inlineStr">
        <is>
          <t>Le Marshall Major V est un casque sans fil pliable en Bluetooth, livré gratuitement dès 25 € d’achat, avec paiement sécurisé et règlement en 4 fois.</t>
        </is>
      </c>
      <c r="G1324" s="19" t="inlineStr">
        <is>
          <t>https://www.cdiscount.com/high-tech/casques-baladeur-hifi/marshall-major-v-casque-sans-fil-pliable-bluet/f-1065420-mar1715107895408.html?cid=lemwork&amp;cm_mmc=marshall2</t>
        </is>
      </c>
      <c r="H1324" s="20" t="n">
        <v>14622</v>
      </c>
      <c r="I1324" s="20" t="n">
        <v>59</v>
      </c>
      <c r="J1324" s="21">
        <f>IF(H1324=0,0,I1324/H1324)</f>
        <v/>
      </c>
    </row>
    <row r="1325">
      <c r="A1325" s="17" t="inlineStr">
        <is>
          <t>Marshall</t>
        </is>
      </c>
      <c r="B1325" s="17" t="inlineStr">
        <is>
          <t>Live</t>
        </is>
      </c>
      <c r="C1325" s="17" t="inlineStr">
        <is>
          <t>Marshall 2</t>
        </is>
      </c>
      <c r="D1325" s="17" t="inlineStr">
        <is>
          <t>Consumer Electronics</t>
        </is>
      </c>
      <c r="E1325" s="18" t="inlineStr">
        <is>
          <t>Marshall - Casques et enceintes Bluetooth</t>
        </is>
      </c>
      <c r="F1325" s="17" t="inlineStr">
        <is>
          <t>L’enceinte sans fil Bluetooth Marshall Acton III noire est livrée gratuitement dès 25 € sur Cdiscount, avec paiement sécurisé et retour simple.</t>
        </is>
      </c>
      <c r="G1325" s="19" t="inlineStr">
        <is>
          <t>https://www.cdiscount.com/high-tech/home-cinema/enceinte-sans-fil-bluetooth-marshall-acton-iii-noi/f-106291002-mar7340055384940.html?cid=lemwork&amp;cm_mmc=marshall3</t>
        </is>
      </c>
      <c r="H1325" s="20" t="n">
        <v>14409</v>
      </c>
      <c r="I1325" s="20" t="n">
        <v>62</v>
      </c>
      <c r="J1325" s="21">
        <f>IF(H1325=0,0,I1325/H1325)</f>
        <v/>
      </c>
    </row>
    <row r="1326">
      <c r="A1326" s="17" t="inlineStr">
        <is>
          <t>Marshall</t>
        </is>
      </c>
      <c r="B1326" s="17" t="inlineStr">
        <is>
          <t>Live</t>
        </is>
      </c>
      <c r="C1326" s="17" t="inlineStr">
        <is>
          <t>Marshall 2</t>
        </is>
      </c>
      <c r="D1326" s="17" t="inlineStr">
        <is>
          <t>Consumer Electronics</t>
        </is>
      </c>
      <c r="E1326" s="18" t="inlineStr">
        <is>
          <t>Marshall - Casques et enceintes Bluetooth</t>
        </is>
      </c>
      <c r="F1326" s="17" t="inlineStr">
        <is>
          <t>L’enceinte sono DJ Marshall Bromley 450 délivre un son stéréo 360°, avec lumières intégrées et entrées micro et instrument, livrée dès 25 € offerts.</t>
        </is>
      </c>
      <c r="G1326" s="19" t="inlineStr">
        <is>
          <t>https://www.cdiscount.com/high-tech/lecteurs-mp3-mp4-et-multimedia/enceinte-sono-dj-marshall-bromley-450-son-st/f-1063320-mar7340055409384.html?cid=lemwork&amp;cm_mmc=marshall7</t>
        </is>
      </c>
      <c r="H1326" s="20" t="n">
        <v>14275</v>
      </c>
      <c r="I1326" s="20" t="n">
        <v>67</v>
      </c>
      <c r="J1326" s="21">
        <f>IF(H1326=0,0,I1326/H1326)</f>
        <v/>
      </c>
    </row>
    <row r="1327">
      <c r="A1327" s="17" t="inlineStr">
        <is>
          <t>Marshall</t>
        </is>
      </c>
      <c r="B1327" s="17" t="inlineStr">
        <is>
          <t>Live</t>
        </is>
      </c>
      <c r="C1327" s="17" t="inlineStr">
        <is>
          <t>Marshall 2</t>
        </is>
      </c>
      <c r="D1327" s="17" t="inlineStr">
        <is>
          <t>Electronics and Appliance Stores</t>
        </is>
      </c>
      <c r="E1327" s="18" t="inlineStr">
        <is>
          <t>Marshall - Enceintes et casques audio</t>
        </is>
      </c>
      <c r="F1327" s="17" t="inlineStr">
        <is>
          <t>Le casque audio Marshall Milton A.N.C noir est livré gratuitement dès 25 € sur Cdiscount, avec paiement sécurisé, 4 fois possible et retour simple.</t>
        </is>
      </c>
      <c r="G1327" s="19" t="inlineStr">
        <is>
          <t>https://www.cdiscount.com/high-tech/casques-baladeur-hifi/casque-audio-marshall-milton-a-n-c-noir/f-1065420-mar7340055407373.html?cid=lemwork&amp;cm_mmc=marshall6</t>
        </is>
      </c>
      <c r="H1327" s="20" t="n">
        <v>14037</v>
      </c>
      <c r="I1327" s="20" t="n">
        <v>60</v>
      </c>
      <c r="J1327" s="21">
        <f>IF(H1327=0,0,I1327/H1327)</f>
        <v/>
      </c>
    </row>
    <row r="1328">
      <c r="A1328" s="17" t="inlineStr">
        <is>
          <t>Marshall</t>
        </is>
      </c>
      <c r="B1328" s="17" t="inlineStr">
        <is>
          <t>Live</t>
        </is>
      </c>
      <c r="C1328" s="17" t="inlineStr">
        <is>
          <t>Marshall 2</t>
        </is>
      </c>
      <c r="D1328" s="17" t="inlineStr">
        <is>
          <t>Enceintes sans-fil Bluetooth</t>
        </is>
      </c>
      <c r="E1328" s="18" t="inlineStr">
        <is>
          <t>Enceinte sono DJ - MARSHALL - Bromley 750 - True</t>
        </is>
      </c>
      <c r="F1328" s="17" t="inlineStr">
        <is>
          <t>Cdiscount TV Son Photo - Découvrez notre offre Enceinte sono DJ - MARSHALL - Bromley 750 - True Stereophonic 360° - Autonomie 40 h - Bluetooth 5.3 - Lumières intégrées. Livraison</t>
        </is>
      </c>
      <c r="G1328" s="19" t="inlineStr">
        <is>
          <t>https://www.cdiscount.com/high-tech/enceintes-sans-fil-bluetooth/enceinte-sono-dj-marshall-bromley-750-true-s/f-10684-aabpv29379.html?cid=lemwork&amp;cm_mmc=marshall4</t>
        </is>
      </c>
      <c r="H1328" s="20" t="n">
        <v>13892</v>
      </c>
      <c r="I1328" s="20" t="n">
        <v>51</v>
      </c>
      <c r="J1328" s="21">
        <f>IF(H1328=0,0,I1328/H1328)</f>
        <v/>
      </c>
    </row>
    <row r="1329">
      <c r="A1329" s="17" t="inlineStr">
        <is>
          <t>Marshall</t>
        </is>
      </c>
      <c r="B1329" s="17" t="inlineStr">
        <is>
          <t>Live</t>
        </is>
      </c>
      <c r="C1329" s="17" t="inlineStr">
        <is>
          <t>Marshall 2</t>
        </is>
      </c>
      <c r="D1329" s="17" t="inlineStr">
        <is>
          <t>Consumer Electronics</t>
        </is>
      </c>
      <c r="E1329" s="18" t="inlineStr">
        <is>
          <t>Marshall - Casques et enceintes Bluetooth</t>
        </is>
      </c>
      <c r="F1329" s="17" t="inlineStr">
        <is>
          <t>Le casque audio Marshall Milton A.N.C noir est livré gratuitement dès 25 € sur Cdiscount, avec paiement sécurisé, 4 fois possible et retour simple.</t>
        </is>
      </c>
      <c r="G1329" s="19" t="inlineStr">
        <is>
          <t>https://www.cdiscount.com/high-tech/casques-baladeur-hifi/casque-audio-marshall-milton-a-n-c-noir/f-1065420-mar7340055407373.html?cid=lemwork&amp;cm_mmc=marshall6</t>
        </is>
      </c>
      <c r="H1329" s="20" t="n">
        <v>13716</v>
      </c>
      <c r="I1329" s="20" t="n">
        <v>69</v>
      </c>
      <c r="J1329" s="21">
        <f>IF(H1329=0,0,I1329/H1329)</f>
        <v/>
      </c>
    </row>
    <row r="1330">
      <c r="A1330" s="17" t="inlineStr">
        <is>
          <t>Marshall</t>
        </is>
      </c>
      <c r="B1330" s="17" t="inlineStr">
        <is>
          <t>Live</t>
        </is>
      </c>
      <c r="C1330" s="17" t="inlineStr">
        <is>
          <t>Marshall 2</t>
        </is>
      </c>
      <c r="D1330" s="17" t="inlineStr">
        <is>
          <t>Consumer Electronics</t>
        </is>
      </c>
      <c r="E1330" s="18" t="inlineStr">
        <is>
          <t>Marshall - Casques et enceintes Bluetooth</t>
        </is>
      </c>
      <c r="F1330" s="17" t="inlineStr">
        <is>
          <t>L’enceinte sans fil Marshall Kilburn III tient 50 h en Bluetooth et résiste à la poussière et à l’eau, avec la livraison gratuite dès 25 €.</t>
        </is>
      </c>
      <c r="G1330" s="19" t="inlineStr">
        <is>
          <t>https://www.cdiscount.com/high-tech/enceintes-sans-fil-bluetooth/enceinte-sans-fil-marshall-kilburn-iii-bluet/f-10684-aaasl38879.html?cid=lemwork&amp;cm_mmc=marshall1</t>
        </is>
      </c>
      <c r="H1330" s="20" t="n">
        <v>12884</v>
      </c>
      <c r="I1330" s="20" t="n">
        <v>45</v>
      </c>
      <c r="J1330" s="21">
        <f>IF(H1330=0,0,I1330/H1330)</f>
        <v/>
      </c>
    </row>
    <row r="1331">
      <c r="A1331" s="17" t="inlineStr">
        <is>
          <t>Marshall</t>
        </is>
      </c>
      <c r="B1331" s="17" t="inlineStr">
        <is>
          <t>Live</t>
        </is>
      </c>
      <c r="C1331" s="17" t="inlineStr">
        <is>
          <t>Marshall 2</t>
        </is>
      </c>
      <c r="D1331" s="17" t="inlineStr">
        <is>
          <t>Electronics and Appliance Stores</t>
        </is>
      </c>
      <c r="E1331" s="18" t="inlineStr">
        <is>
          <t>Marshall - Casques et enceintes Bluetooth</t>
        </is>
      </c>
      <c r="F1331" s="17" t="inlineStr">
        <is>
          <t>Le Marshall Major V est un casque sans fil pliable en Bluetooth, livré gratuitement dès 25 € d’achat, avec paiement sécurisé et règlement en 4 fois.</t>
        </is>
      </c>
      <c r="G1331" s="19" t="inlineStr">
        <is>
          <t>https://www.cdiscount.com/high-tech/casques-baladeur-hifi/marshall-major-v-casque-sans-fil-pliable-bluet/f-1065420-mar1715107895408.html?cid=lemwork&amp;cm_mmc=marshall2</t>
        </is>
      </c>
      <c r="H1331" s="20" t="n">
        <v>12789</v>
      </c>
      <c r="I1331" s="20" t="n">
        <v>54</v>
      </c>
      <c r="J1331" s="21">
        <f>IF(H1331=0,0,I1331/H1331)</f>
        <v/>
      </c>
    </row>
    <row r="1332">
      <c r="A1332" s="17" t="inlineStr">
        <is>
          <t>Marshall</t>
        </is>
      </c>
      <c r="B1332" s="17" t="inlineStr">
        <is>
          <t>Live</t>
        </is>
      </c>
      <c r="C1332" s="17" t="inlineStr">
        <is>
          <t>Marshall 2</t>
        </is>
      </c>
      <c r="D1332" s="17" t="inlineStr">
        <is>
          <t>Electronics and Appliance Stores</t>
        </is>
      </c>
      <c r="E1332" s="18" t="inlineStr">
        <is>
          <t>Marshall - Enceintes et casques audio</t>
        </is>
      </c>
      <c r="F1332" s="17" t="inlineStr">
        <is>
          <t>L’enceinte portable sans fil Marshall Emberton III offre plus de 32 h d’autonomie en Bluetooth, avec la livraison gratuite dès 25 € sur Cdiscount.</t>
        </is>
      </c>
      <c r="G1332" s="19" t="inlineStr">
        <is>
          <t>https://www.cdiscount.com/high-tech/home-cinema/marshall-emberton-iii-enceinte-portable-sans-fil/f-106291002-mar1726684013015.html?cid=lemwork&amp;cm_mmc=marshall5</t>
        </is>
      </c>
      <c r="H1332" s="20" t="n">
        <v>12744</v>
      </c>
      <c r="I1332" s="20" t="n">
        <v>63</v>
      </c>
      <c r="J1332" s="21">
        <f>IF(H1332=0,0,I1332/H1332)</f>
        <v/>
      </c>
    </row>
    <row r="1333">
      <c r="A1333" s="17" t="inlineStr">
        <is>
          <t>Marshall</t>
        </is>
      </c>
      <c r="B1333" s="17" t="inlineStr">
        <is>
          <t>Live</t>
        </is>
      </c>
      <c r="C1333" s="17" t="inlineStr">
        <is>
          <t>Marshall 2</t>
        </is>
      </c>
      <c r="D1333" s="17" t="inlineStr">
        <is>
          <t>Electronics and Appliance Stores</t>
        </is>
      </c>
      <c r="E1333" s="18" t="inlineStr">
        <is>
          <t>Marshall - Enceintes et casques audio</t>
        </is>
      </c>
      <c r="F1333" s="17" t="inlineStr">
        <is>
          <t>L’enceinte sans fil Bluetooth Marshall Acton III noire est livrée gratuitement dès 25 € sur Cdiscount, avec paiement sécurisé et retour simple.</t>
        </is>
      </c>
      <c r="G1333" s="19" t="inlineStr">
        <is>
          <t>https://www.cdiscount.com/high-tech/home-cinema/enceinte-sans-fil-bluetooth-marshall-acton-iii-noi/f-106291002-mar7340055384940.html?cid=lemwork&amp;cm_mmc=marshall3</t>
        </is>
      </c>
      <c r="H1333" s="20" t="n">
        <v>12703</v>
      </c>
      <c r="I1333" s="20" t="n">
        <v>57</v>
      </c>
      <c r="J1333" s="21">
        <f>IF(H1333=0,0,I1333/H1333)</f>
        <v/>
      </c>
    </row>
    <row r="1334">
      <c r="A1334" s="17" t="inlineStr">
        <is>
          <t>Marshall</t>
        </is>
      </c>
      <c r="B1334" s="17" t="inlineStr">
        <is>
          <t>Live</t>
        </is>
      </c>
      <c r="C1334" s="17" t="inlineStr">
        <is>
          <t>Marshall 2</t>
        </is>
      </c>
      <c r="D1334" s="17" t="inlineStr">
        <is>
          <t>Electronics and Appliance Stores</t>
        </is>
      </c>
      <c r="E1334" s="18" t="inlineStr">
        <is>
          <t>Marshall - Enceintes et casques audio</t>
        </is>
      </c>
      <c r="F1334" s="17" t="inlineStr">
        <is>
          <t>L’enceinte sono DJ Marshall Bromley 450 délivre un son stéréo 360°, avec lumières intégrées et entrées micro et instrument, livrée dès 25 € offerts.</t>
        </is>
      </c>
      <c r="G1334" s="19" t="inlineStr">
        <is>
          <t>https://www.cdiscount.com/high-tech/lecteurs-mp3-mp4-et-multimedia/enceinte-sono-dj-marshall-bromley-450-son-st/f-1063320-mar7340055409384.html?cid=lemwork&amp;cm_mmc=marshall7</t>
        </is>
      </c>
      <c r="H1334" s="20" t="n">
        <v>12695</v>
      </c>
      <c r="I1334" s="20" t="n">
        <v>59</v>
      </c>
      <c r="J1334" s="21">
        <f>IF(H1334=0,0,I1334/H1334)</f>
        <v/>
      </c>
    </row>
    <row r="1335">
      <c r="A1335" s="17" t="inlineStr">
        <is>
          <t>Marshall</t>
        </is>
      </c>
      <c r="B1335" s="17" t="inlineStr">
        <is>
          <t>Live</t>
        </is>
      </c>
      <c r="C1335" s="17" t="inlineStr">
        <is>
          <t>Marshall 2</t>
        </is>
      </c>
      <c r="D1335" s="17" t="inlineStr">
        <is>
          <t>Electronics and Appliance Stores</t>
        </is>
      </c>
      <c r="E1335" s="18" t="inlineStr">
        <is>
          <t>Marshall - Casques et enceintes Bluetooth</t>
        </is>
      </c>
      <c r="F1335" s="17" t="inlineStr">
        <is>
          <t>L’enceinte sono DJ Marshall Bromley 750 tient 40 heures, diffuse un son stéréo 360° en Bluetooth 5.3 et embarque des lumières intégrées.</t>
        </is>
      </c>
      <c r="G1335" s="19" t="inlineStr">
        <is>
          <t>https://www.cdiscount.com/high-tech/enceintes-sans-fil-bluetooth/enceinte-sono-dj-marshall-bromley-750-true-s/f-10684-aabpv29379.html?cid=lemwork&amp;cm_mmc=marshall4</t>
        </is>
      </c>
      <c r="H1335" s="20" t="n">
        <v>12595</v>
      </c>
      <c r="I1335" s="20" t="n">
        <v>48</v>
      </c>
      <c r="J1335" s="21">
        <f>IF(H1335=0,0,I1335/H1335)</f>
        <v/>
      </c>
    </row>
    <row r="1336">
      <c r="A1336" s="17" t="inlineStr">
        <is>
          <t>Marshall</t>
        </is>
      </c>
      <c r="B1336" s="17" t="inlineStr">
        <is>
          <t>Live</t>
        </is>
      </c>
      <c r="C1336" s="17" t="inlineStr">
        <is>
          <t>Marshall 2</t>
        </is>
      </c>
      <c r="D1336" s="17" t="inlineStr">
        <is>
          <t>Electronics and Appliance Stores</t>
        </is>
      </c>
      <c r="E1336" s="18" t="inlineStr">
        <is>
          <t>Marshall - Enceintes et casques audio</t>
        </is>
      </c>
      <c r="F1336" s="17" t="inlineStr">
        <is>
          <t>L’enceinte sans fil Marshall Kilburn III tient 50 h en Bluetooth et résiste à la poussière et à l’eau, avec la livraison gratuite dès 25 €.</t>
        </is>
      </c>
      <c r="G1336" s="19" t="inlineStr">
        <is>
          <t>https://www.cdiscount.com/high-tech/enceintes-sans-fil-bluetooth/enceinte-sans-fil-marshall-kilburn-iii-bluet/f-10684-aaasl38879.html?cid=lemwork&amp;cm_mmc=marshall1</t>
        </is>
      </c>
      <c r="H1336" s="20" t="n">
        <v>12452</v>
      </c>
      <c r="I1336" s="20" t="n">
        <v>53</v>
      </c>
      <c r="J1336" s="21">
        <f>IF(H1336=0,0,I1336/H1336)</f>
        <v/>
      </c>
    </row>
    <row r="1337">
      <c r="A1337" s="17" t="inlineStr">
        <is>
          <t>Marshall</t>
        </is>
      </c>
      <c r="B1337" s="17" t="inlineStr">
        <is>
          <t>Live</t>
        </is>
      </c>
      <c r="C1337" s="17" t="inlineStr">
        <is>
          <t>Marshall 2</t>
        </is>
      </c>
      <c r="D1337" s="17" t="inlineStr">
        <is>
          <t>Casques et enceintes Bluetooth</t>
        </is>
      </c>
      <c r="E1337" s="18" t="inlineStr">
        <is>
          <t>Enceinte portable Kilburn III pas chère | Marshall</t>
        </is>
      </c>
      <c r="F1337" s="17" t="inlineStr">
        <is>
          <t>L’enceinte Bluetooth portable Marshall Kilburn III à 349 € sur Cdiscount, 50 h d’autonomie, résistante à la poussière et à l’eau, livrée gratuitement dès 25 €.</t>
        </is>
      </c>
      <c r="G1337" s="19" t="inlineStr">
        <is>
          <t>https://www.cdiscount.com/high-tech/enceintes-sans-fil-bluetooth/l-10684.html?cid=lemwork&amp;cm_mmc=gen_marshall</t>
        </is>
      </c>
      <c r="H1337" s="20" t="n">
        <v>11218</v>
      </c>
      <c r="I1337" s="20" t="n">
        <v>31</v>
      </c>
      <c r="J1337" s="21">
        <f>IF(H1337=0,0,I1337/H1337)</f>
        <v/>
      </c>
    </row>
    <row r="1338">
      <c r="A1338" s="17" t="inlineStr">
        <is>
          <t>Marshall</t>
        </is>
      </c>
      <c r="B1338" s="17" t="inlineStr">
        <is>
          <t>Live</t>
        </is>
      </c>
      <c r="C1338" s="17" t="inlineStr">
        <is>
          <t>Marshall 2</t>
        </is>
      </c>
      <c r="D1338" s="17" t="inlineStr">
        <is>
          <t>Casques et enceintes Bluetooth</t>
        </is>
      </c>
      <c r="E1338" s="18" t="inlineStr">
        <is>
          <t>Casque Bluetooth pliable Major V prix bas | Marshall</t>
        </is>
      </c>
      <c r="F1338" s="17" t="inlineStr">
        <is>
          <t>Le casque sans fil pliable Marshall Major V à 149,99 € sur Cdiscount, en Bluetooth, livré gratuitement dès 25 € d’achat, avec paiement sécurisé et en 4 fois.</t>
        </is>
      </c>
      <c r="G1338" s="19" t="inlineStr">
        <is>
          <t>https://www.cdiscount.com/high-tech/casques-baladeur-hifi/casque-audio/v-1065420-1065420.html?cid=lemwork&amp;cm_mmc=gen_marshall</t>
        </is>
      </c>
      <c r="H1338" s="20" t="n">
        <v>8734</v>
      </c>
      <c r="I1338" s="20" t="n">
        <v>47</v>
      </c>
      <c r="J1338" s="21">
        <f>IF(H1338=0,0,I1338/H1338)</f>
        <v/>
      </c>
    </row>
    <row r="1339">
      <c r="A1339" s="17" t="inlineStr">
        <is>
          <t>Marshall</t>
        </is>
      </c>
      <c r="B1339" s="17" t="inlineStr">
        <is>
          <t>Live</t>
        </is>
      </c>
      <c r="C1339" s="17" t="inlineStr">
        <is>
          <t>Marshall 2</t>
        </is>
      </c>
      <c r="D1339" s="17" t="inlineStr">
        <is>
          <t>Casques et enceintes Bluetooth</t>
        </is>
      </c>
      <c r="E1339" s="18" t="inlineStr">
        <is>
          <t>Enceinte sono Bromley 750 au meilleur prix | Marshall</t>
        </is>
      </c>
      <c r="F1339" s="17" t="inlineStr">
        <is>
          <t>L’enceinte sono Marshall Bromley 750 à 999,99 € sur Cdiscount, pour sonoriser vos soirées, livrée gratuitement dès 25 € d’achat et payable en 4 fois.</t>
        </is>
      </c>
      <c r="G1339" s="19" t="inlineStr">
        <is>
          <t>https://www.cdiscount.com/high-tech/sono-dj/enceintes-dj/l-1063908.html?cid=lemwork&amp;cm_mmc=gen_marshall</t>
        </is>
      </c>
      <c r="H1339" s="20" t="n">
        <v>7758</v>
      </c>
      <c r="I1339" s="20" t="n">
        <v>29</v>
      </c>
      <c r="J1339" s="21">
        <f>IF(H1339=0,0,I1339/H1339)</f>
        <v/>
      </c>
    </row>
    <row r="1340">
      <c r="A1340" s="17" t="inlineStr">
        <is>
          <t>Dorel</t>
        </is>
      </c>
      <c r="B1340" s="17" t="inlineStr">
        <is>
          <t>Live</t>
        </is>
      </c>
      <c r="C1340" s="17" t="inlineStr">
        <is>
          <t>Dorel</t>
        </is>
      </c>
      <c r="D1340" s="17" t="inlineStr">
        <is>
          <t>Barrières et sécurité maison</t>
        </is>
      </c>
      <c r="E1340" s="18" t="inlineStr">
        <is>
          <t>SAFETY 1ST Barrière de lit enfant pliable, 18 mois-5 ans</t>
        </is>
      </c>
      <c r="F1340" s="17" t="inlineStr">
        <is>
          <t>Cdiscount Puériculture &amp; Eveil bébé - Découvrez notre offre SAFETY 1ST Barrière de lit enfant pliable, 18 mois-5 ans, Tissu maille, Facile à installer et transporter</t>
        </is>
      </c>
      <c r="G1340" s="19" t="inlineStr">
        <is>
          <t>https://www.cdiscount.com/pret-a-porter/bebe-puericulture/safety-1st-barriere-de-lit-enfant-pliable-18-mois/f-11317370203-24835510.html?cid=lemwork&amp;cm_mmc=dorel22</t>
        </is>
      </c>
      <c r="H1340" s="20" t="n">
        <v>12092</v>
      </c>
      <c r="I1340" s="20" t="n">
        <v>31</v>
      </c>
      <c r="J1340" s="21">
        <f>IF(H1340=0,0,I1340/H1340)</f>
        <v/>
      </c>
    </row>
    <row r="1341">
      <c r="A1341" s="17" t="inlineStr">
        <is>
          <t>Dorel</t>
        </is>
      </c>
      <c r="B1341" s="17" t="inlineStr">
        <is>
          <t>Live</t>
        </is>
      </c>
      <c r="C1341" s="17" t="inlineStr">
        <is>
          <t>Dorel</t>
        </is>
      </c>
      <c r="D1341" s="17" t="inlineStr">
        <is>
          <t>Accessoires puériculture</t>
        </is>
      </c>
      <c r="E1341" s="18" t="inlineStr">
        <is>
          <t>BEBECONFORT Chauffe biberon digital de poche, rapide</t>
        </is>
      </c>
      <c r="F1341" s="17" t="inlineStr">
        <is>
          <t>Cdiscount Puériculture &amp; Eveil bébé - Découvrez notre offre BEBECONFORT Chauffe biberon digital de poche, rapide, format voyage, ultra compact, écran lcd, 4 niveaux de</t>
        </is>
      </c>
      <c r="G1341" s="19" t="inlineStr">
        <is>
          <t>https://www.cdiscount.com/pret-a-porter/bebe-puericulture/bebeconfort-chauffe-biberon-digital-de-poche-rapi/f-113173320-bbc3220660006779.html?cid=lemwork&amp;cm_mmc=dorel27</t>
        </is>
      </c>
      <c r="H1341" s="20" t="n">
        <v>10982</v>
      </c>
      <c r="I1341" s="20" t="n">
        <v>40</v>
      </c>
      <c r="J1341" s="21">
        <f>IF(H1341=0,0,I1341/H1341)</f>
        <v/>
      </c>
    </row>
    <row r="1342">
      <c r="A1342" s="17" t="inlineStr">
        <is>
          <t>Dorel</t>
        </is>
      </c>
      <c r="B1342" s="17" t="inlineStr">
        <is>
          <t>Live</t>
        </is>
      </c>
      <c r="C1342" s="17" t="inlineStr">
        <is>
          <t>Dorel</t>
        </is>
      </c>
      <c r="D1342" s="17" t="inlineStr">
        <is>
          <t>Accessoires puériculture</t>
        </is>
      </c>
      <c r="E1342" s="18" t="inlineStr">
        <is>
          <t>BEBECONFORT Mini thermomètre multifonctions, 4 en 1</t>
        </is>
      </c>
      <c r="F1342" s="17" t="inlineStr">
        <is>
          <t>Cdiscount Puériculture &amp; Eveil bébé - Découvrez notre offre BEBECONFORT Mini thermomètre multifonctions, 4 en 1 ; technologie infra-rouge. Livraison gratuite à partir de 25€* |</t>
        </is>
      </c>
      <c r="G1342" s="19" t="inlineStr">
        <is>
          <t>https://www.cdiscount.com/pret-a-porter/bebe-puericulture/bebeconfort-mini-thermometre-multifonctions-4-en/f-11317341209-bbc3220660006878.html?cid=lemwork&amp;cm_mmc=dorel29</t>
        </is>
      </c>
      <c r="H1342" s="20" t="n">
        <v>9993</v>
      </c>
      <c r="I1342" s="20" t="n">
        <v>35</v>
      </c>
      <c r="J1342" s="21">
        <f>IF(H1342=0,0,I1342/H1342)</f>
        <v/>
      </c>
    </row>
    <row r="1343">
      <c r="A1343" s="17" t="inlineStr">
        <is>
          <t>Dorel</t>
        </is>
      </c>
      <c r="B1343" s="17" t="inlineStr">
        <is>
          <t>Live</t>
        </is>
      </c>
      <c r="C1343" s="17" t="inlineStr">
        <is>
          <t>Dorel</t>
        </is>
      </c>
      <c r="D1343" s="17" t="inlineStr">
        <is>
          <t>Chambre, lit et repas bébé</t>
        </is>
      </c>
      <c r="E1343" s="18" t="inlineStr">
        <is>
          <t>Lit parapluie Sweet Dreams prix bas - Dorel</t>
        </is>
      </c>
      <c r="F1343" s="17" t="inlineStr">
        <is>
          <t>Le lit parapluie Bébé Confort Sweet Dreams se plie et se transporte pour les nuits chez les grands-parents ou en vacances, à 49,90 € sur Cdiscount.</t>
        </is>
      </c>
      <c r="G1343" s="19" t="inlineStr">
        <is>
          <t>https://www.cdiscount.com/pret-a-porter/bebe-puericulture/voyages-bebe/lit-parapluie-lit-de-voyage/l-113177103.html?cid=lemwork&amp;cm_mmc=gen_dorel</t>
        </is>
      </c>
      <c r="H1343" s="20" t="n">
        <v>9935</v>
      </c>
      <c r="I1343" s="20" t="n">
        <v>25</v>
      </c>
      <c r="J1343" s="21">
        <f>IF(H1343=0,0,I1343/H1343)</f>
        <v/>
      </c>
    </row>
    <row r="1344">
      <c r="A1344" s="17" t="inlineStr">
        <is>
          <t>Dorel</t>
        </is>
      </c>
      <c r="B1344" s="17" t="inlineStr">
        <is>
          <t>Live</t>
        </is>
      </c>
      <c r="C1344" s="17" t="inlineStr">
        <is>
          <t>Dorel</t>
        </is>
      </c>
      <c r="D1344" s="17" t="inlineStr">
        <is>
          <t>Chambre, lit et repas bébé</t>
        </is>
      </c>
      <c r="E1344" s="18" t="inlineStr">
        <is>
          <t>Table à langer et baignoire 2 en 1 prix bas - Dorel</t>
        </is>
      </c>
      <c r="F1344" s="17" t="inlineStr">
        <is>
          <t>La table à langer et baignoire 2 en 1 Bébé Confort Dolphy sert de la naissance à 12 mois, jusqu’à 11 kg, à 119,99 € sur Cdiscount, livraison offerte dès 25 €.</t>
        </is>
      </c>
      <c r="G1344" s="19" t="inlineStr">
        <is>
          <t>https://www.cdiscount.com/pret-a-porter/bebe-puericulture/bain-soin-toilette/tables-a-langer-plans-a-langer/l-113173401.html?cid=lemwork&amp;cm_mmc=gen_dorel</t>
        </is>
      </c>
      <c r="H1344" s="20" t="n">
        <v>7731</v>
      </c>
      <c r="I1344" s="20" t="n">
        <v>23</v>
      </c>
      <c r="J1344" s="21">
        <f>IF(H1344=0,0,I1344/H1344)</f>
        <v/>
      </c>
    </row>
    <row r="1345">
      <c r="A1345" s="17" t="inlineStr">
        <is>
          <t>Dorel</t>
        </is>
      </c>
      <c r="B1345" s="17" t="inlineStr">
        <is>
          <t>Live</t>
        </is>
      </c>
      <c r="C1345" s="17" t="inlineStr">
        <is>
          <t>Dorel</t>
        </is>
      </c>
      <c r="D1345" s="17" t="inlineStr">
        <is>
          <t>Accessoires puériculture</t>
        </is>
      </c>
      <c r="E1345" s="18" t="inlineStr">
        <is>
          <t>BEBECONFORT Trousse de toilette complète pour bébé, 8</t>
        </is>
      </c>
      <c r="F1345" s="17" t="inlineStr">
        <is>
          <t>Cdiscount Puériculture &amp; Eveil bébé - Découvrez notre offre BEBECONFORT Trousse de toilette complète pour bébé, 8 produits pour 8 usages, sous l'océan. Livraison gratuite à partir</t>
        </is>
      </c>
      <c r="G1345" s="19" t="inlineStr">
        <is>
          <t>https://www.cdiscount.com/pret-a-porter/bebe-puericulture/bebeconfort-trousse-de-toilette-complete-pour-bebe/f-11317341203-bbc3220660006847.html?cid=lemwork&amp;cm_mmc=dorel28</t>
        </is>
      </c>
      <c r="H1345" s="20" t="n">
        <v>7379</v>
      </c>
      <c r="I1345" s="20" t="n">
        <v>27</v>
      </c>
      <c r="J1345" s="21">
        <f>IF(H1345=0,0,I1345/H1345)</f>
        <v/>
      </c>
    </row>
    <row r="1346">
      <c r="A1346" s="17" t="inlineStr">
        <is>
          <t>Dorel</t>
        </is>
      </c>
      <c r="B1346" s="17" t="inlineStr">
        <is>
          <t>Live</t>
        </is>
      </c>
      <c r="C1346" s="17" t="inlineStr">
        <is>
          <t>Dorel</t>
        </is>
      </c>
      <c r="D1346" s="17" t="inlineStr">
        <is>
          <t>Éveil et jouets bébé</t>
        </is>
      </c>
      <c r="E1346" s="18" t="inlineStr">
        <is>
          <t>TINY LOVE Arches articulées dans la prairie - 0 Mois et +</t>
        </is>
      </c>
      <c r="F1346" s="17" t="inlineStr">
        <is>
          <t>TINY LOVE Arches articulées dans la prairie - 0 Mois et +</t>
        </is>
      </c>
      <c r="G1346" s="19" t="inlineStr">
        <is>
          <t>https://www.cdiscount.com/pret-a-porter/bebe-puericulture/tiny-love-arches-articulees-dans-la-prairie-0-mo/f-113172522-tin7290108861839.html?cid=lemwork&amp;cm_mmc=dorel83</t>
        </is>
      </c>
      <c r="H1346" s="20" t="n">
        <v>7230</v>
      </c>
      <c r="I1346" s="20" t="n">
        <v>40</v>
      </c>
      <c r="J1346" s="21">
        <f>IF(H1346=0,0,I1346/H1346)</f>
        <v/>
      </c>
    </row>
    <row r="1347">
      <c r="A1347" s="17" t="inlineStr">
        <is>
          <t>Dorel</t>
        </is>
      </c>
      <c r="B1347" s="17" t="inlineStr">
        <is>
          <t>Live</t>
        </is>
      </c>
      <c r="C1347" s="17" t="inlineStr">
        <is>
          <t>Dorel</t>
        </is>
      </c>
      <c r="D1347" s="17" t="inlineStr">
        <is>
          <t>Childcare</t>
        </is>
      </c>
      <c r="E1347" s="18" t="inlineStr">
        <is>
          <t>Sièges auto Bébé Confort - Dorel</t>
        </is>
      </c>
      <c r="F1347" s="17" t="inlineStr">
        <is>
          <t>Le siège auto Bébé Confort EvoluFix 360 pivote pour installer l’enfant et l’accompagne jusqu’à 36 kg, en coloris Tinted Black.</t>
        </is>
      </c>
      <c r="G1347" s="19" t="inlineStr">
        <is>
          <t>https://www.cdiscount.com/pret-a-porter/bebe-puericulture/bebeconfort-siege-auto-evolutif-pivotant-evolufix/f-113177101-bbc8712930021483.html?cid=lemwork&amp;cm_mmc=dorel3</t>
        </is>
      </c>
      <c r="H1347" s="20" t="n">
        <v>6451</v>
      </c>
      <c r="I1347" s="20" t="n">
        <v>15</v>
      </c>
      <c r="J1347" s="21">
        <f>IF(H1347=0,0,I1347/H1347)</f>
        <v/>
      </c>
    </row>
    <row r="1348">
      <c r="A1348" s="17" t="inlineStr">
        <is>
          <t>Dorel</t>
        </is>
      </c>
      <c r="B1348" s="17" t="inlineStr">
        <is>
          <t>Live</t>
        </is>
      </c>
      <c r="C1348" s="17" t="inlineStr">
        <is>
          <t>Dorel</t>
        </is>
      </c>
      <c r="D1348" s="17" t="inlineStr">
        <is>
          <t>Barrières et sécurité maison</t>
        </is>
      </c>
      <c r="E1348" s="18" t="inlineStr">
        <is>
          <t>TINY LOVE Arches articulées dans la prairie - 0 Mois et +</t>
        </is>
      </c>
      <c r="F1348" s="17" t="inlineStr">
        <is>
          <t>TINY LOVE Arches articulées dans la prairie - 0 Mois et +</t>
        </is>
      </c>
      <c r="G1348" s="19" t="inlineStr">
        <is>
          <t>https://www.cdiscount.com/pret-a-porter/bebe-puericulture/tiny-love-arches-articulees-dans-la-prairie-0-mo/f-113172522-tin7290108861839.html?cid=lemwork&amp;cm_mmc=dorel83</t>
        </is>
      </c>
      <c r="H1348" s="20" t="n">
        <v>6229</v>
      </c>
      <c r="I1348" s="20" t="n">
        <v>20</v>
      </c>
      <c r="J1348" s="21">
        <f>IF(H1348=0,0,I1348/H1348)</f>
        <v/>
      </c>
    </row>
    <row r="1349">
      <c r="A1349" s="17" t="inlineStr">
        <is>
          <t>Dorel</t>
        </is>
      </c>
      <c r="B1349" s="17" t="inlineStr">
        <is>
          <t>Live</t>
        </is>
      </c>
      <c r="C1349" s="17" t="inlineStr">
        <is>
          <t>Dorel</t>
        </is>
      </c>
      <c r="D1349" s="17" t="inlineStr">
        <is>
          <t>Éveil et jouets bébé</t>
        </is>
      </c>
      <c r="E1349" s="18" t="inlineStr">
        <is>
          <t>BEBECONFORT EXPLORER Trotteur avec tablette musicale</t>
        </is>
      </c>
      <c r="F1349" s="17" t="inlineStr">
        <is>
          <t>de 6 à 18 mois (12 kg), Tinted graphite</t>
        </is>
      </c>
      <c r="G1349" s="19" t="inlineStr">
        <is>
          <t>https://www.cdiscount.com/pret-a-porter/bebe-puericulture/bebeconfort-explorer-trotteur-avec-tablette-musica/f-113172518-bbc3220660345014.html?cid=lemwork&amp;cm_mmc=dorel35</t>
        </is>
      </c>
      <c r="H1349" s="20" t="n">
        <v>6132</v>
      </c>
      <c r="I1349" s="20" t="n">
        <v>23</v>
      </c>
      <c r="J1349" s="21">
        <f>IF(H1349=0,0,I1349/H1349)</f>
        <v/>
      </c>
    </row>
    <row r="1350">
      <c r="A1350" s="17" t="inlineStr">
        <is>
          <t>Dorel</t>
        </is>
      </c>
      <c r="B1350" s="17" t="inlineStr">
        <is>
          <t>Live</t>
        </is>
      </c>
      <c r="C1350" s="17" t="inlineStr">
        <is>
          <t>Dorel</t>
        </is>
      </c>
      <c r="D1350" s="17" t="inlineStr">
        <is>
          <t>Éveil et jouets bébé</t>
        </is>
      </c>
      <c r="E1350" s="18" t="inlineStr">
        <is>
          <t>TINY LOVE Mobile de voyage 3 en1 – Magical Tales</t>
        </is>
      </c>
      <c r="F1350" s="17" t="inlineStr">
        <is>
          <t>dès la naissance, Black &amp; White</t>
        </is>
      </c>
      <c r="G1350" s="19" t="inlineStr">
        <is>
          <t>https://www.cdiscount.com/pret-a-porter/bebe-puericulture/tiny-love-mobile-de-voyage-3-en1-magical-tales/f-113172517-tin1693295558140.html?cid=lemwork&amp;cm_mmc=dorel81</t>
        </is>
      </c>
      <c r="H1350" s="20" t="n">
        <v>6016</v>
      </c>
      <c r="I1350" s="20" t="n">
        <v>45</v>
      </c>
      <c r="J1350" s="21">
        <f>IF(H1350=0,0,I1350/H1350)</f>
        <v/>
      </c>
    </row>
    <row r="1351">
      <c r="A1351" s="17" t="inlineStr">
        <is>
          <t>Dorel</t>
        </is>
      </c>
      <c r="B1351" s="17" t="inlineStr">
        <is>
          <t>Live</t>
        </is>
      </c>
      <c r="C1351" s="17" t="inlineStr">
        <is>
          <t>Dorel</t>
        </is>
      </c>
      <c r="D1351" s="17" t="inlineStr">
        <is>
          <t>Barrières et sécurité maison</t>
        </is>
      </c>
      <c r="E1351" s="18" t="inlineStr">
        <is>
          <t>BEBECONFORT Chauffe biberon digital de poche, rapide</t>
        </is>
      </c>
      <c r="F1351" s="17" t="inlineStr">
        <is>
          <t>Cdiscount Puériculture &amp; Eveil bébé - Découvrez notre offre BEBECONFORT Chauffe biberon digital de poche, rapide, format voyage, ultra compact, écran lcd, 4 niveaux de</t>
        </is>
      </c>
      <c r="G1351" s="19" t="inlineStr">
        <is>
          <t>https://www.cdiscount.com/pret-a-porter/bebe-puericulture/bebeconfort-chauffe-biberon-digital-de-poche-rapi/f-113173320-bbc3220660006779.html?cid=lemwork&amp;cm_mmc=dorel27</t>
        </is>
      </c>
      <c r="H1351" s="20" t="n">
        <v>5452</v>
      </c>
      <c r="I1351" s="20" t="n">
        <v>33</v>
      </c>
      <c r="J1351" s="21">
        <f>IF(H1351=0,0,I1351/H1351)</f>
        <v/>
      </c>
    </row>
    <row r="1352">
      <c r="A1352" s="17" t="inlineStr">
        <is>
          <t>Dorel</t>
        </is>
      </c>
      <c r="B1352" s="17" t="inlineStr">
        <is>
          <t>Live</t>
        </is>
      </c>
      <c r="C1352" s="17" t="inlineStr">
        <is>
          <t>Dorel</t>
        </is>
      </c>
      <c r="D1352" s="17" t="inlineStr">
        <is>
          <t>Barrières et sécurité maison</t>
        </is>
      </c>
      <c r="E1352" s="18" t="inlineStr">
        <is>
          <t>SAFETY 1ST Barrière de sécurité wall-fix extending, largeur</t>
        </is>
      </c>
      <c r="F1352" s="17" t="inlineStr">
        <is>
          <t>Cdiscount Puériculture &amp; Eveil bébé - Découvrez notre offre SAFETY 1ST Barrière de sécurité wall-fix extending, largeur de 62 à 102 cm, Ouverture d'une main des 2 sens - métal</t>
        </is>
      </c>
      <c r="G1352" s="19" t="inlineStr">
        <is>
          <t>https://www.cdiscount.com/pret-a-porter/bebe-puericulture/safety-1st-barriere-de-securite-wall-fix-extending/f-11317370201-saf3220660270521.html?cid=lemwork&amp;cm_mmc=dorel8</t>
        </is>
      </c>
      <c r="H1352" s="20" t="n">
        <v>5409</v>
      </c>
      <c r="I1352" s="20" t="n">
        <v>17</v>
      </c>
      <c r="J1352" s="21">
        <f>IF(H1352=0,0,I1352/H1352)</f>
        <v/>
      </c>
    </row>
    <row r="1353">
      <c r="A1353" s="17" t="inlineStr">
        <is>
          <t>Dorel</t>
        </is>
      </c>
      <c r="B1353" s="17" t="inlineStr">
        <is>
          <t>Live</t>
        </is>
      </c>
      <c r="C1353" s="17" t="inlineStr">
        <is>
          <t>Dorel</t>
        </is>
      </c>
      <c r="D1353" s="17" t="inlineStr">
        <is>
          <t>Barrières et sécurité maison</t>
        </is>
      </c>
      <c r="E1353" s="18" t="inlineStr">
        <is>
          <t>SAFETY 1ST Barrière de sécurité enfant 73-80cm, Blanc</t>
        </is>
      </c>
      <c r="F1353" s="17" t="inlineStr">
        <is>
          <t>Cdiscount Puériculture &amp; Eveil bébé - Découvrez notre offre SAFETY 1ST Barrière de sécurité enfant 73-80cm, Blanc, métal, Auto Close, 4 points de pression. Livraison gratuite à</t>
        </is>
      </c>
      <c r="G1353" s="19" t="inlineStr">
        <is>
          <t>https://www.cdiscount.com/pret-a-porter/bebe-puericulture/safety-1st-barriere-de-securite-enfant-73-80cm-bl/f-11317370201-24484310.html?cid=lemwork&amp;cm_mmc=dorel9</t>
        </is>
      </c>
      <c r="H1353" s="20" t="n">
        <v>5299</v>
      </c>
      <c r="I1353" s="20" t="n">
        <v>25</v>
      </c>
      <c r="J1353" s="21">
        <f>IF(H1353=0,0,I1353/H1353)</f>
        <v/>
      </c>
    </row>
    <row r="1354">
      <c r="A1354" s="17" t="inlineStr">
        <is>
          <t>Dorel</t>
        </is>
      </c>
      <c r="B1354" s="17" t="inlineStr">
        <is>
          <t>Live</t>
        </is>
      </c>
      <c r="C1354" s="17" t="inlineStr">
        <is>
          <t>Dorel</t>
        </is>
      </c>
      <c r="D1354" s="17" t="inlineStr">
        <is>
          <t>Barrières et sécurité maison</t>
        </is>
      </c>
      <c r="E1354" s="18" t="inlineStr">
        <is>
          <t>BEBECONFORT Mini thermomètre multifonctions, 4 en 1</t>
        </is>
      </c>
      <c r="F1354" s="17" t="inlineStr">
        <is>
          <t>Cdiscount Puériculture &amp; Eveil bébé - Découvrez notre offre BEBECONFORT Mini thermomètre multifonctions, 4 en 1 ; technologie infra-rouge. Livraison gratuite à partir de 25€* |</t>
        </is>
      </c>
      <c r="G1354" s="19" t="inlineStr">
        <is>
          <t>https://www.cdiscount.com/pret-a-porter/bebe-puericulture/bebeconfort-mini-thermometre-multifonctions-4-en/f-11317341209-bbc3220660006878.html?cid=lemwork&amp;cm_mmc=dorel29</t>
        </is>
      </c>
      <c r="H1354" s="20" t="n">
        <v>5197</v>
      </c>
      <c r="I1354" s="20" t="n">
        <v>24</v>
      </c>
      <c r="J1354" s="21">
        <f>IF(H1354=0,0,I1354/H1354)</f>
        <v/>
      </c>
    </row>
    <row r="1355">
      <c r="A1355" s="17" t="inlineStr">
        <is>
          <t>Dorel</t>
        </is>
      </c>
      <c r="B1355" s="17" t="inlineStr">
        <is>
          <t>Live</t>
        </is>
      </c>
      <c r="C1355" s="17" t="inlineStr">
        <is>
          <t>Dorel</t>
        </is>
      </c>
      <c r="D1355" s="17" t="inlineStr">
        <is>
          <t>Barrières et sécurité maison</t>
        </is>
      </c>
      <c r="E1355" s="18" t="inlineStr">
        <is>
          <t>SAFETY 1ST Barrière de sécurité enfant Easy Close - Métal</t>
        </is>
      </c>
      <c r="F1355" s="17" t="inlineStr">
        <is>
          <t>Cdiscount Puériculture &amp; Eveil bébé - Découvrez notre offre SAFETY 1ST Barrière de sécurité enfant Easy Close - Métal - 73 à 80 cm - pression, sans vis ni perçage - Blanc.</t>
        </is>
      </c>
      <c r="G1355" s="19" t="inlineStr">
        <is>
          <t>https://www.cdiscount.com/pret-a-porter/bebe-puericulture/safety-1st-barriere-de-securite-enfant-easy-close/f-11317370201-24754310.html?cid=lemwork&amp;cm_mmc=dorel21</t>
        </is>
      </c>
      <c r="H1355" s="20" t="n">
        <v>5187</v>
      </c>
      <c r="I1355" s="20" t="n">
        <v>33</v>
      </c>
      <c r="J1355" s="21">
        <f>IF(H1355=0,0,I1355/H1355)</f>
        <v/>
      </c>
    </row>
    <row r="1356">
      <c r="A1356" s="17" t="inlineStr">
        <is>
          <t>Dorel</t>
        </is>
      </c>
      <c r="B1356" s="17" t="inlineStr">
        <is>
          <t>Live</t>
        </is>
      </c>
      <c r="C1356" s="17" t="inlineStr">
        <is>
          <t>Dorel</t>
        </is>
      </c>
      <c r="D1356" s="17" t="inlineStr">
        <is>
          <t>Barrières et sécurité maison</t>
        </is>
      </c>
      <c r="E1356" s="18" t="inlineStr">
        <is>
          <t>Barrière de sécurité enfant Easy Close Metal - SAFETY 1ST</t>
        </is>
      </c>
      <c r="F1356" s="17" t="inlineStr">
        <is>
          <t>Cdiscount Puériculture &amp; Eveil bébé - Découvrez notre offre Barrière de sécurité enfant Easy Close Metal - SAFETY 1ST - Réglable de 73 à 80 cm - pression, sans vis ni perçage</t>
        </is>
      </c>
      <c r="G1356" s="19" t="inlineStr">
        <is>
          <t>https://www.cdiscount.com/pret-a-porter/bebe-puericulture/barriere-de-securite-enfant-easy-close-metal-saf/f-11317370201-saf2475057000.html?cid=lemwork&amp;cm_mmc=dorel15</t>
        </is>
      </c>
      <c r="H1356" s="20" t="n">
        <v>4865</v>
      </c>
      <c r="I1356" s="20" t="n">
        <v>23</v>
      </c>
      <c r="J1356" s="21">
        <f>IF(H1356=0,0,I1356/H1356)</f>
        <v/>
      </c>
    </row>
    <row r="1357">
      <c r="A1357" s="17" t="inlineStr">
        <is>
          <t>Dorel</t>
        </is>
      </c>
      <c r="B1357" s="17" t="inlineStr">
        <is>
          <t>Live</t>
        </is>
      </c>
      <c r="C1357" s="17" t="inlineStr">
        <is>
          <t>Dorel</t>
        </is>
      </c>
      <c r="D1357" s="17" t="inlineStr">
        <is>
          <t>Barrières et sécurité maison</t>
        </is>
      </c>
      <c r="E1357" s="18" t="inlineStr">
        <is>
          <t>BEBECONFORT EXPLORER Trotteur avec tablette musicale</t>
        </is>
      </c>
      <c r="F1357" s="17" t="inlineStr">
        <is>
          <t>de 6 à 18 mois (12 kg), Tinted graphite</t>
        </is>
      </c>
      <c r="G1357" s="19" t="inlineStr">
        <is>
          <t>https://www.cdiscount.com/pret-a-porter/bebe-puericulture/bebeconfort-explorer-trotteur-avec-tablette-musica/f-113172518-bbc3220660345014.html?cid=lemwork&amp;cm_mmc=dorel35</t>
        </is>
      </c>
      <c r="H1357" s="20" t="n">
        <v>4606</v>
      </c>
      <c r="I1357" s="20" t="n">
        <v>21</v>
      </c>
      <c r="J1357" s="21">
        <f>IF(H1357=0,0,I1357/H1357)</f>
        <v/>
      </c>
    </row>
    <row r="1358">
      <c r="A1358" s="17" t="inlineStr">
        <is>
          <t>Dorel</t>
        </is>
      </c>
      <c r="B1358" s="17" t="inlineStr">
        <is>
          <t>Live</t>
        </is>
      </c>
      <c r="C1358" s="17" t="inlineStr">
        <is>
          <t>Dorel</t>
        </is>
      </c>
      <c r="D1358" s="17" t="inlineStr">
        <is>
          <t>Barrières et sécurité maison</t>
        </is>
      </c>
      <c r="E1358" s="18" t="inlineStr">
        <is>
          <t>Berceau bébé et Cododo 2 en 1 Amara, De la naissance à 6</t>
        </is>
      </c>
      <c r="F1358" s="17" t="inlineStr">
        <is>
          <t>Cdiscount Puériculture &amp; Eveil bébé - Découvrez notre offre Berceau bébé et Cododo 2 en 1 Amara, De la naissance à 6 mois, Tinted Gray. Livraison gratuite à partir de 25€* |</t>
        </is>
      </c>
      <c r="G1358" s="19" t="inlineStr">
        <is>
          <t>https://www.cdiscount.com/pret-a-porter/bebe-puericulture/berceau-bebe-et-cododo-2-en-1-amara-de-la-naissan/f-11317381413-aaalx78614.html?cid=lemwork&amp;cm_mmc=dorel24</t>
        </is>
      </c>
      <c r="H1358" s="20" t="n">
        <v>4586</v>
      </c>
      <c r="I1358" s="20" t="n">
        <v>25</v>
      </c>
      <c r="J1358" s="21">
        <f>IF(H1358=0,0,I1358/H1358)</f>
        <v/>
      </c>
    </row>
    <row r="1359">
      <c r="A1359" s="17" t="inlineStr">
        <is>
          <t>Dorel</t>
        </is>
      </c>
      <c r="B1359" s="17" t="inlineStr">
        <is>
          <t>Live</t>
        </is>
      </c>
      <c r="C1359" s="17" t="inlineStr">
        <is>
          <t>Dorel</t>
        </is>
      </c>
      <c r="D1359" s="17" t="inlineStr">
        <is>
          <t>Barrières et sécurité maison</t>
        </is>
      </c>
      <c r="E1359" s="18" t="inlineStr">
        <is>
          <t>BEBECONFORT Réhausseur de chaise, Essential booster, De 6</t>
        </is>
      </c>
      <c r="F1359" s="17" t="inlineStr">
        <is>
          <t>Cdiscount Puériculture &amp; Eveil bébé - Découvrez notre offre BEBECONFORT Réhausseur de chaise, Essential booster, De 6 mois à 3 ans (15kg), Warm gray. Livraison gratuite à partir</t>
        </is>
      </c>
      <c r="G1359" s="19" t="inlineStr">
        <is>
          <t>https://www.cdiscount.com/pret-a-porter/bebe-puericulture/bebeconfort-rehausseur-de-chaise-essential-booste/f-113173307-bbconf2776191210.html?cid=lemwork&amp;cm_mmc=dorel14</t>
        </is>
      </c>
      <c r="H1359" s="20" t="n">
        <v>4541</v>
      </c>
      <c r="I1359" s="20" t="n">
        <v>28</v>
      </c>
      <c r="J1359" s="21">
        <f>IF(H1359=0,0,I1359/H1359)</f>
        <v/>
      </c>
    </row>
    <row r="1360">
      <c r="A1360" s="17" t="inlineStr">
        <is>
          <t>Dorel</t>
        </is>
      </c>
      <c r="B1360" s="17" t="inlineStr">
        <is>
          <t>Live</t>
        </is>
      </c>
      <c r="C1360" s="17" t="inlineStr">
        <is>
          <t>Dorel</t>
        </is>
      </c>
      <c r="D1360" s="17" t="inlineStr">
        <is>
          <t>Barrières et sécurité maison</t>
        </is>
      </c>
      <c r="E1360" s="18" t="inlineStr">
        <is>
          <t>BEBECONFORT ASTER, Transat ultra plat, ajustable, 2</t>
        </is>
      </c>
      <c r="F1360" s="17" t="inlineStr">
        <is>
          <t>Cdiscount Puériculture &amp; Eveil bébé - Découvrez notre offre BEBECONFORT ASTER, Transat ultra plat, ajustable, 2 positions d'inclinaison, arche incluse, De 0 à 3 ans (15kg) TINTED</t>
        </is>
      </c>
      <c r="G1360" s="19" t="inlineStr">
        <is>
          <t>https://www.cdiscount.com/pret-a-porter/bebe-puericulture/bebeconfort-aster-transat-ultra-plat-ajustable/f-113172524-bbc3220660005734.html?cid=lemwork&amp;cm_mmc=dorel26</t>
        </is>
      </c>
      <c r="H1360" s="20" t="n">
        <v>4530</v>
      </c>
      <c r="I1360" s="20" t="n">
        <v>13</v>
      </c>
      <c r="J1360" s="21">
        <f>IF(H1360=0,0,I1360/H1360)</f>
        <v/>
      </c>
    </row>
    <row r="1361">
      <c r="A1361" s="17" t="inlineStr">
        <is>
          <t>Dorel</t>
        </is>
      </c>
      <c r="B1361" s="17" t="inlineStr">
        <is>
          <t>Live</t>
        </is>
      </c>
      <c r="C1361" s="17" t="inlineStr">
        <is>
          <t>Dorel</t>
        </is>
      </c>
      <c r="D1361" s="17" t="inlineStr">
        <is>
          <t>Chambre, lit et repas bébé</t>
        </is>
      </c>
      <c r="E1361" s="18" t="inlineStr">
        <is>
          <t>Chaise haute bébé Lily au meilleur prix - Dorel</t>
        </is>
      </c>
      <c r="F1361" s="17" t="inlineStr">
        <is>
          <t>La chaise haute Bébé Confort Lily accompagne les repas de bébé dès qu’il tient assis, à 52,25 € sur Cdiscount, avec la livraison offerte dès 25 € d’achat.</t>
        </is>
      </c>
      <c r="G1361" s="19" t="inlineStr">
        <is>
          <t>https://www.cdiscount.com/pret-a-porter/bebe-puericulture/equipement-repas-alimentation/chaises-hautes-accessoires/l-113173307.html?cid=lemwork&amp;cm_mmc=gen_dorel</t>
        </is>
      </c>
      <c r="H1361" s="20" t="n">
        <v>4438</v>
      </c>
      <c r="I1361" s="20" t="n">
        <v>8</v>
      </c>
      <c r="J1361" s="21">
        <f>IF(H1361=0,0,I1361/H1361)</f>
        <v/>
      </c>
    </row>
    <row r="1362">
      <c r="A1362" s="17" t="inlineStr">
        <is>
          <t>Dorel</t>
        </is>
      </c>
      <c r="B1362" s="17" t="inlineStr">
        <is>
          <t>Live</t>
        </is>
      </c>
      <c r="C1362" s="17" t="inlineStr">
        <is>
          <t>Dorel</t>
        </is>
      </c>
      <c r="D1362" s="17" t="inlineStr">
        <is>
          <t>Barrières et sécurité maison</t>
        </is>
      </c>
      <c r="E1362" s="18" t="inlineStr">
        <is>
          <t>TINY LOVE Mobile de voyage 3 en1 – Magical Tales</t>
        </is>
      </c>
      <c r="F1362" s="17" t="inlineStr">
        <is>
          <t>dès la naissance, Black &amp; White</t>
        </is>
      </c>
      <c r="G1362" s="19" t="inlineStr">
        <is>
          <t>https://www.cdiscount.com/pret-a-porter/bebe-puericulture/tiny-love-mobile-de-voyage-3-en1-magical-tales/f-113172517-tin1693295558140.html?cid=lemwork&amp;cm_mmc=dorel81</t>
        </is>
      </c>
      <c r="H1362" s="20" t="n">
        <v>4288</v>
      </c>
      <c r="I1362" s="20" t="n">
        <v>17</v>
      </c>
      <c r="J1362" s="21">
        <f>IF(H1362=0,0,I1362/H1362)</f>
        <v/>
      </c>
    </row>
    <row r="1363">
      <c r="A1363" s="17" t="inlineStr">
        <is>
          <t>Dorel</t>
        </is>
      </c>
      <c r="B1363" s="17" t="inlineStr">
        <is>
          <t>Live</t>
        </is>
      </c>
      <c r="C1363" s="17" t="inlineStr">
        <is>
          <t>Dorel</t>
        </is>
      </c>
      <c r="D1363" s="17" t="inlineStr">
        <is>
          <t>Family and Parenting</t>
        </is>
      </c>
      <c r="E1363" s="18" t="inlineStr">
        <is>
          <t>Berceau bébé et Cododo 2 en 1 Amara, De la naissance à 6</t>
        </is>
      </c>
      <c r="F1363" s="17" t="inlineStr">
        <is>
          <t>Cdiscount Puériculture &amp; Eveil bébé - Découvrez notre offre Berceau bébé et Cododo 2 en 1 Amara, De la naissance à 6 mois, Tinted Gray. Livraison gratuite à partir de 25€* |</t>
        </is>
      </c>
      <c r="G1363" s="19" t="inlineStr">
        <is>
          <t>https://www.cdiscount.com/pret-a-porter/bebe-puericulture/berceau-bebe-et-cododo-2-en-1-amara-de-la-naissan/f-11317381413-aaalx78614.html?cid=lemwork&amp;cm_mmc=dorel24</t>
        </is>
      </c>
      <c r="H1363" s="20" t="n">
        <v>4271</v>
      </c>
      <c r="I1363" s="20" t="n">
        <v>22</v>
      </c>
      <c r="J1363" s="21">
        <f>IF(H1363=0,0,I1363/H1363)</f>
        <v/>
      </c>
    </row>
    <row r="1364">
      <c r="A1364" s="17" t="inlineStr">
        <is>
          <t>Dorel</t>
        </is>
      </c>
      <c r="B1364" s="17" t="inlineStr">
        <is>
          <t>Live</t>
        </is>
      </c>
      <c r="C1364" s="17" t="inlineStr">
        <is>
          <t>Dorel</t>
        </is>
      </c>
      <c r="D1364" s="17" t="inlineStr">
        <is>
          <t>Barrières et sécurité maison</t>
        </is>
      </c>
      <c r="E1364" s="18" t="inlineStr">
        <is>
          <t>BEBECONFORT Trousse de toilette complète pour bébé, 8</t>
        </is>
      </c>
      <c r="F1364" s="17" t="inlineStr">
        <is>
          <t>Cdiscount Puériculture &amp; Eveil bébé - Découvrez notre offre BEBECONFORT Trousse de toilette complète pour bébé, 8 produits pour 8 usages, sous l'océan. Livraison gratuite à partir</t>
        </is>
      </c>
      <c r="G1364" s="19" t="inlineStr">
        <is>
          <t>https://www.cdiscount.com/pret-a-porter/bebe-puericulture/bebeconfort-trousse-de-toilette-complete-pour-bebe/f-11317341203-bbc3220660006847.html?cid=lemwork&amp;cm_mmc=dorel28</t>
        </is>
      </c>
      <c r="H1364" s="20" t="n">
        <v>4172</v>
      </c>
      <c r="I1364" s="20" t="n">
        <v>21</v>
      </c>
      <c r="J1364" s="21">
        <f>IF(H1364=0,0,I1364/H1364)</f>
        <v/>
      </c>
    </row>
    <row r="1365">
      <c r="A1365" s="17" t="inlineStr">
        <is>
          <t>Dorel</t>
        </is>
      </c>
      <c r="B1365" s="17" t="inlineStr">
        <is>
          <t>Live</t>
        </is>
      </c>
      <c r="C1365" s="17" t="inlineStr">
        <is>
          <t>Dorel</t>
        </is>
      </c>
      <c r="D1365" s="17" t="inlineStr">
        <is>
          <t>Jeux d’éveil et tapis bébé</t>
        </is>
      </c>
      <c r="E1365" s="18" t="inlineStr">
        <is>
          <t>Tapis d’éveil Gymini Tiny Love au meilleur prix - Dorel</t>
        </is>
      </c>
      <c r="F1365" s="17" t="inlineStr">
        <is>
          <t>Le tapis de jeu Tiny Love Gymini Tiny Princess Tales et ses arches d’éveil stimulent bébé dès la naissance, à 69,63 € avec la livraison Cdiscount à domicile.</t>
        </is>
      </c>
      <c r="G1365" s="19" t="inlineStr">
        <is>
          <t>https://www.cdiscount.com/pret-a-porter/bebe-puericulture/eveil-jouets-1er-age/tapis-d-eveil-portiques-d-eveil/l-113172503.html?cid=lemwork&amp;cm_mmc=gen_dorel</t>
        </is>
      </c>
      <c r="H1365" s="20" t="n">
        <v>4166</v>
      </c>
      <c r="I1365" s="20" t="n">
        <v>195</v>
      </c>
      <c r="J1365" s="21">
        <f>IF(H1365=0,0,I1365/H1365)</f>
        <v/>
      </c>
    </row>
    <row r="1366">
      <c r="A1366" s="17" t="inlineStr">
        <is>
          <t>Dorel</t>
        </is>
      </c>
      <c r="B1366" s="17" t="inlineStr">
        <is>
          <t>Live</t>
        </is>
      </c>
      <c r="C1366" s="17" t="inlineStr">
        <is>
          <t>Dorel</t>
        </is>
      </c>
      <c r="D1366" s="17" t="inlineStr">
        <is>
          <t>Barrières et sécurité maison</t>
        </is>
      </c>
      <c r="E1366" s="18" t="inlineStr">
        <is>
          <t>MAXI-COSI Poussette canne ultra compacte Lara 2, 0-4 ans</t>
        </is>
      </c>
      <c r="F1366" s="17" t="inlineStr">
        <is>
          <t>Cdiscount Puériculture &amp; Eveil bébé - Découvrez notre offre MAXI-COSI Poussette canne ultra compacte Lara 2, 0-4 ans, 0-22 kg, pliage automatique, 3 positions d'inclinaison</t>
        </is>
      </c>
      <c r="G1366" s="19" t="inlineStr">
        <is>
          <t>https://www.cdiscount.com/pret-a-porter/bebe-puericulture/maxi-cosi-poussette-canne-ultra-compacte-lara-2-0/f-1131735-max3220660338122.html?cid=lemwork&amp;cm_mmc=dorel20</t>
        </is>
      </c>
      <c r="H1366" s="20" t="n">
        <v>4122</v>
      </c>
      <c r="I1366" s="20" t="n">
        <v>26</v>
      </c>
      <c r="J1366" s="21">
        <f>IF(H1366=0,0,I1366/H1366)</f>
        <v/>
      </c>
    </row>
    <row r="1367">
      <c r="A1367" s="17" t="inlineStr">
        <is>
          <t>Dorel</t>
        </is>
      </c>
      <c r="B1367" s="17" t="inlineStr">
        <is>
          <t>Live</t>
        </is>
      </c>
      <c r="C1367" s="17" t="inlineStr">
        <is>
          <t>Dorel</t>
        </is>
      </c>
      <c r="D1367" s="17" t="inlineStr">
        <is>
          <t>Barrières et sécurité maison</t>
        </is>
      </c>
      <c r="E1367" s="18" t="inlineStr">
        <is>
          <t>MAXI-COSI Poussette 3 en 1 Zelia S Trio2, Nacelle+Siège</t>
        </is>
      </c>
      <c r="F1367" s="17" t="inlineStr">
        <is>
          <t>Cdiscount Puériculture &amp; Eveil bébé - Découvrez notre offre MAXI-COSI Poussette 3 en 1 Zelia S Trio2, Nacelle+Siège auto Cabriofix S iSize+Sac à langer+habillage pluie, 0-22Kg</t>
        </is>
      </c>
      <c r="G1367" s="19" t="inlineStr">
        <is>
          <t>https://www.cdiscount.com/pret-a-porter/bebe-puericulture/maxi-cosi-poussette-3-en-1-zelia-s-trio2-nacelle/f-1131735-mc3220669980179.html?cid=lemwork&amp;cm_mmc=dorel4</t>
        </is>
      </c>
      <c r="H1367" s="20" t="n">
        <v>4113</v>
      </c>
      <c r="I1367" s="20" t="n">
        <v>29</v>
      </c>
      <c r="J1367" s="21">
        <f>IF(H1367=0,0,I1367/H1367)</f>
        <v/>
      </c>
    </row>
    <row r="1368">
      <c r="A1368" s="17" t="inlineStr">
        <is>
          <t>Dorel</t>
        </is>
      </c>
      <c r="B1368" s="17" t="inlineStr">
        <is>
          <t>Live</t>
        </is>
      </c>
      <c r="C1368" s="17" t="inlineStr">
        <is>
          <t>Dorel</t>
        </is>
      </c>
      <c r="D1368" s="17" t="inlineStr">
        <is>
          <t>Barrières et sécurité maison</t>
        </is>
      </c>
      <c r="E1368" s="18" t="inlineStr">
        <is>
          <t>BEBECONFORT Zina Berceau Pliable Bebe &amp; Cododo, 0-6 m (0-9</t>
        </is>
      </c>
      <c r="F1368" s="17" t="inlineStr">
        <is>
          <t>Cdiscount Puériculture &amp; Eveil bébé - Découvrez notre offre BEBECONFORT Zina Berceau Pliable Bebe &amp; Cododo, 0-6 m (0-9 kg), 5 Positions, Matelas Inclinable, Mineral Graphite.</t>
        </is>
      </c>
      <c r="G1368" s="19" t="inlineStr">
        <is>
          <t>https://www.cdiscount.com/pret-a-porter/bebe-puericulture/bebeconfort-zina-berceau-pliable-bebe-cododo-0/f-11317381413-aaafq42021.html?cid=lemwork&amp;cm_mmc=dorel23</t>
        </is>
      </c>
      <c r="H1368" s="20" t="n">
        <v>4030</v>
      </c>
      <c r="I1368" s="20" t="n">
        <v>22</v>
      </c>
      <c r="J1368" s="21">
        <f>IF(H1368=0,0,I1368/H1368)</f>
        <v/>
      </c>
    </row>
    <row r="1369">
      <c r="A1369" s="17" t="inlineStr">
        <is>
          <t>Dorel</t>
        </is>
      </c>
      <c r="B1369" s="17" t="inlineStr">
        <is>
          <t>Live</t>
        </is>
      </c>
      <c r="C1369" s="17" t="inlineStr">
        <is>
          <t>Dorel</t>
        </is>
      </c>
      <c r="D1369" s="17" t="inlineStr">
        <is>
          <t>Barrières et sécurité maison</t>
        </is>
      </c>
      <c r="E1369" s="18" t="inlineStr">
        <is>
          <t>BEBECONFORT Sweet dreams Lit bébé, Lit parapluie, De la</t>
        </is>
      </c>
      <c r="F1369" s="17" t="inlineStr">
        <is>
          <t>Cdiscount Puériculture &amp; Eveil bébé - Découvrez notre offre BEBECONFORT Sweet dreams Lit bébé, Lit parapluie, De la naissance à 3 ans (jusqu'à 15kg) + sac de transport, Mineral</t>
        </is>
      </c>
      <c r="G1369" s="19" t="inlineStr">
        <is>
          <t>https://www.cdiscount.com/pret-a-porter/bebe-puericulture/bebeconfort-sweet-dreams-lit-bebe-lit-parapluie/f-113177103-bbc3220660008759.html?cid=lemwork&amp;cm_mmc=dorel30</t>
        </is>
      </c>
      <c r="H1369" s="20" t="n">
        <v>4015</v>
      </c>
      <c r="I1369" s="20" t="n">
        <v>25</v>
      </c>
      <c r="J1369" s="21">
        <f>IF(H1369=0,0,I1369/H1369)</f>
        <v/>
      </c>
    </row>
    <row r="1370">
      <c r="A1370" s="17" t="inlineStr">
        <is>
          <t>Dorel</t>
        </is>
      </c>
      <c r="B1370" s="17" t="inlineStr">
        <is>
          <t>Live</t>
        </is>
      </c>
      <c r="C1370" s="17" t="inlineStr">
        <is>
          <t>Dorel</t>
        </is>
      </c>
      <c r="D1370" s="17" t="inlineStr">
        <is>
          <t>Barrières et sécurité maison</t>
        </is>
      </c>
      <c r="E1370" s="18" t="inlineStr">
        <is>
          <t>BEBECONFORT Dolphy Table à langer et baignoire 2en 1, De la</t>
        </is>
      </c>
      <c r="F1370" s="17" t="inlineStr">
        <is>
          <t>Cdiscount Puériculture &amp; Eveil bébé - Découvrez notre offre BEBECONFORT Dolphy Table à langer et baignoire 2en 1, De la naissance à 12 mois (11kg), Gray Mist. Livraison gratuite à</t>
        </is>
      </c>
      <c r="G1370" s="19" t="inlineStr">
        <is>
          <t>https://www.cdiscount.com/pret-a-porter/bebe-puericulture/bebeconfort-dolphy-table-a-langer-et-baignoire-2en/f-113173401-bbc3220660340798.html?cid=lemwork&amp;cm_mmc=dorel18</t>
        </is>
      </c>
      <c r="H1370" s="20" t="n">
        <v>3941</v>
      </c>
      <c r="I1370" s="20" t="n">
        <v>27</v>
      </c>
      <c r="J1370" s="21">
        <f>IF(H1370=0,0,I1370/H1370)</f>
        <v/>
      </c>
    </row>
    <row r="1371">
      <c r="A1371" s="17" t="inlineStr">
        <is>
          <t>Dorel</t>
        </is>
      </c>
      <c r="B1371" s="17" t="inlineStr">
        <is>
          <t>Live</t>
        </is>
      </c>
      <c r="C1371" s="17" t="inlineStr">
        <is>
          <t>Dorel</t>
        </is>
      </c>
      <c r="D1371" s="17" t="inlineStr">
        <is>
          <t>Barrières et sécurité maison</t>
        </is>
      </c>
      <c r="E1371" s="18" t="inlineStr">
        <is>
          <t>BEBECONFORT HAZE Poussette 3 en 1, Assise transformable en</t>
        </is>
      </c>
      <c r="F1371" s="17" t="inlineStr">
        <is>
          <t>Cdiscount Puériculture &amp; Eveil bébé - Découvrez notre offre BEBECONFORT HAZE Poussette 3 en 1, Assise transformable en nacelle + siège auto i-Size + habillage pluie, 0-22kg</t>
        </is>
      </c>
      <c r="G1371" s="19" t="inlineStr">
        <is>
          <t>https://www.cdiscount.com/pret-a-porter/bebe-puericulture/bebeconfort-haze-poussette-3-en-1-assise-transfor/f-1131735-bbc3220660344802.html?cid=lemwork&amp;cm_mmc=dorel1</t>
        </is>
      </c>
      <c r="H1371" s="20" t="n">
        <v>3940</v>
      </c>
      <c r="I1371" s="20" t="n">
        <v>14</v>
      </c>
      <c r="J1371" s="21">
        <f>IF(H1371=0,0,I1371/H1371)</f>
        <v/>
      </c>
    </row>
    <row r="1372">
      <c r="A1372" s="17" t="inlineStr">
        <is>
          <t>Dorel</t>
        </is>
      </c>
      <c r="B1372" s="17" t="inlineStr">
        <is>
          <t>Live</t>
        </is>
      </c>
      <c r="C1372" s="17" t="inlineStr">
        <is>
          <t>Dorel</t>
        </is>
      </c>
      <c r="D1372" s="17" t="inlineStr">
        <is>
          <t>Family and Parenting</t>
        </is>
      </c>
      <c r="E1372" s="18" t="inlineStr">
        <is>
          <t>BEBECONFORT ASTER, Transat ultra plat, ajustable, 2</t>
        </is>
      </c>
      <c r="F1372" s="17" t="inlineStr">
        <is>
          <t>Cdiscount Puériculture &amp; Eveil bébé - Découvrez notre offre BEBECONFORT ASTER, Transat ultra plat, ajustable, 2 positions d'inclinaison, arche incluse, De 0 à 3 ans (15kg) TINTED</t>
        </is>
      </c>
      <c r="G1372" s="19" t="inlineStr">
        <is>
          <t>https://www.cdiscount.com/pret-a-porter/bebe-puericulture/bebeconfort-aster-transat-ultra-plat-ajustable/f-113172524-bbc3220660005734.html?cid=lemwork&amp;cm_mmc=dorel26</t>
        </is>
      </c>
      <c r="H1372" s="20" t="n">
        <v>3929</v>
      </c>
      <c r="I1372" s="20" t="n">
        <v>16</v>
      </c>
      <c r="J1372" s="21">
        <f>IF(H1372=0,0,I1372/H1372)</f>
        <v/>
      </c>
    </row>
    <row r="1373">
      <c r="A1373" s="17" t="inlineStr">
        <is>
          <t>Dorel</t>
        </is>
      </c>
      <c r="B1373" s="17" t="inlineStr">
        <is>
          <t>Live</t>
        </is>
      </c>
      <c r="C1373" s="17" t="inlineStr">
        <is>
          <t>Dorel</t>
        </is>
      </c>
      <c r="D1373" s="17" t="inlineStr">
        <is>
          <t>Jeux d’éveil et tapis bébé</t>
        </is>
      </c>
      <c r="E1373" s="18" t="inlineStr">
        <is>
          <t>Trotteur bébé à tablette musicale pas cher - Dorel</t>
        </is>
      </c>
      <c r="F1373" s="17" t="inlineStr">
        <is>
          <t>Le trotteur Bébé Confort Explorer accompagne les premiers pas de bébé avec une tablette musicale, à 44,99 € sur Cdiscount, livraison offerte dès 25 € d’achat.</t>
        </is>
      </c>
      <c r="G1373" s="19" t="inlineStr">
        <is>
          <t>https://www.cdiscount.com/pret-a-porter/bebe-puericulture/eveil-jouets-1er-age/trotteurs/l-113172518.html?cid=lemwork&amp;cm_mmc=gen_dorel</t>
        </is>
      </c>
      <c r="H1373" s="20" t="n">
        <v>3923</v>
      </c>
      <c r="I1373" s="20" t="n">
        <v>41</v>
      </c>
      <c r="J1373" s="21">
        <f>IF(H1373=0,0,I1373/H1373)</f>
        <v/>
      </c>
    </row>
    <row r="1374">
      <c r="A1374" s="17" t="inlineStr">
        <is>
          <t>Dorel</t>
        </is>
      </c>
      <c r="B1374" s="17" t="inlineStr">
        <is>
          <t>Live</t>
        </is>
      </c>
      <c r="C1374" s="17" t="inlineStr">
        <is>
          <t>Dorel</t>
        </is>
      </c>
      <c r="D1374" s="17" t="inlineStr">
        <is>
          <t>Barrières et sécurité maison</t>
        </is>
      </c>
      <c r="E1374" s="18" t="inlineStr">
        <is>
          <t>BEBECONFORT LILY Chaise haute bébé, ultra compacte et</t>
        </is>
      </c>
      <c r="F1374" s="17" t="inlineStr">
        <is>
          <t>Cdiscount Puériculture &amp; Eveil bébé - Découvrez notre offre BEBECONFORT LILY Chaise haute bébé, ultra compacte et légère, confort optimal, de 6 mois à 3 ans, jusqu'à 15 kg, Tinted</t>
        </is>
      </c>
      <c r="G1374" s="19" t="inlineStr">
        <is>
          <t>https://www.cdiscount.com/pret-a-porter/bebe-puericulture/bebeconfort-lily-chaise-haute-bebe-ultra-compacte/f-113173307-bbc3220660345915.html?cid=lemwork&amp;cm_mmc=dorel6</t>
        </is>
      </c>
      <c r="H1374" s="20" t="n">
        <v>3916</v>
      </c>
      <c r="I1374" s="20" t="n">
        <v>23</v>
      </c>
      <c r="J1374" s="21">
        <f>IF(H1374=0,0,I1374/H1374)</f>
        <v/>
      </c>
    </row>
    <row r="1375">
      <c r="A1375" s="17" t="inlineStr">
        <is>
          <t>Dorel</t>
        </is>
      </c>
      <c r="B1375" s="17" t="inlineStr">
        <is>
          <t>Live</t>
        </is>
      </c>
      <c r="C1375" s="17" t="inlineStr">
        <is>
          <t>Dorel</t>
        </is>
      </c>
      <c r="D1375" s="17" t="inlineStr">
        <is>
          <t>Family and Parenting</t>
        </is>
      </c>
      <c r="E1375" s="18" t="inlineStr">
        <is>
          <t>TINY LOVE Mobile de voyage 3 en1 – Magical Tales</t>
        </is>
      </c>
      <c r="F1375" s="17" t="inlineStr">
        <is>
          <t>dès la naissance, Black &amp; White</t>
        </is>
      </c>
      <c r="G1375" s="19" t="inlineStr">
        <is>
          <t>https://www.cdiscount.com/pret-a-porter/bebe-puericulture/tiny-love-mobile-de-voyage-3-en1-magical-tales/f-113172517-tin1693295558140.html?cid=lemwork&amp;cm_mmc=dorel81</t>
        </is>
      </c>
      <c r="H1375" s="20" t="n">
        <v>3911</v>
      </c>
      <c r="I1375" s="20" t="n">
        <v>16</v>
      </c>
      <c r="J1375" s="21">
        <f>IF(H1375=0,0,I1375/H1375)</f>
        <v/>
      </c>
    </row>
    <row r="1376">
      <c r="A1376" s="17" t="inlineStr">
        <is>
          <t>Dorel</t>
        </is>
      </c>
      <c r="B1376" s="17" t="inlineStr">
        <is>
          <t>Live</t>
        </is>
      </c>
      <c r="C1376" s="17" t="inlineStr">
        <is>
          <t>Dorel</t>
        </is>
      </c>
      <c r="D1376" s="17" t="inlineStr">
        <is>
          <t>Barrières et sécurité maison</t>
        </is>
      </c>
      <c r="E1376" s="18" t="inlineStr">
        <is>
          <t>BEBECONFORT Sunlite, Poussette ultra compacte, confortable</t>
        </is>
      </c>
      <c r="F1376" s="17" t="inlineStr">
        <is>
          <t>Cdiscount Puériculture &amp; Eveil bébé - Découvrez notre offre BEBECONFORT Sunlite, Poussette ultra compacte, confortable et lègère, dès la naissance jusqu'à 4 ans,0 à 22 kg, Mineral</t>
        </is>
      </c>
      <c r="G1376" s="19" t="inlineStr">
        <is>
          <t>https://www.cdiscount.com/pret-a-porter/bebe-puericulture/bebeconfort-sunlite-poussette-ultra-compacte-con/f-1131735-bbc3220660012497.html?cid=lemwork&amp;cm_mmc=dorel17</t>
        </is>
      </c>
      <c r="H1376" s="20" t="n">
        <v>3889</v>
      </c>
      <c r="I1376" s="20" t="n">
        <v>20</v>
      </c>
      <c r="J1376" s="21">
        <f>IF(H1376=0,0,I1376/H1376)</f>
        <v/>
      </c>
    </row>
    <row r="1377">
      <c r="A1377" s="17" t="inlineStr">
        <is>
          <t>Dorel</t>
        </is>
      </c>
      <c r="B1377" s="17" t="inlineStr">
        <is>
          <t>Live</t>
        </is>
      </c>
      <c r="C1377" s="17" t="inlineStr">
        <is>
          <t>Dorel</t>
        </is>
      </c>
      <c r="D1377" s="17" t="inlineStr">
        <is>
          <t>Family and Parenting</t>
        </is>
      </c>
      <c r="E1377" s="18" t="inlineStr">
        <is>
          <t>BEBECONFORT Zina Berceau Pliable Bebe &amp; Cododo, 0-6 m (0-9</t>
        </is>
      </c>
      <c r="F1377" s="17" t="inlineStr">
        <is>
          <t>Cdiscount Puériculture &amp; Eveil bébé - Découvrez notre offre BEBECONFORT Zina Berceau Pliable Bebe &amp; Cododo, 0-6 m (0-9 kg), 5 Positions, Matelas Inclinable, Mineral Graphite.</t>
        </is>
      </c>
      <c r="G1377" s="19" t="inlineStr">
        <is>
          <t>https://www.cdiscount.com/pret-a-porter/bebe-puericulture/bebeconfort-zina-berceau-pliable-bebe-cododo-0/f-11317381413-aaafq42021.html?cid=lemwork&amp;cm_mmc=dorel23</t>
        </is>
      </c>
      <c r="H1377" s="20" t="n">
        <v>3847</v>
      </c>
      <c r="I1377" s="20" t="n">
        <v>20</v>
      </c>
      <c r="J1377" s="21">
        <f>IF(H1377=0,0,I1377/H1377)</f>
        <v/>
      </c>
    </row>
    <row r="1378">
      <c r="A1378" s="17" t="inlineStr">
        <is>
          <t>Dorel</t>
        </is>
      </c>
      <c r="B1378" s="17" t="inlineStr">
        <is>
          <t>Live</t>
        </is>
      </c>
      <c r="C1378" s="17" t="inlineStr">
        <is>
          <t>Dorel</t>
        </is>
      </c>
      <c r="D1378" s="17" t="inlineStr">
        <is>
          <t>Family and Parenting</t>
        </is>
      </c>
      <c r="E1378" s="18" t="inlineStr">
        <is>
          <t>BEBECONFORT Réhausseur de chaise, Essential booster, De 6</t>
        </is>
      </c>
      <c r="F1378" s="17" t="inlineStr">
        <is>
          <t>Cdiscount Puériculture &amp; Eveil bébé - Découvrez notre offre BEBECONFORT Réhausseur de chaise, Essential booster, De 6 mois à 3 ans (15kg), Warm gray. Livraison gratuite à partir</t>
        </is>
      </c>
      <c r="G1378" s="19" t="inlineStr">
        <is>
          <t>https://www.cdiscount.com/pret-a-porter/bebe-puericulture/bebeconfort-rehausseur-de-chaise-essential-booste/f-113173307-bbconf2776191210.html?cid=lemwork&amp;cm_mmc=dorel14</t>
        </is>
      </c>
      <c r="H1378" s="20" t="n">
        <v>3832</v>
      </c>
      <c r="I1378" s="20" t="n">
        <v>16</v>
      </c>
      <c r="J1378" s="21">
        <f>IF(H1378=0,0,I1378/H1378)</f>
        <v/>
      </c>
    </row>
    <row r="1379">
      <c r="A1379" s="17" t="inlineStr">
        <is>
          <t>Dorel</t>
        </is>
      </c>
      <c r="B1379" s="17" t="inlineStr">
        <is>
          <t>Live</t>
        </is>
      </c>
      <c r="C1379" s="17" t="inlineStr">
        <is>
          <t>Dorel</t>
        </is>
      </c>
      <c r="D1379" s="17" t="inlineStr">
        <is>
          <t>Barrières et sécurité maison</t>
        </is>
      </c>
      <c r="E1379" s="18" t="inlineStr">
        <is>
          <t>BEBECONFORT FOGGY Poussette canne compacte, légère , dès la</t>
        </is>
      </c>
      <c r="F1379" s="17" t="inlineStr">
        <is>
          <t>Cdiscount Puériculture &amp; Eveil bébé - Découvrez notre offre BEBECONFORT FOGGY Poussette canne compacte, légère , dès la naissance, jusqu'à 15 kg, position allongée, Tinted Gray.</t>
        </is>
      </c>
      <c r="G1379" s="19" t="inlineStr">
        <is>
          <t>https://www.cdiscount.com/pret-a-porter/bebe-puericulture/bebeconfort-foggy-poussette-canne-compacte-legere/f-1131735-bbc3220660347179.html?cid=lemwork&amp;cm_mmc=dorel12</t>
        </is>
      </c>
      <c r="H1379" s="20" t="n">
        <v>3823</v>
      </c>
      <c r="I1379" s="20" t="n">
        <v>16</v>
      </c>
      <c r="J1379" s="21">
        <f>IF(H1379=0,0,I1379/H1379)</f>
        <v/>
      </c>
    </row>
    <row r="1380">
      <c r="A1380" s="17" t="inlineStr">
        <is>
          <t>Dorel</t>
        </is>
      </c>
      <c r="B1380" s="17" t="inlineStr">
        <is>
          <t>Live</t>
        </is>
      </c>
      <c r="C1380" s="17" t="inlineStr">
        <is>
          <t>Dorel</t>
        </is>
      </c>
      <c r="D1380" s="17" t="inlineStr">
        <is>
          <t>Barrières et sécurité maison</t>
        </is>
      </c>
      <c r="E1380" s="18" t="inlineStr">
        <is>
          <t>BEBECONFORT Réhausseur bébé pliable Moly, de 6 mois à 3</t>
        </is>
      </c>
      <c r="F1380" s="17" t="inlineStr">
        <is>
          <t>Cdiscount Puériculture &amp; Eveil bébé - Découvrez notre offre BEBECONFORT Réhausseur bébé pliable Moly, de 6 mois à 3 ans, Tinted Gray. Livraison gratuite à partir de 25€* |</t>
        </is>
      </c>
      <c r="G1380" s="19" t="inlineStr">
        <is>
          <t>https://www.cdiscount.com/pret-a-porter/bebe-puericulture/bebeconfort-rehausseur-bebe-pliable-moly-de-6-moi/f-11317330702-aaaph76672.html?cid=lemwork&amp;cm_mmc=dorel25</t>
        </is>
      </c>
      <c r="H1380" s="20" t="n">
        <v>3819</v>
      </c>
      <c r="I1380" s="20" t="n">
        <v>18</v>
      </c>
      <c r="J1380" s="21">
        <f>IF(H1380=0,0,I1380/H1380)</f>
        <v/>
      </c>
    </row>
    <row r="1381">
      <c r="A1381" s="17" t="inlineStr">
        <is>
          <t>Dorel</t>
        </is>
      </c>
      <c r="B1381" s="17" t="inlineStr">
        <is>
          <t>Live</t>
        </is>
      </c>
      <c r="C1381" s="17" t="inlineStr">
        <is>
          <t>Dorel</t>
        </is>
      </c>
      <c r="D1381" s="17" t="inlineStr">
        <is>
          <t>Family and Parenting</t>
        </is>
      </c>
      <c r="E1381" s="18" t="inlineStr">
        <is>
          <t>Poussettes, sièges auto et sécurité bébé - Dorel</t>
        </is>
      </c>
      <c r="F1381" s="17" t="inlineStr">
        <is>
          <t>Le siège auto évolutif pivotant Bébé Confort Evolufix 360 accompagne votre enfant jusqu’à 36 kg, avec la sécurité à petit prix sur Cdiscount.</t>
        </is>
      </c>
      <c r="G1381" s="19" t="inlineStr">
        <is>
          <t>https://www.cdiscount.com/pret-a-porter/bebe-puericulture/bebeconfort-siege-auto-evolutif-pivotant-evolufix/f-113177101-bbc8712930021483.html?cid=lemwork&amp;cm_mmc=dorel3</t>
        </is>
      </c>
      <c r="H1381" s="20" t="n">
        <v>3808</v>
      </c>
      <c r="I1381" s="20" t="n">
        <v>14</v>
      </c>
      <c r="J1381" s="21">
        <f>IF(H1381=0,0,I1381/H1381)</f>
        <v/>
      </c>
    </row>
    <row r="1382">
      <c r="A1382" s="17" t="inlineStr">
        <is>
          <t>Dorel</t>
        </is>
      </c>
      <c r="B1382" s="17" t="inlineStr">
        <is>
          <t>Live</t>
        </is>
      </c>
      <c r="C1382" s="17" t="inlineStr">
        <is>
          <t>Dorel</t>
        </is>
      </c>
      <c r="D1382" s="17" t="inlineStr">
        <is>
          <t>Family and Parenting</t>
        </is>
      </c>
      <c r="E1382" s="18" t="inlineStr">
        <is>
          <t>Siège auto évolutif ceinturé GROW i-Safe BEBE CONFORT, De</t>
        </is>
      </c>
      <c r="F1382" s="17" t="inlineStr">
        <is>
          <t>Siège auto BÉBÉ CONFORT idéal pour votre enfant jusqu'à 36 kg : Siège auto évolutif ceinturé GROW i-Safe BEBE CONFORT, De 15 mois à 12 ans (76-150 cm), Sécurité R129, Tinted</t>
        </is>
      </c>
      <c r="G1382" s="19" t="inlineStr">
        <is>
          <t>https://www.cdiscount.com/pret-a-porter/bebe-puericulture/siege-auto-evolutif-ceinture-grow-i-safe-bebe-conf/f-113177101-bbc8712930011057.html?cid=lemwork&amp;cm_mmc=dorel13</t>
        </is>
      </c>
      <c r="H1382" s="20" t="n">
        <v>3782</v>
      </c>
      <c r="I1382" s="20" t="n">
        <v>13</v>
      </c>
      <c r="J1382" s="21">
        <f>IF(H1382=0,0,I1382/H1382)</f>
        <v/>
      </c>
    </row>
    <row r="1383">
      <c r="A1383" s="17" t="inlineStr">
        <is>
          <t>Dorel</t>
        </is>
      </c>
      <c r="B1383" s="17" t="inlineStr">
        <is>
          <t>Live</t>
        </is>
      </c>
      <c r="C1383" s="17" t="inlineStr">
        <is>
          <t>Dorel</t>
        </is>
      </c>
      <c r="D1383" s="17" t="inlineStr">
        <is>
          <t>Barrières et sécurité maison</t>
        </is>
      </c>
      <c r="E1383" s="18" t="inlineStr">
        <is>
          <t>Siège auto évolutif ceinturé GROW i-Safe BEBE CONFORT, De</t>
        </is>
      </c>
      <c r="F1383" s="17" t="inlineStr">
        <is>
          <t>Siège auto BÉBÉ CONFORT idéal pour votre enfant jusqu'à 36 kg : Siège auto évolutif ceinturé GROW i-Safe BEBE CONFORT, De 15 mois à 12 ans (76-150 cm), Sécurité R129, Tinted</t>
        </is>
      </c>
      <c r="G1383" s="19" t="inlineStr">
        <is>
          <t>https://www.cdiscount.com/pret-a-porter/bebe-puericulture/siege-auto-evolutif-ceinture-grow-i-safe-bebe-conf/f-113177101-bbc8712930011057.html?cid=lemwork&amp;cm_mmc=dorel13</t>
        </is>
      </c>
      <c r="H1383" s="20" t="n">
        <v>3781</v>
      </c>
      <c r="I1383" s="20" t="n">
        <v>22</v>
      </c>
      <c r="J1383" s="21">
        <f>IF(H1383=0,0,I1383/H1383)</f>
        <v/>
      </c>
    </row>
    <row r="1384">
      <c r="A1384" s="17" t="inlineStr">
        <is>
          <t>Dorel</t>
        </is>
      </c>
      <c r="B1384" s="17" t="inlineStr">
        <is>
          <t>Live</t>
        </is>
      </c>
      <c r="C1384" s="17" t="inlineStr">
        <is>
          <t>Dorel</t>
        </is>
      </c>
      <c r="D1384" s="17" t="inlineStr">
        <is>
          <t>Barrières et sécurité maison</t>
        </is>
      </c>
      <c r="E1384" s="18" t="inlineStr">
        <is>
          <t>BEBECONFORT BRUME Poussette 3 en 1, Assise transformable en</t>
        </is>
      </c>
      <c r="F1384" s="17" t="inlineStr">
        <is>
          <t>Cdiscount Puériculture &amp; Eveil bébé - Découvrez notre offre BEBECONFORT BRUME Poussette 3 en 1, Assise transformable en nacelle + siège auto i-Size + habillage pluie, 0- 22kg</t>
        </is>
      </c>
      <c r="G1384" s="19" t="inlineStr">
        <is>
          <t>https://www.cdiscount.com/pret-a-porter/bebe-puericulture/bebeconfort-brume-poussette-3-en-1-assise-transfo/f-1131735-bbc3220660011384.html?cid=lemwork&amp;cm_mmc=dorel16</t>
        </is>
      </c>
      <c r="H1384" s="20" t="n">
        <v>3771</v>
      </c>
      <c r="I1384" s="20" t="n">
        <v>14</v>
      </c>
      <c r="J1384" s="21">
        <f>IF(H1384=0,0,I1384/H1384)</f>
        <v/>
      </c>
    </row>
    <row r="1385">
      <c r="A1385" s="17" t="inlineStr">
        <is>
          <t>Dorel</t>
        </is>
      </c>
      <c r="B1385" s="17" t="inlineStr">
        <is>
          <t>Live</t>
        </is>
      </c>
      <c r="C1385" s="17" t="inlineStr">
        <is>
          <t>Dorel</t>
        </is>
      </c>
      <c r="D1385" s="17" t="inlineStr">
        <is>
          <t>Barrières et sécurité maison</t>
        </is>
      </c>
      <c r="E1385" s="18" t="inlineStr">
        <is>
          <t>BEBE CONFORT Poussette canne Snow, ultra-légère (5 kg), De</t>
        </is>
      </c>
      <c r="F1385" s="17" t="inlineStr">
        <is>
          <t>Cdiscount Puériculture &amp; Eveil bébé - Découvrez notre offre BEBE CONFORT Poussette canne Snow, ultra-légère (5 kg), De la naissance à 4 ans , Siège inclinable, Pliage compact</t>
        </is>
      </c>
      <c r="G1385" s="19" t="inlineStr">
        <is>
          <t>https://www.cdiscount.com/pret-a-porter/bebe-puericulture/bebe-confort-poussette-canne-snow-ultra-legere-5/f-1131735-bbc3220660010745.html?cid=lemwork&amp;cm_mmc=dorel11</t>
        </is>
      </c>
      <c r="H1385" s="20" t="n">
        <v>3765</v>
      </c>
      <c r="I1385" s="20" t="n">
        <v>15</v>
      </c>
      <c r="J1385" s="21">
        <f>IF(H1385=0,0,I1385/H1385)</f>
        <v/>
      </c>
    </row>
    <row r="1386">
      <c r="A1386" s="17" t="inlineStr">
        <is>
          <t>Dorel</t>
        </is>
      </c>
      <c r="B1386" s="17" t="inlineStr">
        <is>
          <t>Live</t>
        </is>
      </c>
      <c r="C1386" s="17" t="inlineStr">
        <is>
          <t>Dorel</t>
        </is>
      </c>
      <c r="D1386" s="17" t="inlineStr">
        <is>
          <t>Family and Parenting</t>
        </is>
      </c>
      <c r="E1386" s="18" t="inlineStr">
        <is>
          <t>BEBECONFORT Mini thermomètre multifonctions, 4 en 1</t>
        </is>
      </c>
      <c r="F1386" s="17" t="inlineStr">
        <is>
          <t>Cdiscount Puériculture &amp; Eveil bébé - Découvrez notre offre BEBECONFORT Mini thermomètre multifonctions, 4 en 1 ; technologie infra-rouge. Livraison gratuite à partir de 25€* |</t>
        </is>
      </c>
      <c r="G1386" s="19" t="inlineStr">
        <is>
          <t>https://www.cdiscount.com/pret-a-porter/bebe-puericulture/bebeconfort-mini-thermometre-multifonctions-4-en/f-11317341209-bbc3220660006878.html?cid=lemwork&amp;cm_mmc=dorel29</t>
        </is>
      </c>
      <c r="H1386" s="20" t="n">
        <v>3763</v>
      </c>
      <c r="I1386" s="20" t="n">
        <v>26</v>
      </c>
      <c r="J1386" s="21">
        <f>IF(H1386=0,0,I1386/H1386)</f>
        <v/>
      </c>
    </row>
    <row r="1387">
      <c r="A1387" s="17" t="inlineStr">
        <is>
          <t>Dorel</t>
        </is>
      </c>
      <c r="B1387" s="17" t="inlineStr">
        <is>
          <t>Live</t>
        </is>
      </c>
      <c r="C1387" s="17" t="inlineStr">
        <is>
          <t>Dorel</t>
        </is>
      </c>
      <c r="D1387" s="17" t="inlineStr">
        <is>
          <t>Barrières et sécurité maison</t>
        </is>
      </c>
      <c r="E1387" s="18" t="inlineStr">
        <is>
          <t>BEBECONFORT SUNLITE, Poussette ultra compacte, confortable</t>
        </is>
      </c>
      <c r="F1387" s="17" t="inlineStr">
        <is>
          <t>Cdiscount Puériculture &amp; Eveil bébé - Découvrez notre offre BEBECONFORT SUNLITE, Poussette ultra compacte, confortable et lègère, dès la naissance jusqu'à 4 ans,0 à 22 kg, Tinted</t>
        </is>
      </c>
      <c r="G1387" s="19" t="inlineStr">
        <is>
          <t>https://www.cdiscount.com/pret-a-porter/bebe-puericulture/bebeconfort-sunlite-poussette-ultra-compacte-con/f-1131735-bbc3220660347407.html?cid=lemwork&amp;cm_mmc=dorel5</t>
        </is>
      </c>
      <c r="H1387" s="20" t="n">
        <v>3763</v>
      </c>
      <c r="I1387" s="20" t="n">
        <v>19</v>
      </c>
      <c r="J1387" s="21">
        <f>IF(H1387=0,0,I1387/H1387)</f>
        <v/>
      </c>
    </row>
    <row r="1388">
      <c r="A1388" s="17" t="inlineStr">
        <is>
          <t>Dorel</t>
        </is>
      </c>
      <c r="B1388" s="17" t="inlineStr">
        <is>
          <t>Live</t>
        </is>
      </c>
      <c r="C1388" s="17" t="inlineStr">
        <is>
          <t>Dorel</t>
        </is>
      </c>
      <c r="D1388" s="17" t="inlineStr">
        <is>
          <t>Barrières et sécurité maison</t>
        </is>
      </c>
      <c r="E1388" s="18" t="inlineStr">
        <is>
          <t>SAFETY 1ST Siège auto Cosmo I-Safe I-Size, De 0 à 12 ans</t>
        </is>
      </c>
      <c r="F1388" s="17" t="inlineStr">
        <is>
          <t>Siège auto SAFETY 1ST idéal pour votre enfant jusqu'à 36 kg : SAFETY 1ST Siège auto Cosmo I-Safe I-Size, De 0 à 12 ans, 40 - 150 cm, ceinturé, Installation facile, base pivotante</t>
        </is>
      </c>
      <c r="G1388" s="19" t="inlineStr">
        <is>
          <t>https://www.cdiscount.com/pret-a-porter/bebe-puericulture/safety-1st-siege-auto-cosmo-i-safe-i-size-de-0-a/f-113177101-sf8712930023272.html?cid=lemwork&amp;cm_mmc=dorel2</t>
        </is>
      </c>
      <c r="H1388" s="20" t="n">
        <v>3749</v>
      </c>
      <c r="I1388" s="20" t="n">
        <v>19</v>
      </c>
      <c r="J1388" s="21">
        <f>IF(H1388=0,0,I1388/H1388)</f>
        <v/>
      </c>
    </row>
    <row r="1389">
      <c r="A1389" s="17" t="inlineStr">
        <is>
          <t>Dorel</t>
        </is>
      </c>
      <c r="B1389" s="17" t="inlineStr">
        <is>
          <t>Live</t>
        </is>
      </c>
      <c r="C1389" s="17" t="inlineStr">
        <is>
          <t>Dorel</t>
        </is>
      </c>
      <c r="D1389" s="17" t="inlineStr">
        <is>
          <t>Family and Parenting</t>
        </is>
      </c>
      <c r="E1389" s="18" t="inlineStr">
        <is>
          <t>BEBECONFORT EXPLORER Trotteur avec tablette musicale</t>
        </is>
      </c>
      <c r="F1389" s="17" t="inlineStr">
        <is>
          <t>de 6 à 18 mois (12 kg), Tinted graphite</t>
        </is>
      </c>
      <c r="G1389" s="19" t="inlineStr">
        <is>
          <t>https://www.cdiscount.com/pret-a-porter/bebe-puericulture/bebeconfort-explorer-trotteur-avec-tablette-musica/f-113172518-bbc3220660345014.html?cid=lemwork&amp;cm_mmc=dorel35</t>
        </is>
      </c>
      <c r="H1389" s="20" t="n">
        <v>3745</v>
      </c>
      <c r="I1389" s="20" t="n">
        <v>8</v>
      </c>
      <c r="J1389" s="21">
        <f>IF(H1389=0,0,I1389/H1389)</f>
        <v/>
      </c>
    </row>
    <row r="1390">
      <c r="A1390" s="17" t="inlineStr">
        <is>
          <t>Dorel</t>
        </is>
      </c>
      <c r="B1390" s="17" t="inlineStr">
        <is>
          <t>Live</t>
        </is>
      </c>
      <c r="C1390" s="17" t="inlineStr">
        <is>
          <t>Dorel</t>
        </is>
      </c>
      <c r="D1390" s="17" t="inlineStr">
        <is>
          <t>Barrières et sécurité maison</t>
        </is>
      </c>
      <c r="E1390" s="18" t="inlineStr">
        <is>
          <t>BEBECONFORT SUNLITE, Poussette ultra compacte, confortable</t>
        </is>
      </c>
      <c r="F1390" s="17" t="inlineStr">
        <is>
          <t>Cdiscount Puériculture &amp; Eveil bébé - Découvrez notre offre BEBECONFORT SUNLITE, Poussette ultra compacte, confortable et lègère, dès la naissance jusqu'à 4 ans,0 à 22 kg, Tinted</t>
        </is>
      </c>
      <c r="G1390" s="19" t="inlineStr">
        <is>
          <t>https://www.cdiscount.com/pret-a-porter/bebe-puericulture/bebeconfort-sunlite-poussette-ultra-compacte-con/f-1131735-bbc3220660012565.html?cid=lemwork&amp;cm_mmc=dorel7</t>
        </is>
      </c>
      <c r="H1390" s="20" t="n">
        <v>3741</v>
      </c>
      <c r="I1390" s="20" t="n">
        <v>15</v>
      </c>
      <c r="J1390" s="21">
        <f>IF(H1390=0,0,I1390/H1390)</f>
        <v/>
      </c>
    </row>
    <row r="1391">
      <c r="A1391" s="17" t="inlineStr">
        <is>
          <t>Dorel</t>
        </is>
      </c>
      <c r="B1391" s="17" t="inlineStr">
        <is>
          <t>Live</t>
        </is>
      </c>
      <c r="C1391" s="17" t="inlineStr">
        <is>
          <t>Dorel</t>
        </is>
      </c>
      <c r="D1391" s="17" t="inlineStr">
        <is>
          <t>Family and Parenting</t>
        </is>
      </c>
      <c r="E1391" s="18" t="inlineStr">
        <is>
          <t>TINY LOVE Arches articulées dans la prairie - 0 Mois et +</t>
        </is>
      </c>
      <c r="F1391" s="17" t="inlineStr">
        <is>
          <t>TINY LOVE Arches articulées dans la prairie - 0 Mois et +</t>
        </is>
      </c>
      <c r="G1391" s="19" t="inlineStr">
        <is>
          <t>https://www.cdiscount.com/pret-a-porter/bebe-puericulture/tiny-love-arches-articulees-dans-la-prairie-0-mo/f-113172522-tin7290108861839.html?cid=lemwork&amp;cm_mmc=dorel83</t>
        </is>
      </c>
      <c r="H1391" s="20" t="n">
        <v>3739</v>
      </c>
      <c r="I1391" s="20" t="n">
        <v>21</v>
      </c>
      <c r="J1391" s="21">
        <f>IF(H1391=0,0,I1391/H1391)</f>
        <v/>
      </c>
    </row>
    <row r="1392">
      <c r="A1392" s="17" t="inlineStr">
        <is>
          <t>Dorel</t>
        </is>
      </c>
      <c r="B1392" s="17" t="inlineStr">
        <is>
          <t>Live</t>
        </is>
      </c>
      <c r="C1392" s="17" t="inlineStr">
        <is>
          <t>Dorel</t>
        </is>
      </c>
      <c r="D1392" s="17" t="inlineStr">
        <is>
          <t>Family and Parenting</t>
        </is>
      </c>
      <c r="E1392" s="18" t="inlineStr">
        <is>
          <t>SAFETY 1ST Barrière de sécurité enfant Easy Close - Métal</t>
        </is>
      </c>
      <c r="F1392" s="17" t="inlineStr">
        <is>
          <t>Cdiscount Puériculture &amp; Eveil bébé - Découvrez notre offre SAFETY 1ST Barrière de sécurité enfant Easy Close - Métal - 73 à 80 cm - pression, sans vis ni perçage - Blanc.</t>
        </is>
      </c>
      <c r="G1392" s="19" t="inlineStr">
        <is>
          <t>https://www.cdiscount.com/pret-a-porter/bebe-puericulture/safety-1st-barriere-de-securite-enfant-easy-close/f-11317370201-24754310.html?cid=lemwork&amp;cm_mmc=dorel21</t>
        </is>
      </c>
      <c r="H1392" s="20" t="n">
        <v>3735</v>
      </c>
      <c r="I1392" s="20" t="n">
        <v>15</v>
      </c>
      <c r="J1392" s="21">
        <f>IF(H1392=0,0,I1392/H1392)</f>
        <v/>
      </c>
    </row>
    <row r="1393">
      <c r="A1393" s="17" t="inlineStr">
        <is>
          <t>Dorel</t>
        </is>
      </c>
      <c r="B1393" s="17" t="inlineStr">
        <is>
          <t>Live</t>
        </is>
      </c>
      <c r="C1393" s="17" t="inlineStr">
        <is>
          <t>Dorel</t>
        </is>
      </c>
      <c r="D1393" s="17" t="inlineStr">
        <is>
          <t>Family and Parenting</t>
        </is>
      </c>
      <c r="E1393" s="18" t="inlineStr">
        <is>
          <t>SAFETY 1ST Barrière de sécurité enfant 73-80cm, Blanc</t>
        </is>
      </c>
      <c r="F1393" s="17" t="inlineStr">
        <is>
          <t>Cdiscount Puériculture &amp; Eveil bébé - Découvrez notre offre SAFETY 1ST Barrière de sécurité enfant 73-80cm, Blanc, métal, Auto Close, 4 points de pression. Livraison gratuite à</t>
        </is>
      </c>
      <c r="G1393" s="19" t="inlineStr">
        <is>
          <t>https://www.cdiscount.com/pret-a-porter/bebe-puericulture/safety-1st-barriere-de-securite-enfant-73-80cm-bl/f-11317370201-24484310.html?cid=lemwork&amp;cm_mmc=dorel9</t>
        </is>
      </c>
      <c r="H1393" s="20" t="n">
        <v>3720</v>
      </c>
      <c r="I1393" s="20" t="n">
        <v>14</v>
      </c>
      <c r="J1393" s="21">
        <f>IF(H1393=0,0,I1393/H1393)</f>
        <v/>
      </c>
    </row>
    <row r="1394">
      <c r="A1394" s="17" t="inlineStr">
        <is>
          <t>Dorel</t>
        </is>
      </c>
      <c r="B1394" s="17" t="inlineStr">
        <is>
          <t>Live</t>
        </is>
      </c>
      <c r="C1394" s="17" t="inlineStr">
        <is>
          <t>Dorel</t>
        </is>
      </c>
      <c r="D1394" s="17" t="inlineStr">
        <is>
          <t>Family and Parenting</t>
        </is>
      </c>
      <c r="E1394" s="18" t="inlineStr">
        <is>
          <t>MAXI-COSI Poussette canne ultra compacte Lara 2, 0-4 ans</t>
        </is>
      </c>
      <c r="F1394" s="17" t="inlineStr">
        <is>
          <t>Cdiscount Puériculture &amp; Eveil bébé - Découvrez notre offre MAXI-COSI Poussette canne ultra compacte Lara 2, 0-4 ans, 0-22 kg, pliage automatique, 3 positions d'inclinaison</t>
        </is>
      </c>
      <c r="G1394" s="19" t="inlineStr">
        <is>
          <t>https://www.cdiscount.com/pret-a-porter/bebe-puericulture/maxi-cosi-poussette-canne-ultra-compacte-lara-2-0/f-1131735-max3220660338122.html?cid=lemwork&amp;cm_mmc=dorel20</t>
        </is>
      </c>
      <c r="H1394" s="20" t="n">
        <v>3716</v>
      </c>
      <c r="I1394" s="20" t="n">
        <v>21</v>
      </c>
      <c r="J1394" s="21">
        <f>IF(H1394=0,0,I1394/H1394)</f>
        <v/>
      </c>
    </row>
    <row r="1395">
      <c r="A1395" s="17" t="inlineStr">
        <is>
          <t>Dorel</t>
        </is>
      </c>
      <c r="B1395" s="17" t="inlineStr">
        <is>
          <t>Live</t>
        </is>
      </c>
      <c r="C1395" s="17" t="inlineStr">
        <is>
          <t>Dorel</t>
        </is>
      </c>
      <c r="D1395" s="17" t="inlineStr">
        <is>
          <t>Barrières et sécurité maison</t>
        </is>
      </c>
      <c r="E1395" s="18" t="inlineStr">
        <is>
          <t>BEBE CONFORT Siège auto évolutif GROW i-Size, De 15 mois à</t>
        </is>
      </c>
      <c r="F1395" s="17" t="inlineStr">
        <is>
          <t>Siège auto BÉBÉ CONFORT idéal pour votre enfant jusqu'à 36 kg : BEBE CONFORT Siège auto évolutif GROW i-Size, De 15 mois à 12 ans (76-150 cm), ISOFIX, Sécurité R129, Tinted Black.</t>
        </is>
      </c>
      <c r="G1395" s="19" t="inlineStr">
        <is>
          <t>https://www.cdiscount.com/pret-a-porter/bebe-puericulture/bebe-confort-siege-auto-evolutif-grow-i-size-de-1/f-113177101-bbc8712930187479.html?cid=lemwork&amp;cm_mmc=dorel19</t>
        </is>
      </c>
      <c r="H1395" s="20" t="n">
        <v>3703</v>
      </c>
      <c r="I1395" s="20" t="n">
        <v>20</v>
      </c>
      <c r="J1395" s="21">
        <f>IF(H1395=0,0,I1395/H1395)</f>
        <v/>
      </c>
    </row>
    <row r="1396">
      <c r="A1396" s="17" t="inlineStr">
        <is>
          <t>Dorel</t>
        </is>
      </c>
      <c r="B1396" s="17" t="inlineStr">
        <is>
          <t>Live</t>
        </is>
      </c>
      <c r="C1396" s="17" t="inlineStr">
        <is>
          <t>Dorel</t>
        </is>
      </c>
      <c r="D1396" s="17" t="inlineStr">
        <is>
          <t>Family and Parenting</t>
        </is>
      </c>
      <c r="E1396" s="18" t="inlineStr">
        <is>
          <t>SAFETY 1ST Barrière de sécurité wall-fix extending, largeur</t>
        </is>
      </c>
      <c r="F1396" s="17" t="inlineStr">
        <is>
          <t>Cdiscount Puériculture &amp; Eveil bébé - Découvrez notre offre SAFETY 1ST Barrière de sécurité wall-fix extending, largeur de 62 à 102 cm, Ouverture d'une main des 2 sens - métal</t>
        </is>
      </c>
      <c r="G1396" s="19" t="inlineStr">
        <is>
          <t>https://www.cdiscount.com/pret-a-porter/bebe-puericulture/safety-1st-barriere-de-securite-wall-fix-extending/f-11317370201-saf3220660270521.html?cid=lemwork&amp;cm_mmc=dorel8</t>
        </is>
      </c>
      <c r="H1396" s="20" t="n">
        <v>3694</v>
      </c>
      <c r="I1396" s="20" t="n">
        <v>13</v>
      </c>
      <c r="J1396" s="21">
        <f>IF(H1396=0,0,I1396/H1396)</f>
        <v/>
      </c>
    </row>
    <row r="1397">
      <c r="A1397" s="17" t="inlineStr">
        <is>
          <t>Dorel</t>
        </is>
      </c>
      <c r="B1397" s="17" t="inlineStr">
        <is>
          <t>Live</t>
        </is>
      </c>
      <c r="C1397" s="17" t="inlineStr">
        <is>
          <t>Dorel</t>
        </is>
      </c>
      <c r="D1397" s="17" t="inlineStr">
        <is>
          <t>Family and Parenting</t>
        </is>
      </c>
      <c r="E1397" s="18" t="inlineStr">
        <is>
          <t>Barrière de sécurité enfant Easy Close Metal - SAFETY 1ST</t>
        </is>
      </c>
      <c r="F1397" s="17" t="inlineStr">
        <is>
          <t>Cdiscount Puériculture &amp; Eveil bébé - Découvrez notre offre Barrière de sécurité enfant Easy Close Metal - SAFETY 1ST - Réglable de 73 à 80 cm - pression, sans vis ni perçage</t>
        </is>
      </c>
      <c r="G1397" s="19" t="inlineStr">
        <is>
          <t>https://www.cdiscount.com/pret-a-porter/bebe-puericulture/barriere-de-securite-enfant-easy-close-metal-saf/f-11317370201-saf2475057000.html?cid=lemwork&amp;cm_mmc=dorel15</t>
        </is>
      </c>
      <c r="H1397" s="20" t="n">
        <v>3691</v>
      </c>
      <c r="I1397" s="20" t="n">
        <v>19</v>
      </c>
      <c r="J1397" s="21">
        <f>IF(H1397=0,0,I1397/H1397)</f>
        <v/>
      </c>
    </row>
    <row r="1398">
      <c r="A1398" s="17" t="inlineStr">
        <is>
          <t>Dorel</t>
        </is>
      </c>
      <c r="B1398" s="17" t="inlineStr">
        <is>
          <t>Live</t>
        </is>
      </c>
      <c r="C1398" s="17" t="inlineStr">
        <is>
          <t>Dorel</t>
        </is>
      </c>
      <c r="D1398" s="17" t="inlineStr">
        <is>
          <t>Family and Parenting</t>
        </is>
      </c>
      <c r="E1398" s="18" t="inlineStr">
        <is>
          <t>MAXI-COSI Poussette 3 en 1 Zelia S Trio2, Nacelle+Siège</t>
        </is>
      </c>
      <c r="F1398" s="17" t="inlineStr">
        <is>
          <t>Cdiscount Puériculture &amp; Eveil bébé - Découvrez notre offre MAXI-COSI Poussette 3 en 1 Zelia S Trio2, Nacelle+Siège auto Cabriofix S iSize+Sac à langer+habillage pluie, 0-22Kg</t>
        </is>
      </c>
      <c r="G1398" s="19" t="inlineStr">
        <is>
          <t>https://www.cdiscount.com/pret-a-porter/bebe-puericulture/maxi-cosi-poussette-3-en-1-zelia-s-trio2-nacelle/f-1131735-mc3220669980179.html?cid=lemwork&amp;cm_mmc=dorel4</t>
        </is>
      </c>
      <c r="H1398" s="20" t="n">
        <v>3673</v>
      </c>
      <c r="I1398" s="20" t="n">
        <v>16</v>
      </c>
      <c r="J1398" s="21">
        <f>IF(H1398=0,0,I1398/H1398)</f>
        <v/>
      </c>
    </row>
    <row r="1399">
      <c r="A1399" s="17" t="inlineStr">
        <is>
          <t>Dorel</t>
        </is>
      </c>
      <c r="B1399" s="17" t="inlineStr">
        <is>
          <t>Live</t>
        </is>
      </c>
      <c r="C1399" s="17" t="inlineStr">
        <is>
          <t>Dorel</t>
        </is>
      </c>
      <c r="D1399" s="17" t="inlineStr">
        <is>
          <t>Family and Parenting</t>
        </is>
      </c>
      <c r="E1399" s="18" t="inlineStr">
        <is>
          <t>BEBECONFORT SUNLITE, Poussette ultra compacte, confortable</t>
        </is>
      </c>
      <c r="F1399" s="17" t="inlineStr">
        <is>
          <t>Cdiscount Puériculture &amp; Eveil bébé - Découvrez notre offre BEBECONFORT SUNLITE, Poussette ultra compacte, confortable et lègère, dès la naissance jusqu'à 4 ans,0 à 22 kg, Tinted</t>
        </is>
      </c>
      <c r="G1399" s="19" t="inlineStr">
        <is>
          <t>https://www.cdiscount.com/pret-a-porter/bebe-puericulture/bebeconfort-sunlite-poussette-ultra-compacte-con/f-1131735-bbc3220660012565.html?cid=lemwork&amp;cm_mmc=dorel7</t>
        </is>
      </c>
      <c r="H1399" s="20" t="n">
        <v>3666</v>
      </c>
      <c r="I1399" s="20" t="n">
        <v>20</v>
      </c>
      <c r="J1399" s="21">
        <f>IF(H1399=0,0,I1399/H1399)</f>
        <v/>
      </c>
    </row>
    <row r="1400">
      <c r="A1400" s="17" t="inlineStr">
        <is>
          <t>Dorel</t>
        </is>
      </c>
      <c r="B1400" s="17" t="inlineStr">
        <is>
          <t>Live</t>
        </is>
      </c>
      <c r="C1400" s="17" t="inlineStr">
        <is>
          <t>Dorel</t>
        </is>
      </c>
      <c r="D1400" s="17" t="inlineStr">
        <is>
          <t>Barrières et sécurité maison</t>
        </is>
      </c>
      <c r="E1400" s="18" t="inlineStr">
        <is>
          <t>BEBECONFORT Siège auto évolutif pivotant EVOLUFIX 360</t>
        </is>
      </c>
      <c r="F1400" s="17" t="inlineStr">
        <is>
          <t>Siège auto BÉBÉ CONFORT idéal pour votre enfant jusqu'à 36 kg : BBC Evolufix Tinted black. Qualité et sécurité à petit prix sur Cdiscount !</t>
        </is>
      </c>
      <c r="G1400" s="19" t="inlineStr">
        <is>
          <t>https://www.cdiscount.com/pret-a-porter/bebe-puericulture/bebeconfort-siege-auto-evolutif-pivotant-evolufix/f-113177101-bbc8712930021483.html?cid=lemwork&amp;cm_mmc=dorel3</t>
        </is>
      </c>
      <c r="H1400" s="20" t="n">
        <v>3658</v>
      </c>
      <c r="I1400" s="20" t="n">
        <v>22</v>
      </c>
      <c r="J1400" s="21">
        <f>IF(H1400=0,0,I1400/H1400)</f>
        <v/>
      </c>
    </row>
    <row r="1401">
      <c r="A1401" s="17" t="inlineStr">
        <is>
          <t>Dorel</t>
        </is>
      </c>
      <c r="B1401" s="17" t="inlineStr">
        <is>
          <t>Live</t>
        </is>
      </c>
      <c r="C1401" s="17" t="inlineStr">
        <is>
          <t>Dorel</t>
        </is>
      </c>
      <c r="D1401" s="17" t="inlineStr">
        <is>
          <t>Family and Parenting</t>
        </is>
      </c>
      <c r="E1401" s="18" t="inlineStr">
        <is>
          <t>BEBECONFORT LILY Chaise haute bébé, ultra compacte et</t>
        </is>
      </c>
      <c r="F1401" s="17" t="inlineStr">
        <is>
          <t>Cdiscount Puériculture &amp; Eveil bébé - Découvrez notre offre BEBECONFORT LILY Chaise haute bébé, ultra compacte et légère, confort optimal, de 6 mois à 3 ans, jusqu'à 15 kg, Tinted</t>
        </is>
      </c>
      <c r="G1401" s="19" t="inlineStr">
        <is>
          <t>https://www.cdiscount.com/pret-a-porter/bebe-puericulture/bebeconfort-lily-chaise-haute-bebe-ultra-compacte/f-113173307-bbc3220660345915.html?cid=lemwork&amp;cm_mmc=dorel6</t>
        </is>
      </c>
      <c r="H1401" s="20" t="n">
        <v>3657</v>
      </c>
      <c r="I1401" s="20" t="n">
        <v>22</v>
      </c>
      <c r="J1401" s="21">
        <f>IF(H1401=0,0,I1401/H1401)</f>
        <v/>
      </c>
    </row>
    <row r="1402">
      <c r="A1402" s="17" t="inlineStr">
        <is>
          <t>Dorel</t>
        </is>
      </c>
      <c r="B1402" s="17" t="inlineStr">
        <is>
          <t>Live</t>
        </is>
      </c>
      <c r="C1402" s="17" t="inlineStr">
        <is>
          <t>Dorel</t>
        </is>
      </c>
      <c r="D1402" s="17" t="inlineStr">
        <is>
          <t>Family and Parenting</t>
        </is>
      </c>
      <c r="E1402" s="18" t="inlineStr">
        <is>
          <t>SAFETY 1ST Barrière de lit enfant pliable, 18 mois-5 ans</t>
        </is>
      </c>
      <c r="F1402" s="17" t="inlineStr">
        <is>
          <t>Cdiscount Puériculture &amp; Eveil bébé - Découvrez notre offre SAFETY 1ST Barrière de lit enfant pliable, 18 mois-5 ans, Tissu maille, Facile à installer et transporter</t>
        </is>
      </c>
      <c r="G1402" s="19" t="inlineStr">
        <is>
          <t>https://www.cdiscount.com/pret-a-porter/bebe-puericulture/safety-1st-barriere-de-lit-enfant-pliable-18-mois/f-11317370203-24835510.html?cid=lemwork&amp;cm_mmc=dorel22</t>
        </is>
      </c>
      <c r="H1402" s="20" t="n">
        <v>3654</v>
      </c>
      <c r="I1402" s="20" t="n">
        <v>22</v>
      </c>
      <c r="J1402" s="21">
        <f>IF(H1402=0,0,I1402/H1402)</f>
        <v/>
      </c>
    </row>
    <row r="1403">
      <c r="A1403" s="17" t="inlineStr">
        <is>
          <t>Dorel</t>
        </is>
      </c>
      <c r="B1403" s="17" t="inlineStr">
        <is>
          <t>Live</t>
        </is>
      </c>
      <c r="C1403" s="17" t="inlineStr">
        <is>
          <t>Dorel</t>
        </is>
      </c>
      <c r="D1403" s="17" t="inlineStr">
        <is>
          <t>Family and Parenting</t>
        </is>
      </c>
      <c r="E1403" s="18" t="inlineStr">
        <is>
          <t>SAFETY 1ST Siège auto Cosmo I-Safe I-Size, De 0 à 12 ans</t>
        </is>
      </c>
      <c r="F1403" s="17" t="inlineStr">
        <is>
          <t>Siège auto SAFETY 1ST idéal pour votre enfant jusqu'à 36 kg : SAFETY 1ST Siège auto Cosmo I-Safe I-Size, De 0 à 12 ans, 40 - 150 cm, ceinturé, Installation facile, base pivotante</t>
        </is>
      </c>
      <c r="G1403" s="19" t="inlineStr">
        <is>
          <t>https://www.cdiscount.com/pret-a-porter/bebe-puericulture/safety-1st-siege-auto-cosmo-i-safe-i-size-de-0-a/f-113177101-sf8712930023272.html?cid=lemwork&amp;cm_mmc=dorel2</t>
        </is>
      </c>
      <c r="H1403" s="20" t="n">
        <v>3653</v>
      </c>
      <c r="I1403" s="20" t="n">
        <v>16</v>
      </c>
      <c r="J1403" s="21">
        <f>IF(H1403=0,0,I1403/H1403)</f>
        <v/>
      </c>
    </row>
    <row r="1404">
      <c r="A1404" s="17" t="inlineStr">
        <is>
          <t>Dorel</t>
        </is>
      </c>
      <c r="B1404" s="17" t="inlineStr">
        <is>
          <t>Live</t>
        </is>
      </c>
      <c r="C1404" s="17" t="inlineStr">
        <is>
          <t>Dorel</t>
        </is>
      </c>
      <c r="D1404" s="17" t="inlineStr">
        <is>
          <t>Family and Parenting</t>
        </is>
      </c>
      <c r="E1404" s="18" t="inlineStr">
        <is>
          <t>BEBECONFORT Sunlite, Poussette ultra compacte, confortable</t>
        </is>
      </c>
      <c r="F1404" s="17" t="inlineStr">
        <is>
          <t>Cdiscount Puériculture &amp; Eveil bébé - Découvrez notre offre BEBECONFORT Sunlite, Poussette ultra compacte, confortable et lègère, dès la naissance jusqu'à 4 ans,0 à 22 kg, Mineral</t>
        </is>
      </c>
      <c r="G1404" s="19" t="inlineStr">
        <is>
          <t>https://www.cdiscount.com/pret-a-porter/bebe-puericulture/bebeconfort-sunlite-poussette-ultra-compacte-con/f-1131735-bbc3220660012497.html?cid=lemwork&amp;cm_mmc=dorel17</t>
        </is>
      </c>
      <c r="H1404" s="20" t="n">
        <v>3646</v>
      </c>
      <c r="I1404" s="20" t="n">
        <v>19</v>
      </c>
      <c r="J1404" s="21">
        <f>IF(H1404=0,0,I1404/H1404)</f>
        <v/>
      </c>
    </row>
    <row r="1405">
      <c r="A1405" s="17" t="inlineStr">
        <is>
          <t>Dorel</t>
        </is>
      </c>
      <c r="B1405" s="17" t="inlineStr">
        <is>
          <t>Live</t>
        </is>
      </c>
      <c r="C1405" s="17" t="inlineStr">
        <is>
          <t>Dorel</t>
        </is>
      </c>
      <c r="D1405" s="17" t="inlineStr">
        <is>
          <t>Family and Parenting</t>
        </is>
      </c>
      <c r="E1405" s="18" t="inlineStr">
        <is>
          <t>BEBECONFORT Sweet dreams Lit bébé, Lit parapluie, De la</t>
        </is>
      </c>
      <c r="F1405" s="17" t="inlineStr">
        <is>
          <t>Cdiscount Puériculture &amp; Eveil bébé - Découvrez notre offre BEBECONFORT Sweet dreams Lit bébé, Lit parapluie, De la naissance à 3 ans (jusqu'à 15kg) + sac de transport, Mineral</t>
        </is>
      </c>
      <c r="G1405" s="19" t="inlineStr">
        <is>
          <t>https://www.cdiscount.com/pret-a-porter/bebe-puericulture/bebeconfort-sweet-dreams-lit-bebe-lit-parapluie/f-113177103-bbc3220660008759.html?cid=lemwork&amp;cm_mmc=dorel30</t>
        </is>
      </c>
      <c r="H1405" s="20" t="n">
        <v>3644</v>
      </c>
      <c r="I1405" s="20" t="n">
        <v>13</v>
      </c>
      <c r="J1405" s="21">
        <f>IF(H1405=0,0,I1405/H1405)</f>
        <v/>
      </c>
    </row>
    <row r="1406">
      <c r="A1406" s="17" t="inlineStr">
        <is>
          <t>Dorel</t>
        </is>
      </c>
      <c r="B1406" s="17" t="inlineStr">
        <is>
          <t>Live</t>
        </is>
      </c>
      <c r="C1406" s="17" t="inlineStr">
        <is>
          <t>Dorel</t>
        </is>
      </c>
      <c r="D1406" s="17" t="inlineStr">
        <is>
          <t>Family and Parenting</t>
        </is>
      </c>
      <c r="E1406" s="18" t="inlineStr">
        <is>
          <t>BEBECONFORT SUNLITE, Poussette ultra compacte, confortable</t>
        </is>
      </c>
      <c r="F1406" s="17" t="inlineStr">
        <is>
          <t>Cdiscount Puériculture &amp; Eveil bébé - Découvrez notre offre BEBECONFORT SUNLITE, Poussette ultra compacte, confortable et lègère, dès la naissance jusqu'à 4 ans,0 à 22 kg, Tinted</t>
        </is>
      </c>
      <c r="G1406" s="19" t="inlineStr">
        <is>
          <t>https://www.cdiscount.com/pret-a-porter/bebe-puericulture/bebeconfort-sunlite-poussette-ultra-compacte-con/f-1131735-bbc3220660347407.html?cid=lemwork&amp;cm_mmc=dorel5</t>
        </is>
      </c>
      <c r="H1406" s="20" t="n">
        <v>3637</v>
      </c>
      <c r="I1406" s="20" t="n">
        <v>19</v>
      </c>
      <c r="J1406" s="21">
        <f>IF(H1406=0,0,I1406/H1406)</f>
        <v/>
      </c>
    </row>
    <row r="1407">
      <c r="A1407" s="17" t="inlineStr">
        <is>
          <t>Dorel</t>
        </is>
      </c>
      <c r="B1407" s="17" t="inlineStr">
        <is>
          <t>Live</t>
        </is>
      </c>
      <c r="C1407" s="17" t="inlineStr">
        <is>
          <t>Dorel</t>
        </is>
      </c>
      <c r="D1407" s="17" t="inlineStr">
        <is>
          <t>Family and Parenting</t>
        </is>
      </c>
      <c r="E1407" s="18" t="inlineStr">
        <is>
          <t>BEBECONFORT Chauffe biberon digital de poche, rapide</t>
        </is>
      </c>
      <c r="F1407" s="17" t="inlineStr">
        <is>
          <t>Cdiscount Puériculture &amp; Eveil bébé - Découvrez notre offre BEBECONFORT Chauffe biberon digital de poche, rapide, format voyage, ultra compact, écran lcd, 4 niveaux de</t>
        </is>
      </c>
      <c r="G1407" s="19" t="inlineStr">
        <is>
          <t>https://www.cdiscount.com/pret-a-porter/bebe-puericulture/bebeconfort-chauffe-biberon-digital-de-poche-rapi/f-113173320-bbc3220660006779.html?cid=lemwork&amp;cm_mmc=dorel27</t>
        </is>
      </c>
      <c r="H1407" s="20" t="n">
        <v>3634</v>
      </c>
      <c r="I1407" s="20" t="n">
        <v>15</v>
      </c>
      <c r="J1407" s="21">
        <f>IF(H1407=0,0,I1407/H1407)</f>
        <v/>
      </c>
    </row>
    <row r="1408">
      <c r="A1408" s="17" t="inlineStr">
        <is>
          <t>Dorel</t>
        </is>
      </c>
      <c r="B1408" s="17" t="inlineStr">
        <is>
          <t>Live</t>
        </is>
      </c>
      <c r="C1408" s="17" t="inlineStr">
        <is>
          <t>Dorel</t>
        </is>
      </c>
      <c r="D1408" s="17" t="inlineStr">
        <is>
          <t>Family and Parenting</t>
        </is>
      </c>
      <c r="E1408" s="18" t="inlineStr">
        <is>
          <t>BEBE CONFORT Poussette canne Snow, ultra-légère (5 kg), De</t>
        </is>
      </c>
      <c r="F1408" s="17" t="inlineStr">
        <is>
          <t>Cdiscount Puériculture &amp; Eveil bébé - Découvrez notre offre BEBE CONFORT Poussette canne Snow, ultra-légère (5 kg), De la naissance à 4 ans , Siège inclinable, Pliage compact</t>
        </is>
      </c>
      <c r="G1408" s="19" t="inlineStr">
        <is>
          <t>https://www.cdiscount.com/pret-a-porter/bebe-puericulture/bebe-confort-poussette-canne-snow-ultra-legere-5/f-1131735-bbc3220660010745.html?cid=lemwork&amp;cm_mmc=dorel11</t>
        </is>
      </c>
      <c r="H1408" s="20" t="n">
        <v>3622</v>
      </c>
      <c r="I1408" s="20" t="n">
        <v>10</v>
      </c>
      <c r="J1408" s="21">
        <f>IF(H1408=0,0,I1408/H1408)</f>
        <v/>
      </c>
    </row>
    <row r="1409">
      <c r="A1409" s="17" t="inlineStr">
        <is>
          <t>Dorel</t>
        </is>
      </c>
      <c r="B1409" s="17" t="inlineStr">
        <is>
          <t>Live</t>
        </is>
      </c>
      <c r="C1409" s="17" t="inlineStr">
        <is>
          <t>Dorel</t>
        </is>
      </c>
      <c r="D1409" s="17" t="inlineStr">
        <is>
          <t>Family and Parenting</t>
        </is>
      </c>
      <c r="E1409" s="18" t="inlineStr">
        <is>
          <t>BEBECONFORT HAZE Poussette 3 en 1, Assise transformable en</t>
        </is>
      </c>
      <c r="F1409" s="17" t="inlineStr">
        <is>
          <t>Cdiscount Puériculture &amp; Eveil bébé - Découvrez notre offre BEBECONFORT HAZE Poussette 3 en 1, Assise transformable en nacelle + siège auto i-Size + habillage pluie, 0-22kg</t>
        </is>
      </c>
      <c r="G1409" s="19" t="inlineStr">
        <is>
          <t>https://www.cdiscount.com/pret-a-porter/bebe-puericulture/bebeconfort-haze-poussette-3-en-1-assise-transfor/f-1131735-bbc3220660344802.html?cid=lemwork&amp;cm_mmc=dorel1</t>
        </is>
      </c>
      <c r="H1409" s="20" t="n">
        <v>3618</v>
      </c>
      <c r="I1409" s="20" t="n">
        <v>23</v>
      </c>
      <c r="J1409" s="21">
        <f>IF(H1409=0,0,I1409/H1409)</f>
        <v/>
      </c>
    </row>
    <row r="1410">
      <c r="A1410" s="17" t="inlineStr">
        <is>
          <t>Dorel</t>
        </is>
      </c>
      <c r="B1410" s="17" t="inlineStr">
        <is>
          <t>Live</t>
        </is>
      </c>
      <c r="C1410" s="17" t="inlineStr">
        <is>
          <t>Dorel</t>
        </is>
      </c>
      <c r="D1410" s="17" t="inlineStr">
        <is>
          <t>Family and Parenting</t>
        </is>
      </c>
      <c r="E1410" s="18" t="inlineStr">
        <is>
          <t>BEBECONFORT Réhausseur bébé pliable Moly, de 6 mois à 3</t>
        </is>
      </c>
      <c r="F1410" s="17" t="inlineStr">
        <is>
          <t>Cdiscount Puériculture &amp; Eveil bébé - Découvrez notre offre BEBECONFORT Réhausseur bébé pliable Moly, de 6 mois à 3 ans, Tinted Gray. Livraison gratuite à partir de 25€* |</t>
        </is>
      </c>
      <c r="G1410" s="19" t="inlineStr">
        <is>
          <t>https://www.cdiscount.com/pret-a-porter/bebe-puericulture/bebeconfort-rehausseur-bebe-pliable-moly-de-6-moi/f-11317330702-aaaph76672.html?cid=lemwork&amp;cm_mmc=dorel25</t>
        </is>
      </c>
      <c r="H1410" s="20" t="n">
        <v>3589</v>
      </c>
      <c r="I1410" s="20" t="n">
        <v>21</v>
      </c>
      <c r="J1410" s="21">
        <f>IF(H1410=0,0,I1410/H1410)</f>
        <v/>
      </c>
    </row>
    <row r="1411">
      <c r="A1411" s="17" t="inlineStr">
        <is>
          <t>Dorel</t>
        </is>
      </c>
      <c r="B1411" s="17" t="inlineStr">
        <is>
          <t>Live</t>
        </is>
      </c>
      <c r="C1411" s="17" t="inlineStr">
        <is>
          <t>Dorel</t>
        </is>
      </c>
      <c r="D1411" s="17" t="inlineStr">
        <is>
          <t>Family and Parenting</t>
        </is>
      </c>
      <c r="E1411" s="18" t="inlineStr">
        <is>
          <t>BEBECONFORT BRUME Poussette 3 en 1, Assise transformable en</t>
        </is>
      </c>
      <c r="F1411" s="17" t="inlineStr">
        <is>
          <t>Cdiscount Puériculture &amp; Eveil bébé - Découvrez notre offre BEBECONFORT BRUME Poussette 3 en 1, Assise transformable en nacelle + siège auto i-Size + habillage pluie, 0- 22kg</t>
        </is>
      </c>
      <c r="G1411" s="19" t="inlineStr">
        <is>
          <t>https://www.cdiscount.com/pret-a-porter/bebe-puericulture/bebeconfort-brume-poussette-3-en-1-assise-transfo/f-1131735-bbc3220660011384.html?cid=lemwork&amp;cm_mmc=dorel16</t>
        </is>
      </c>
      <c r="H1411" s="20" t="n">
        <v>3587</v>
      </c>
      <c r="I1411" s="20" t="n">
        <v>28</v>
      </c>
      <c r="J1411" s="21">
        <f>IF(H1411=0,0,I1411/H1411)</f>
        <v/>
      </c>
    </row>
    <row r="1412">
      <c r="A1412" s="17" t="inlineStr">
        <is>
          <t>Dorel</t>
        </is>
      </c>
      <c r="B1412" s="17" t="inlineStr">
        <is>
          <t>Live</t>
        </is>
      </c>
      <c r="C1412" s="17" t="inlineStr">
        <is>
          <t>Dorel</t>
        </is>
      </c>
      <c r="D1412" s="17" t="inlineStr">
        <is>
          <t>Family and Parenting</t>
        </is>
      </c>
      <c r="E1412" s="18" t="inlineStr">
        <is>
          <t>BEBECONFORT FOGGY Poussette canne compacte, légère , dès la</t>
        </is>
      </c>
      <c r="F1412" s="17" t="inlineStr">
        <is>
          <t>Cdiscount Puériculture &amp; Eveil bébé - Découvrez notre offre BEBECONFORT FOGGY Poussette canne compacte, légère , dès la naissance, jusqu'à 15 kg, position allongée, Tinted Gray.</t>
        </is>
      </c>
      <c r="G1412" s="19" t="inlineStr">
        <is>
          <t>https://www.cdiscount.com/pret-a-porter/bebe-puericulture/bebeconfort-foggy-poussette-canne-compacte-legere/f-1131735-bbc3220660347179.html?cid=lemwork&amp;cm_mmc=dorel12</t>
        </is>
      </c>
      <c r="H1412" s="20" t="n">
        <v>3575</v>
      </c>
      <c r="I1412" s="20" t="n">
        <v>12</v>
      </c>
      <c r="J1412" s="21">
        <f>IF(H1412=0,0,I1412/H1412)</f>
        <v/>
      </c>
    </row>
    <row r="1413">
      <c r="A1413" s="17" t="inlineStr">
        <is>
          <t>Dorel</t>
        </is>
      </c>
      <c r="B1413" s="17" t="inlineStr">
        <is>
          <t>Live</t>
        </is>
      </c>
      <c r="C1413" s="17" t="inlineStr">
        <is>
          <t>Dorel</t>
        </is>
      </c>
      <c r="D1413" s="17" t="inlineStr">
        <is>
          <t>Family and Parenting</t>
        </is>
      </c>
      <c r="E1413" s="18" t="inlineStr">
        <is>
          <t>BEBECONFORT Trousse de toilette complète pour bébé, 8</t>
        </is>
      </c>
      <c r="F1413" s="17" t="inlineStr">
        <is>
          <t>Cdiscount Puériculture &amp; Eveil bébé - Découvrez notre offre BEBECONFORT Trousse de toilette complète pour bébé, 8 produits pour 8 usages, sous l'océan. Livraison gratuite à partir</t>
        </is>
      </c>
      <c r="G1413" s="19" t="inlineStr">
        <is>
          <t>https://www.cdiscount.com/pret-a-porter/bebe-puericulture/bebeconfort-trousse-de-toilette-complete-pour-bebe/f-11317341203-bbc3220660006847.html?cid=lemwork&amp;cm_mmc=dorel28</t>
        </is>
      </c>
      <c r="H1413" s="20" t="n">
        <v>3566</v>
      </c>
      <c r="I1413" s="20" t="n">
        <v>17</v>
      </c>
      <c r="J1413" s="21">
        <f>IF(H1413=0,0,I1413/H1413)</f>
        <v/>
      </c>
    </row>
    <row r="1414">
      <c r="A1414" s="17" t="inlineStr">
        <is>
          <t>Dorel</t>
        </is>
      </c>
      <c r="B1414" s="17" t="inlineStr">
        <is>
          <t>Live</t>
        </is>
      </c>
      <c r="C1414" s="17" t="inlineStr">
        <is>
          <t>Dorel</t>
        </is>
      </c>
      <c r="D1414" s="17" t="inlineStr">
        <is>
          <t>Family and Parenting</t>
        </is>
      </c>
      <c r="E1414" s="18" t="inlineStr">
        <is>
          <t>BEBE CONFORT Siège auto évolutif GROW i-Size, De 15 mois à</t>
        </is>
      </c>
      <c r="F1414" s="17" t="inlineStr">
        <is>
          <t>Siège auto BÉBÉ CONFORT idéal pour votre enfant jusqu'à 36 kg : BEBE CONFORT Siège auto évolutif GROW i-Size, De 15 mois à 12 ans (76-150 cm), ISOFIX, Sécurité R129, Tinted Black.</t>
        </is>
      </c>
      <c r="G1414" s="19" t="inlineStr">
        <is>
          <t>https://www.cdiscount.com/pret-a-porter/bebe-puericulture/bebe-confort-siege-auto-evolutif-grow-i-size-de-1/f-113177101-bbc8712930187479.html?cid=lemwork&amp;cm_mmc=dorel19</t>
        </is>
      </c>
      <c r="H1414" s="20" t="n">
        <v>3550</v>
      </c>
      <c r="I1414" s="20" t="n">
        <v>20</v>
      </c>
      <c r="J1414" s="21">
        <f>IF(H1414=0,0,I1414/H1414)</f>
        <v/>
      </c>
    </row>
    <row r="1415">
      <c r="A1415" s="17" t="inlineStr">
        <is>
          <t>Dorel</t>
        </is>
      </c>
      <c r="B1415" s="17" t="inlineStr">
        <is>
          <t>Live</t>
        </is>
      </c>
      <c r="C1415" s="17" t="inlineStr">
        <is>
          <t>Dorel</t>
        </is>
      </c>
      <c r="D1415" s="17" t="inlineStr">
        <is>
          <t>Family and Parenting</t>
        </is>
      </c>
      <c r="E1415" s="18" t="inlineStr">
        <is>
          <t>BEBECONFORT Dolphy Table à langer et baignoire 2en 1, De la</t>
        </is>
      </c>
      <c r="F1415" s="17" t="inlineStr">
        <is>
          <t>Cdiscount Puériculture &amp; Eveil bébé - Découvrez notre offre BEBECONFORT Dolphy Table à langer et baignoire 2en 1, De la naissance à 12 mois (11kg), Gray Mist. Livraison gratuite à</t>
        </is>
      </c>
      <c r="G1415" s="19" t="inlineStr">
        <is>
          <t>https://www.cdiscount.com/pret-a-porter/bebe-puericulture/bebeconfort-dolphy-table-a-langer-et-baignoire-2en/f-113173401-bbc3220660340798.html?cid=lemwork&amp;cm_mmc=dorel18</t>
        </is>
      </c>
      <c r="H1415" s="20" t="n">
        <v>3494</v>
      </c>
      <c r="I1415" s="20" t="n">
        <v>13</v>
      </c>
      <c r="J1415" s="21">
        <f>IF(H1415=0,0,I1415/H1415)</f>
        <v/>
      </c>
    </row>
    <row r="1416">
      <c r="A1416" s="17" t="inlineStr">
        <is>
          <t>Dorel</t>
        </is>
      </c>
      <c r="B1416" s="17" t="inlineStr">
        <is>
          <t>Live</t>
        </is>
      </c>
      <c r="C1416" s="17" t="inlineStr">
        <is>
          <t>Dorel</t>
        </is>
      </c>
      <c r="D1416" s="17" t="inlineStr">
        <is>
          <t>Chambre, lit et repas bébé</t>
        </is>
      </c>
      <c r="E1416" s="18" t="inlineStr">
        <is>
          <t>Berceau cododo pliable Zina pas cher - Dorel</t>
        </is>
      </c>
      <c r="F1416" s="17" t="inlineStr">
        <is>
          <t>Le berceau pliable Bébé Confort Zina se place au bord du lit en cododo pour les premiers mois, à 90,35 € sur Cdiscount avec la livraison offerte dès 25 €.</t>
        </is>
      </c>
      <c r="G1416" s="19" t="inlineStr">
        <is>
          <t>https://www.cdiscount.com/pret-a-porter/bebe-puericulture/chambres-literie-bebe/mobilier-chambre-bebe/lits-bebes/l-11317381402.html?cid=lemwork&amp;cm_mmc=gen_dorel</t>
        </is>
      </c>
      <c r="H1416" s="20" t="n">
        <v>3321</v>
      </c>
      <c r="I1416" s="20" t="n">
        <v>8</v>
      </c>
      <c r="J1416" s="21">
        <f>IF(H1416=0,0,I1416/H1416)</f>
        <v/>
      </c>
    </row>
    <row r="1417">
      <c r="A1417" s="17" t="inlineStr">
        <is>
          <t>Dorel</t>
        </is>
      </c>
      <c r="B1417" s="17" t="inlineStr">
        <is>
          <t>Live</t>
        </is>
      </c>
      <c r="C1417" s="17" t="inlineStr">
        <is>
          <t>Dorel</t>
        </is>
      </c>
      <c r="D1417" s="17" t="inlineStr">
        <is>
          <t>Poussettes, sièges auto et soins bébé</t>
        </is>
      </c>
      <c r="E1417" s="18" t="inlineStr">
        <is>
          <t>Pot bébé Mini toilette Panda pas cher - Dorel</t>
        </is>
      </c>
      <c r="F1417" s="17" t="inlineStr">
        <is>
          <t>Le pot Bébé Confort Mini toilette Panda reproduit de vraies toilettes pour apprendre la propreté en douceur, à 35,99 € sur Cdiscount, livraison offerte dès 25 €.</t>
        </is>
      </c>
      <c r="G1417" s="19" t="inlineStr">
        <is>
          <t>https://www.cdiscount.com/pret-a-porter/bebe-puericulture/bain-soin-toilette/v-1131734-1131734.html?cid=lemwork&amp;cm_mmc=gen_dorel</t>
        </is>
      </c>
      <c r="H1417" s="20" t="n">
        <v>1657</v>
      </c>
      <c r="I1417" s="20" t="n">
        <v>12</v>
      </c>
      <c r="J1417" s="21">
        <f>IF(H1417=0,0,I1417/H1417)</f>
        <v/>
      </c>
    </row>
    <row r="1418">
      <c r="A1418" s="17" t="inlineStr">
        <is>
          <t>Dorel</t>
        </is>
      </c>
      <c r="B1418" s="17" t="inlineStr">
        <is>
          <t>Live</t>
        </is>
      </c>
      <c r="C1418" s="17" t="inlineStr">
        <is>
          <t>Dorel</t>
        </is>
      </c>
      <c r="D1418" s="17" t="inlineStr">
        <is>
          <t>Poussettes, sièges auto et soins bébé</t>
        </is>
      </c>
      <c r="E1418" s="18" t="inlineStr">
        <is>
          <t>Trousse de toilette bébé complète pas chère - Dorel</t>
        </is>
      </c>
      <c r="F1418" s="17" t="inlineStr">
        <is>
          <t>La trousse de toilette complète Bébé Confort rassemble les accessoires de soin et d’hygiène du nouveau-né dans un étui à emporter, à 24,90 € sur Cdiscount.</t>
        </is>
      </c>
      <c r="G1418" s="19" t="inlineStr">
        <is>
          <t>https://www.cdiscount.com/pret-a-porter/bebe-puericulture/bain-soin-toilette/accessoires-hygiene-et-soin/sets-de-soin/l-11317341203.html?cid=lemwork&amp;cm_mmc=gen_dorel</t>
        </is>
      </c>
      <c r="H1418" s="20" t="n">
        <v>1624</v>
      </c>
      <c r="I1418" s="20" t="n">
        <v>8</v>
      </c>
      <c r="J1418" s="21">
        <f>IF(H1418=0,0,I1418/H1418)</f>
        <v/>
      </c>
    </row>
    <row r="1419">
      <c r="A1419" s="17" t="inlineStr">
        <is>
          <t>Dorel</t>
        </is>
      </c>
      <c r="B1419" s="17" t="inlineStr">
        <is>
          <t>Live</t>
        </is>
      </c>
      <c r="C1419" s="17" t="inlineStr">
        <is>
          <t>Dorel</t>
        </is>
      </c>
      <c r="D1419" s="17" t="inlineStr">
        <is>
          <t>Poussettes, sièges auto et soins bébé</t>
        </is>
      </c>
      <c r="E1419" s="18" t="inlineStr">
        <is>
          <t>Chauffe-biberon express automatique pas cher - Dorel</t>
        </is>
      </c>
      <c r="F1419" s="17" t="inlineStr">
        <is>
          <t>Le chauffe-biberon express automatique Bébé Confort chauffe biberons et petits pots en quelques minutes, à 17,90 € sur Cdiscount, livraison offerte dès 25 €.</t>
        </is>
      </c>
      <c r="G1419" s="19" t="inlineStr">
        <is>
          <t>https://www.cdiscount.com/pret-a-porter/bebe-puericulture/equipement-repas-alimentation/chauffes-biberons/l-113173320.html?cid=lemwork&amp;cm_mmc=gen_dorel</t>
        </is>
      </c>
      <c r="H1419" s="20" t="n">
        <v>1601</v>
      </c>
      <c r="I1419" s="20" t="n">
        <v>10</v>
      </c>
      <c r="J1419" s="21">
        <f>IF(H1419=0,0,I1419/H1419)</f>
        <v/>
      </c>
    </row>
    <row r="1420">
      <c r="A1420" s="17" t="inlineStr">
        <is>
          <t>Dorel</t>
        </is>
      </c>
      <c r="B1420" s="17" t="inlineStr">
        <is>
          <t>Live</t>
        </is>
      </c>
      <c r="C1420" s="17" t="inlineStr">
        <is>
          <t>Dorel</t>
        </is>
      </c>
      <c r="D1420" s="17" t="inlineStr">
        <is>
          <t>Jeux d’éveil et tapis bébé</t>
        </is>
      </c>
      <c r="E1420" s="18" t="inlineStr">
        <is>
          <t>Arches d’éveil Tiny Love pas chères - Dorel</t>
        </is>
      </c>
      <c r="F1420" s="17" t="inlineStr">
        <is>
          <t>Les arches articulées Tiny Love Dans la prairie se fixent sur le transat, la poussette ou le lit et éveillent bébé dès la naissance, à 27,99 € sur Cdiscount.</t>
        </is>
      </c>
      <c r="G1420" s="19" t="inlineStr">
        <is>
          <t>https://www.cdiscount.com/pret-a-porter/bebe-puericulture/eveil-jouets-1er-age/v-1131725-1131725.html?cid=lemwork&amp;cm_mmc=gen_dorel</t>
        </is>
      </c>
      <c r="H1420" s="20" t="n">
        <v>1590</v>
      </c>
      <c r="I1420" s="20" t="n">
        <v>4</v>
      </c>
      <c r="J1420" s="21">
        <f>IF(H1420=0,0,I1420/H1420)</f>
        <v/>
      </c>
    </row>
    <row r="1421">
      <c r="A1421" s="17" t="inlineStr">
        <is>
          <t>Dorel</t>
        </is>
      </c>
      <c r="B1421" s="17" t="inlineStr">
        <is>
          <t>Live</t>
        </is>
      </c>
      <c r="C1421" s="17" t="inlineStr">
        <is>
          <t>Dorel</t>
        </is>
      </c>
      <c r="D1421" s="17" t="inlineStr">
        <is>
          <t>Poussettes, sièges auto et soins bébé</t>
        </is>
      </c>
      <c r="E1421" s="18" t="inlineStr">
        <is>
          <t>Porte-bébé physiologique Physionest prix bas - Dorel</t>
        </is>
      </c>
      <c r="F1421" s="17" t="inlineStr">
        <is>
          <t>Le porte-bébé physiologique Bébé Confort Physionest respecte la position naturelle de bébé et libère vos mains pour les sorties, à 44,90 € sur Cdiscount.</t>
        </is>
      </c>
      <c r="G1421" s="19" t="inlineStr">
        <is>
          <t>https://www.cdiscount.com/pret-a-porter/bebe-puericulture/poussettes-porte-bebes/portes-bebes/l-113173503.html?cid=lemwork&amp;cm_mmc=gen_dorel</t>
        </is>
      </c>
      <c r="H1421" s="20" t="n">
        <v>1553</v>
      </c>
      <c r="I1421" s="20" t="n">
        <v>6</v>
      </c>
      <c r="J1421" s="21">
        <f>IF(H1421=0,0,I1421/H1421)</f>
        <v/>
      </c>
    </row>
    <row r="1422">
      <c r="A1422" s="17" t="inlineStr">
        <is>
          <t>Dorel</t>
        </is>
      </c>
      <c r="B1422" s="17" t="inlineStr">
        <is>
          <t>Live</t>
        </is>
      </c>
      <c r="C1422" s="17" t="inlineStr">
        <is>
          <t>Dorel</t>
        </is>
      </c>
      <c r="D1422" s="17" t="inlineStr">
        <is>
          <t>Jeux d’éveil et tapis bébé</t>
        </is>
      </c>
      <c r="E1422" s="18" t="inlineStr">
        <is>
          <t>Mobile de voyage Tiny Love prix bas - Dorel</t>
        </is>
      </c>
      <c r="F1422" s="17" t="inlineStr">
        <is>
          <t>Le mobile de voyage 3 en 1 Tiny Love Magical Tales s’accroche à la poussette, au cosy ou au lit et occupe bébé en déplacement, à 20,99 € avec la livraison Cdiscount.</t>
        </is>
      </c>
      <c r="G1422" s="19" t="inlineStr">
        <is>
          <t>https://www.cdiscount.com/pret-a-porter/bebe-puericulture/eveil-jouets-1er-age/mobile/l-113172517.html?cid=lemwork&amp;cm_mmc=gen_dorel</t>
        </is>
      </c>
      <c r="H1422" s="20" t="n">
        <v>1541</v>
      </c>
      <c r="I1422" s="20" t="n">
        <v>12</v>
      </c>
      <c r="J1422" s="21">
        <f>IF(H1422=0,0,I1422/H1422)</f>
        <v/>
      </c>
    </row>
    <row r="1423">
      <c r="A1423" s="17" t="inlineStr">
        <is>
          <t>Dorel</t>
        </is>
      </c>
      <c r="B1423" s="17" t="inlineStr">
        <is>
          <t>Live</t>
        </is>
      </c>
      <c r="C1423" s="17" t="inlineStr">
        <is>
          <t>Dorel</t>
        </is>
      </c>
      <c r="D1423" s="17" t="inlineStr">
        <is>
          <t>Poussettes, sièges auto et soins bébé</t>
        </is>
      </c>
      <c r="E1423" s="18" t="inlineStr">
        <is>
          <t>Poussette 3 en 1 Haze au meilleur prix - Dorel</t>
        </is>
      </c>
      <c r="F1423" s="17" t="inlineStr">
        <is>
          <t>La poussette 3 en 1 Bébé Confort Haze passe de la nacelle au siège auto puis au hamac, de la naissance aux premières années, à 169,99 € avec la livraison Cdiscount.</t>
        </is>
      </c>
      <c r="G1423" s="19" t="inlineStr">
        <is>
          <t>https://www.cdiscount.com/pret-a-porter/bebe-puericulture/poussettes-porte-bebes/l-1131735.html?cid=lemwork&amp;cm_mmc=gen_dorel</t>
        </is>
      </c>
      <c r="H1423" s="20" t="n">
        <v>1465</v>
      </c>
      <c r="I1423" s="20" t="n">
        <v>6</v>
      </c>
      <c r="J1423" s="21">
        <f>IF(H1423=0,0,I1423/H1423)</f>
        <v/>
      </c>
    </row>
    <row r="1424">
      <c r="A1424" s="17" t="inlineStr">
        <is>
          <t>Dorel</t>
        </is>
      </c>
      <c r="B1424" s="17" t="inlineStr">
        <is>
          <t>Live</t>
        </is>
      </c>
      <c r="C1424" s="17" t="inlineStr">
        <is>
          <t>Dorel</t>
        </is>
      </c>
      <c r="D1424" s="17" t="inlineStr">
        <is>
          <t>Jeux d’éveil et tapis bébé</t>
        </is>
      </c>
      <c r="E1424" s="18" t="inlineStr">
        <is>
          <t>Transat bébé Aster prix bas - Dorel</t>
        </is>
      </c>
      <c r="F1424" s="17" t="inlineStr">
        <is>
          <t>Le transat Bébé Confort Aster installe bébé en position inclinée dès la naissance, à côté de vous, à 43,49 € sur Cdiscount avec la livraison offerte dès 25 €.</t>
        </is>
      </c>
      <c r="G1424" s="19" t="inlineStr">
        <is>
          <t>https://www.cdiscount.com/pret-a-porter/bebe-puericulture/eveil-jouets-1er-age/transat-balancelle/l-113172524.html?cid=lemwork&amp;cm_mmc=gen_dorel</t>
        </is>
      </c>
      <c r="H1424" s="20" t="n">
        <v>1437</v>
      </c>
      <c r="I1424" s="20" t="n">
        <v>8</v>
      </c>
      <c r="J1424" s="21">
        <f>IF(H1424=0,0,I1424/H1424)</f>
        <v/>
      </c>
    </row>
    <row r="1425">
      <c r="A1425" s="17" t="inlineStr">
        <is>
          <t>Dorel</t>
        </is>
      </c>
      <c r="B1425" s="17" t="inlineStr">
        <is>
          <t>Live</t>
        </is>
      </c>
      <c r="C1425" s="17" t="inlineStr">
        <is>
          <t>Dorel</t>
        </is>
      </c>
      <c r="D1425" s="17" t="inlineStr">
        <is>
          <t>Poussettes, sièges auto et soins bébé</t>
        </is>
      </c>
      <c r="E1425" s="18" t="inlineStr">
        <is>
          <t>Barrière de sécurité Safety 1st prix bas - Dorel</t>
        </is>
      </c>
      <c r="F1425" s="17" t="inlineStr">
        <is>
          <t>La barrière de sécurité Safety 1st Wall-Fix Extending se fixe au mur et s’ajuste à la largeur du passage ou de l’escalier, à 33,99 € sur Cdiscount.</t>
        </is>
      </c>
      <c r="G1425" s="19" t="inlineStr">
        <is>
          <t>https://www.cdiscount.com/pret-a-porter/bebe-puericulture/ecoutes-bebes-securite/barrieres-de-lit/barrieres-de-securite/l-11317370201.html?cid=lemwork&amp;cm_mmc=gen_dorel</t>
        </is>
      </c>
      <c r="H1425" s="20" t="n">
        <v>1358</v>
      </c>
      <c r="I1425" s="20" t="n">
        <v>7</v>
      </c>
      <c r="J1425" s="21">
        <f>IF(H1425=0,0,I1425/H1425)</f>
        <v/>
      </c>
    </row>
    <row r="1426">
      <c r="A1426" s="17" t="inlineStr">
        <is>
          <t>Dorel</t>
        </is>
      </c>
      <c r="B1426" s="17" t="inlineStr">
        <is>
          <t>Live</t>
        </is>
      </c>
      <c r="C1426" s="17" t="inlineStr">
        <is>
          <t>Dorel</t>
        </is>
      </c>
      <c r="D1426" s="17" t="inlineStr">
        <is>
          <t>Mobilier et chaises hautes bébé</t>
        </is>
      </c>
      <c r="E1426" s="18" t="inlineStr">
        <is>
          <t>Berceau bébé et Cododo 2 en 1 Amara, De la naissance à 6</t>
        </is>
      </c>
      <c r="F1426" s="17" t="inlineStr">
        <is>
          <t>Cdiscount Puériculture &amp; Eveil bébé - Découvrez notre offre Berceau bébé et Cododo 2 en 1 Amara, De la naissance à 6 mois, Tinted Gray. Livraison gratuite à partir de 25€* |</t>
        </is>
      </c>
      <c r="G1426" s="19" t="inlineStr">
        <is>
          <t>https://www.cdiscount.com/pret-a-porter/bebe-puericulture/berceau-bebe-et-cododo-2-en-1-amara-de-la-naissan/f-11317381413-aaalx78614.html?cid=lemwork&amp;cm_mmc=dorel24</t>
        </is>
      </c>
      <c r="H1426" s="20" t="n">
        <v>1356</v>
      </c>
      <c r="I1426" s="20" t="n">
        <v>5</v>
      </c>
      <c r="J1426" s="21">
        <f>IF(H1426=0,0,I1426/H1426)</f>
        <v/>
      </c>
    </row>
    <row r="1427">
      <c r="A1427" s="17" t="inlineStr">
        <is>
          <t>Dorel</t>
        </is>
      </c>
      <c r="B1427" s="17" t="inlineStr">
        <is>
          <t>Live</t>
        </is>
      </c>
      <c r="C1427" s="17" t="inlineStr">
        <is>
          <t>Dorel</t>
        </is>
      </c>
      <c r="D1427" s="17" t="inlineStr">
        <is>
          <t>Poussettes, sièges auto et soins bébé</t>
        </is>
      </c>
      <c r="E1427" s="18" t="inlineStr">
        <is>
          <t>Siège auto Safety 1st Cosmo i-Size prix bas - Dorel</t>
        </is>
      </c>
      <c r="F1427" s="17" t="inlineStr">
        <is>
          <t>Le siège auto Safety 1st Cosmo i-Safe i-Size suit votre enfant de 40 à 150 cm avec sa base pivotante, à 99,99 € sur Cdiscount, livraison offerte dès 25 €.</t>
        </is>
      </c>
      <c r="G1427" s="19" t="inlineStr">
        <is>
          <t>https://www.cdiscount.com/pret-a-porter/bebe-puericulture/voyages-bebe/sieges-auto-accessoires-auto/l-113177101.html?cid=lemwork&amp;cm_mmc=gen_dorel</t>
        </is>
      </c>
      <c r="H1427" s="20" t="n">
        <v>1354</v>
      </c>
      <c r="I1427" s="20" t="n">
        <v>5</v>
      </c>
      <c r="J1427" s="21">
        <f>IF(H1427=0,0,I1427/H1427)</f>
        <v/>
      </c>
    </row>
    <row r="1428">
      <c r="A1428" s="17" t="inlineStr">
        <is>
          <t>Dorel</t>
        </is>
      </c>
      <c r="B1428" s="17" t="inlineStr">
        <is>
          <t>Live</t>
        </is>
      </c>
      <c r="C1428" s="17" t="inlineStr">
        <is>
          <t>Dorel</t>
        </is>
      </c>
      <c r="D1428" s="17" t="inlineStr">
        <is>
          <t>Mobilier et chaises hautes bébé</t>
        </is>
      </c>
      <c r="E1428" s="18" t="inlineStr">
        <is>
          <t>BEBECONFORT ASTER, Transat ultra plat, ajustable, 2</t>
        </is>
      </c>
      <c r="F1428" s="17" t="inlineStr">
        <is>
          <t>Cdiscount Puériculture &amp; Eveil bébé - Découvrez notre offre BEBECONFORT ASTER, Transat ultra plat, ajustable, 2 positions d'inclinaison, arche incluse, De 0 à 3 ans (15kg) TINTED</t>
        </is>
      </c>
      <c r="G1428" s="19" t="inlineStr">
        <is>
          <t>https://www.cdiscount.com/pret-a-porter/bebe-puericulture/bebeconfort-aster-transat-ultra-plat-ajustable/f-113172524-bbc3220660005734.html?cid=lemwork&amp;cm_mmc=dorel26</t>
        </is>
      </c>
      <c r="H1428" s="20" t="n">
        <v>1314</v>
      </c>
      <c r="I1428" s="20" t="n">
        <v>4</v>
      </c>
      <c r="J1428" s="21">
        <f>IF(H1428=0,0,I1428/H1428)</f>
        <v/>
      </c>
    </row>
    <row r="1429">
      <c r="A1429" s="17" t="inlineStr">
        <is>
          <t>Dorel</t>
        </is>
      </c>
      <c r="B1429" s="17" t="inlineStr">
        <is>
          <t>Live</t>
        </is>
      </c>
      <c r="C1429" s="17" t="inlineStr">
        <is>
          <t>Dorel</t>
        </is>
      </c>
      <c r="D1429" s="17" t="inlineStr">
        <is>
          <t>Sièges auto</t>
        </is>
      </c>
      <c r="E1429" s="18" t="inlineStr">
        <is>
          <t>BEBECONFORT Siège auto évolutif pivotant EVOLUFIX 360</t>
        </is>
      </c>
      <c r="F1429" s="17" t="inlineStr">
        <is>
          <t>Siège auto BÉBÉ CONFORT idéal pour votre enfant jusqu'à 36 kg : BBC Evolufix Tinted black. Qualité et sécurité à petit prix sur Cdiscount !</t>
        </is>
      </c>
      <c r="G1429" s="19" t="inlineStr">
        <is>
          <t>https://www.cdiscount.com/pret-a-porter/bebe-puericulture/bebeconfort-siege-auto-evolutif-pivotant-evolufix/f-113177101-bbc8712930021483.html?cid=lemwork&amp;cm_mmc=dorel3</t>
        </is>
      </c>
      <c r="H1429" s="20" t="n">
        <v>1296</v>
      </c>
      <c r="I1429" s="20" t="n">
        <v>9</v>
      </c>
      <c r="J1429" s="21">
        <f>IF(H1429=0,0,I1429/H1429)</f>
        <v/>
      </c>
    </row>
    <row r="1430">
      <c r="A1430" s="17" t="inlineStr">
        <is>
          <t>Dorel</t>
        </is>
      </c>
      <c r="B1430" s="17" t="inlineStr">
        <is>
          <t>Live</t>
        </is>
      </c>
      <c r="C1430" s="17" t="inlineStr">
        <is>
          <t>Dorel</t>
        </is>
      </c>
      <c r="D1430" s="17" t="inlineStr">
        <is>
          <t>Poussettes et systèmes trio</t>
        </is>
      </c>
      <c r="E1430" s="18" t="inlineStr">
        <is>
          <t>MAXI-COSI Poussette canne ultra compacte Lara 2, 0-4 ans</t>
        </is>
      </c>
      <c r="F1430" s="17" t="inlineStr">
        <is>
          <t>Cdiscount Puériculture &amp; Eveil bébé - Découvrez notre offre MAXI-COSI Poussette canne ultra compacte Lara 2, 0-4 ans, 0-22 kg, pliage automatique, 3 positions d'inclinaison</t>
        </is>
      </c>
      <c r="G1430" s="19" t="inlineStr">
        <is>
          <t>https://www.cdiscount.com/pret-a-porter/bebe-puericulture/maxi-cosi-poussette-canne-ultra-compacte-lara-2-0/f-1131735-max3220660338122.html?cid=lemwork&amp;cm_mmc=dorel20</t>
        </is>
      </c>
      <c r="H1430" s="20" t="n">
        <v>1286</v>
      </c>
      <c r="I1430" s="20" t="n">
        <v>9</v>
      </c>
      <c r="J1430" s="21">
        <f>IF(H1430=0,0,I1430/H1430)</f>
        <v/>
      </c>
    </row>
    <row r="1431">
      <c r="A1431" s="17" t="inlineStr">
        <is>
          <t>Dorel</t>
        </is>
      </c>
      <c r="B1431" s="17" t="inlineStr">
        <is>
          <t>Live</t>
        </is>
      </c>
      <c r="C1431" s="17" t="inlineStr">
        <is>
          <t>Dorel</t>
        </is>
      </c>
      <c r="D1431" s="17" t="inlineStr">
        <is>
          <t>Sièges auto</t>
        </is>
      </c>
      <c r="E1431" s="18" t="inlineStr">
        <is>
          <t>Siège auto évolutif ceinturé GROW i-Safe BEBE CONFORT, De</t>
        </is>
      </c>
      <c r="F1431" s="17" t="inlineStr">
        <is>
          <t>Siège auto BÉBÉ CONFORT idéal pour votre enfant jusqu'à 36 kg : Siège auto évolutif ceinturé GROW i-Safe BEBE CONFORT, De 15 mois à 12 ans (76-150 cm), Sécurité R129, Tinted</t>
        </is>
      </c>
      <c r="G1431" s="19" t="inlineStr">
        <is>
          <t>https://www.cdiscount.com/pret-a-porter/bebe-puericulture/siege-auto-evolutif-ceinture-grow-i-safe-bebe-conf/f-113177101-bbc8712930011057.html?cid=lemwork&amp;cm_mmc=dorel13</t>
        </is>
      </c>
      <c r="H1431" s="20" t="n">
        <v>1234</v>
      </c>
      <c r="I1431" s="20" t="n">
        <v>9</v>
      </c>
      <c r="J1431" s="21">
        <f>IF(H1431=0,0,I1431/H1431)</f>
        <v/>
      </c>
    </row>
    <row r="1432">
      <c r="A1432" s="17" t="inlineStr">
        <is>
          <t>Dorel</t>
        </is>
      </c>
      <c r="B1432" s="17" t="inlineStr">
        <is>
          <t>Live</t>
        </is>
      </c>
      <c r="C1432" s="17" t="inlineStr">
        <is>
          <t>Dorel</t>
        </is>
      </c>
      <c r="D1432" s="17" t="inlineStr">
        <is>
          <t>Mobilier et chaises hautes bébé</t>
        </is>
      </c>
      <c r="E1432" s="18" t="inlineStr">
        <is>
          <t>BEBECONFORT LILY Chaise haute bébé, ultra compacte et</t>
        </is>
      </c>
      <c r="F1432" s="17" t="inlineStr">
        <is>
          <t>Cdiscount Puériculture &amp; Eveil bébé - Découvrez notre offre BEBECONFORT LILY Chaise haute bébé, ultra compacte et légère, confort optimal, de 6 mois à 3 ans, jusqu'à 15 kg, Tinted</t>
        </is>
      </c>
      <c r="G1432" s="19" t="inlineStr">
        <is>
          <t>https://www.cdiscount.com/pret-a-porter/bebe-puericulture/bebeconfort-lily-chaise-haute-bebe-ultra-compacte/f-113173307-bbc3220660345915.html?cid=lemwork&amp;cm_mmc=dorel6</t>
        </is>
      </c>
      <c r="H1432" s="20" t="n">
        <v>1224</v>
      </c>
      <c r="I1432" s="20" t="n">
        <v>6</v>
      </c>
      <c r="J1432" s="21">
        <f>IF(H1432=0,0,I1432/H1432)</f>
        <v/>
      </c>
    </row>
    <row r="1433">
      <c r="A1433" s="17" t="inlineStr">
        <is>
          <t>Dorel</t>
        </is>
      </c>
      <c r="B1433" s="17" t="inlineStr">
        <is>
          <t>Live</t>
        </is>
      </c>
      <c r="C1433" s="17" t="inlineStr">
        <is>
          <t>Dorel</t>
        </is>
      </c>
      <c r="D1433" s="17" t="inlineStr">
        <is>
          <t>Mobilier et chaises hautes bébé</t>
        </is>
      </c>
      <c r="E1433" s="18" t="inlineStr">
        <is>
          <t>BEBECONFORT Zina Berceau Pliable Bebe &amp; Cododo, 0-6 m (0-9</t>
        </is>
      </c>
      <c r="F1433" s="17" t="inlineStr">
        <is>
          <t>Cdiscount Puériculture &amp; Eveil bébé - Découvrez notre offre BEBECONFORT Zina Berceau Pliable Bebe &amp; Cododo, 0-6 m (0-9 kg), 5 Positions, Matelas Inclinable, Mineral Graphite.</t>
        </is>
      </c>
      <c r="G1433" s="19" t="inlineStr">
        <is>
          <t>https://www.cdiscount.com/pret-a-porter/bebe-puericulture/bebeconfort-zina-berceau-pliable-bebe-cododo-0/f-11317381413-aaafq42021.html?cid=lemwork&amp;cm_mmc=dorel23</t>
        </is>
      </c>
      <c r="H1433" s="20" t="n">
        <v>1218</v>
      </c>
      <c r="I1433" s="20" t="n">
        <v>3</v>
      </c>
      <c r="J1433" s="21">
        <f>IF(H1433=0,0,I1433/H1433)</f>
        <v/>
      </c>
    </row>
    <row r="1434">
      <c r="A1434" s="17" t="inlineStr">
        <is>
          <t>Dorel</t>
        </is>
      </c>
      <c r="B1434" s="17" t="inlineStr">
        <is>
          <t>Live</t>
        </is>
      </c>
      <c r="C1434" s="17" t="inlineStr">
        <is>
          <t>Dorel</t>
        </is>
      </c>
      <c r="D1434" s="17" t="inlineStr">
        <is>
          <t>Mobilier et chaises hautes bébé</t>
        </is>
      </c>
      <c r="E1434" s="18" t="inlineStr">
        <is>
          <t>BEBECONFORT Réhausseur de chaise, Essential booster, De 6</t>
        </is>
      </c>
      <c r="F1434" s="17" t="inlineStr">
        <is>
          <t>Cdiscount Puériculture &amp; Eveil bébé - Découvrez notre offre BEBECONFORT Réhausseur de chaise, Essential booster, De 6 mois à 3 ans (15kg), Warm gray. Livraison gratuite à partir</t>
        </is>
      </c>
      <c r="G1434" s="19" t="inlineStr">
        <is>
          <t>https://www.cdiscount.com/pret-a-porter/bebe-puericulture/bebeconfort-rehausseur-de-chaise-essential-booste/f-113173307-bbconf2776191210.html?cid=lemwork&amp;cm_mmc=dorel14</t>
        </is>
      </c>
      <c r="H1434" s="20" t="n">
        <v>1188</v>
      </c>
      <c r="I1434" s="20" t="n">
        <v>3</v>
      </c>
      <c r="J1434" s="21">
        <f>IF(H1434=0,0,I1434/H1434)</f>
        <v/>
      </c>
    </row>
    <row r="1435">
      <c r="A1435" s="17" t="inlineStr">
        <is>
          <t>Dorel</t>
        </is>
      </c>
      <c r="B1435" s="17" t="inlineStr">
        <is>
          <t>Live</t>
        </is>
      </c>
      <c r="C1435" s="17" t="inlineStr">
        <is>
          <t>Dorel</t>
        </is>
      </c>
      <c r="D1435" s="17" t="inlineStr">
        <is>
          <t>Poussettes et systèmes trio</t>
        </is>
      </c>
      <c r="E1435" s="18" t="inlineStr">
        <is>
          <t>BEBE CONFORT Poussette canne Snow, ultra-légère (5 kg), De</t>
        </is>
      </c>
      <c r="F1435" s="17" t="inlineStr">
        <is>
          <t>Cdiscount Puériculture &amp; Eveil bébé - Découvrez notre offre BEBE CONFORT Poussette canne Snow, ultra-légère (5 kg), De la naissance à 4 ans , Siège inclinable, Pliage compact</t>
        </is>
      </c>
      <c r="G1435" s="19" t="inlineStr">
        <is>
          <t>https://www.cdiscount.com/pret-a-porter/bebe-puericulture/bebe-confort-poussette-canne-snow-ultra-legere-5/f-1131735-bbc3220660010745.html?cid=lemwork&amp;cm_mmc=dorel11</t>
        </is>
      </c>
      <c r="H1435" s="20" t="n">
        <v>1174</v>
      </c>
      <c r="I1435" s="20" t="n">
        <v>13</v>
      </c>
      <c r="J1435" s="21">
        <f>IF(H1435=0,0,I1435/H1435)</f>
        <v/>
      </c>
    </row>
    <row r="1436">
      <c r="A1436" s="17" t="inlineStr">
        <is>
          <t>Dorel</t>
        </is>
      </c>
      <c r="B1436" s="17" t="inlineStr">
        <is>
          <t>Live</t>
        </is>
      </c>
      <c r="C1436" s="17" t="inlineStr">
        <is>
          <t>Dorel</t>
        </is>
      </c>
      <c r="D1436" s="17" t="inlineStr">
        <is>
          <t>Poussettes et systèmes trio</t>
        </is>
      </c>
      <c r="E1436" s="18" t="inlineStr">
        <is>
          <t>MAXI-COSI Poussette 3 en 1 Zelia S Trio2, Nacelle+Siège</t>
        </is>
      </c>
      <c r="F1436" s="17" t="inlineStr">
        <is>
          <t>Cdiscount Puériculture &amp; Eveil bébé - Découvrez notre offre MAXI-COSI Poussette 3 en 1 Zelia S Trio2, Nacelle+Siège auto Cabriofix S iSize+Sac à langer+habillage pluie, 0-22Kg</t>
        </is>
      </c>
      <c r="G1436" s="19" t="inlineStr">
        <is>
          <t>https://www.cdiscount.com/pret-a-porter/bebe-puericulture/maxi-cosi-poussette-3-en-1-zelia-s-trio2-nacelle/f-1131735-mc3220669980179.html?cid=lemwork&amp;cm_mmc=dorel4</t>
        </is>
      </c>
      <c r="H1436" s="20" t="n">
        <v>1162</v>
      </c>
      <c r="I1436" s="20" t="n">
        <v>6</v>
      </c>
      <c r="J1436" s="21">
        <f>IF(H1436=0,0,I1436/H1436)</f>
        <v/>
      </c>
    </row>
    <row r="1437">
      <c r="A1437" s="17" t="inlineStr">
        <is>
          <t>Dorel</t>
        </is>
      </c>
      <c r="B1437" s="17" t="inlineStr">
        <is>
          <t>Live</t>
        </is>
      </c>
      <c r="C1437" s="17" t="inlineStr">
        <is>
          <t>Dorel</t>
        </is>
      </c>
      <c r="D1437" s="17" t="inlineStr">
        <is>
          <t>Mobilier et chaises hautes bébé</t>
        </is>
      </c>
      <c r="E1437" s="18" t="inlineStr">
        <is>
          <t>BEBECONFORT Sweet dreams Lit bébé, Lit parapluie, De la</t>
        </is>
      </c>
      <c r="F1437" s="17" t="inlineStr">
        <is>
          <t>Cdiscount Puériculture &amp; Eveil bébé - Découvrez notre offre BEBECONFORT Sweet dreams Lit bébé, Lit parapluie, De la naissance à 3 ans (jusqu'à 15kg) + sac de transport, Mineral</t>
        </is>
      </c>
      <c r="G1437" s="19" t="inlineStr">
        <is>
          <t>https://www.cdiscount.com/pret-a-porter/bebe-puericulture/bebeconfort-sweet-dreams-lit-bebe-lit-parapluie/f-113177103-bbc3220660008759.html?cid=lemwork&amp;cm_mmc=dorel30</t>
        </is>
      </c>
      <c r="H1437" s="20" t="n">
        <v>1153</v>
      </c>
      <c r="I1437" s="20" t="n">
        <v>5</v>
      </c>
      <c r="J1437" s="21">
        <f>IF(H1437=0,0,I1437/H1437)</f>
        <v/>
      </c>
    </row>
    <row r="1438">
      <c r="A1438" s="17" t="inlineStr">
        <is>
          <t>Dorel</t>
        </is>
      </c>
      <c r="B1438" s="17" t="inlineStr">
        <is>
          <t>Live</t>
        </is>
      </c>
      <c r="C1438" s="17" t="inlineStr">
        <is>
          <t>Dorel</t>
        </is>
      </c>
      <c r="D1438" s="17" t="inlineStr">
        <is>
          <t>Poussettes et systèmes trio</t>
        </is>
      </c>
      <c r="E1438" s="18" t="inlineStr">
        <is>
          <t>BEBECONFORT HAZE Poussette 3 en 1, Assise transformable en</t>
        </is>
      </c>
      <c r="F1438" s="17" t="inlineStr">
        <is>
          <t>Cdiscount Puériculture &amp; Eveil bébé - Découvrez notre offre BEBECONFORT HAZE Poussette 3 en 1, Assise transformable en nacelle + siège auto i-Size + habillage pluie, 0-22kg</t>
        </is>
      </c>
      <c r="G1438" s="19" t="inlineStr">
        <is>
          <t>https://www.cdiscount.com/pret-a-porter/bebe-puericulture/bebeconfort-haze-poussette-3-en-1-assise-transfor/f-1131735-bbc3220660344802.html?cid=lemwork&amp;cm_mmc=dorel1</t>
        </is>
      </c>
      <c r="H1438" s="20" t="n">
        <v>1148</v>
      </c>
      <c r="I1438" s="20" t="n">
        <v>7</v>
      </c>
      <c r="J1438" s="21">
        <f>IF(H1438=0,0,I1438/H1438)</f>
        <v/>
      </c>
    </row>
    <row r="1439">
      <c r="A1439" s="17" t="inlineStr">
        <is>
          <t>Dorel</t>
        </is>
      </c>
      <c r="B1439" s="17" t="inlineStr">
        <is>
          <t>Live</t>
        </is>
      </c>
      <c r="C1439" s="17" t="inlineStr">
        <is>
          <t>Dorel</t>
        </is>
      </c>
      <c r="D1439" s="17" t="inlineStr">
        <is>
          <t>Mobilier et chaises hautes bébé</t>
        </is>
      </c>
      <c r="E1439" s="18" t="inlineStr">
        <is>
          <t>BEBECONFORT Réhausseur bébé pliable Moly, de 6 mois à 3</t>
        </is>
      </c>
      <c r="F1439" s="17" t="inlineStr">
        <is>
          <t>Cdiscount Puériculture &amp; Eveil bébé - Découvrez notre offre BEBECONFORT Réhausseur bébé pliable Moly, de 6 mois à 3 ans, Tinted Gray. Livraison gratuite à partir de 25€* |</t>
        </is>
      </c>
      <c r="G1439" s="19" t="inlineStr">
        <is>
          <t>https://www.cdiscount.com/pret-a-porter/bebe-puericulture/bebeconfort-rehausseur-bebe-pliable-moly-de-6-moi/f-11317330702-aaaph76672.html?cid=lemwork&amp;cm_mmc=dorel25</t>
        </is>
      </c>
      <c r="H1439" s="20" t="n">
        <v>1148</v>
      </c>
      <c r="I1439" s="20" t="n">
        <v>3</v>
      </c>
      <c r="J1439" s="21">
        <f>IF(H1439=0,0,I1439/H1439)</f>
        <v/>
      </c>
    </row>
    <row r="1440">
      <c r="A1440" s="17" t="inlineStr">
        <is>
          <t>Dorel</t>
        </is>
      </c>
      <c r="B1440" s="17" t="inlineStr">
        <is>
          <t>Live</t>
        </is>
      </c>
      <c r="C1440" s="17" t="inlineStr">
        <is>
          <t>Dorel</t>
        </is>
      </c>
      <c r="D1440" s="17" t="inlineStr">
        <is>
          <t>Poussettes et systèmes trio</t>
        </is>
      </c>
      <c r="E1440" s="18" t="inlineStr">
        <is>
          <t>BEBECONFORT FOGGY Poussette canne compacte, légère , dès la</t>
        </is>
      </c>
      <c r="F1440" s="17" t="inlineStr">
        <is>
          <t>Cdiscount Puériculture &amp; Eveil bébé - Découvrez notre offre BEBECONFORT FOGGY Poussette canne compacte, légère , dès la naissance, jusqu'à 15 kg, position allongée, Tinted Gray.</t>
        </is>
      </c>
      <c r="G1440" s="19" t="inlineStr">
        <is>
          <t>https://www.cdiscount.com/pret-a-porter/bebe-puericulture/bebeconfort-foggy-poussette-canne-compacte-legere/f-1131735-bbc3220660347179.html?cid=lemwork&amp;cm_mmc=dorel12</t>
        </is>
      </c>
      <c r="H1440" s="20" t="n">
        <v>1144</v>
      </c>
      <c r="I1440" s="20" t="n">
        <v>4</v>
      </c>
      <c r="J1440" s="21">
        <f>IF(H1440=0,0,I1440/H1440)</f>
        <v/>
      </c>
    </row>
    <row r="1441">
      <c r="A1441" s="17" t="inlineStr">
        <is>
          <t>Dorel</t>
        </is>
      </c>
      <c r="B1441" s="17" t="inlineStr">
        <is>
          <t>Live</t>
        </is>
      </c>
      <c r="C1441" s="17" t="inlineStr">
        <is>
          <t>Dorel</t>
        </is>
      </c>
      <c r="D1441" s="17" t="inlineStr">
        <is>
          <t>Poussettes et systèmes trio</t>
        </is>
      </c>
      <c r="E1441" s="18" t="inlineStr">
        <is>
          <t>BEBECONFORT SUNLITE, Poussette ultra compacte, confortable</t>
        </is>
      </c>
      <c r="F1441" s="17" t="inlineStr">
        <is>
          <t>Cdiscount Puériculture &amp; Eveil bébé - Découvrez notre offre BEBECONFORT SUNLITE, Poussette ultra compacte, confortable et lègère, dès la naissance jusqu'à 4 ans,0 à 22 kg, Tinted</t>
        </is>
      </c>
      <c r="G1441" s="19" t="inlineStr">
        <is>
          <t>https://www.cdiscount.com/pret-a-porter/bebe-puericulture/bebeconfort-sunlite-poussette-ultra-compacte-con/f-1131735-bbc3220660012565.html?cid=lemwork&amp;cm_mmc=dorel7</t>
        </is>
      </c>
      <c r="H1441" s="20" t="n">
        <v>1135</v>
      </c>
      <c r="I1441" s="20" t="n">
        <v>5</v>
      </c>
      <c r="J1441" s="21">
        <f>IF(H1441=0,0,I1441/H1441)</f>
        <v/>
      </c>
    </row>
    <row r="1442">
      <c r="A1442" s="17" t="inlineStr">
        <is>
          <t>Dorel</t>
        </is>
      </c>
      <c r="B1442" s="17" t="inlineStr">
        <is>
          <t>Live</t>
        </is>
      </c>
      <c r="C1442" s="17" t="inlineStr">
        <is>
          <t>Dorel</t>
        </is>
      </c>
      <c r="D1442" s="17" t="inlineStr">
        <is>
          <t>Mobilier et chaises hautes bébé</t>
        </is>
      </c>
      <c r="E1442" s="18" t="inlineStr">
        <is>
          <t>BEBECONFORT Dolphy Table à langer et baignoire 2en 1, De la</t>
        </is>
      </c>
      <c r="F1442" s="17" t="inlineStr">
        <is>
          <t>Cdiscount Puériculture &amp; Eveil bébé - Découvrez notre offre BEBECONFORT Dolphy Table à langer et baignoire 2en 1, De la naissance à 12 mois (11kg), Gray Mist. Livraison gratuite à</t>
        </is>
      </c>
      <c r="G1442" s="19" t="inlineStr">
        <is>
          <t>https://www.cdiscount.com/pret-a-porter/bebe-puericulture/bebeconfort-dolphy-table-a-langer-et-baignoire-2en/f-113173401-bbc3220660340798.html?cid=lemwork&amp;cm_mmc=dorel18</t>
        </is>
      </c>
      <c r="H1442" s="20" t="n">
        <v>1127</v>
      </c>
      <c r="I1442" s="20" t="n">
        <v>7</v>
      </c>
      <c r="J1442" s="21">
        <f>IF(H1442=0,0,I1442/H1442)</f>
        <v/>
      </c>
    </row>
    <row r="1443">
      <c r="A1443" s="17" t="inlineStr">
        <is>
          <t>Dorel</t>
        </is>
      </c>
      <c r="B1443" s="17" t="inlineStr">
        <is>
          <t>Live</t>
        </is>
      </c>
      <c r="C1443" s="17" t="inlineStr">
        <is>
          <t>Dorel</t>
        </is>
      </c>
      <c r="D1443" s="17" t="inlineStr">
        <is>
          <t>Sièges auto</t>
        </is>
      </c>
      <c r="E1443" s="18" t="inlineStr">
        <is>
          <t>SAFETY 1ST Siège auto Cosmo I-Safe I-Size, De 0 à 12 ans</t>
        </is>
      </c>
      <c r="F1443" s="17" t="inlineStr">
        <is>
          <t>Siège auto SAFETY 1ST idéal pour votre enfant jusqu'à 36 kg : SAFETY 1ST Siège auto Cosmo I-Safe I-Size, De 0 à 12 ans, 40 - 150 cm, ceinturé, Installation facile, base pivotante</t>
        </is>
      </c>
      <c r="G1443" s="19" t="inlineStr">
        <is>
          <t>https://www.cdiscount.com/pret-a-porter/bebe-puericulture/safety-1st-siege-auto-cosmo-i-safe-i-size-de-0-a/f-113177101-sf8712930023272.html?cid=lemwork&amp;cm_mmc=dorel2</t>
        </is>
      </c>
      <c r="H1443" s="20" t="n">
        <v>1109</v>
      </c>
      <c r="I1443" s="20" t="n">
        <v>5</v>
      </c>
      <c r="J1443" s="21">
        <f>IF(H1443=0,0,I1443/H1443)</f>
        <v/>
      </c>
    </row>
    <row r="1444">
      <c r="A1444" s="17" t="inlineStr">
        <is>
          <t>Dorel</t>
        </is>
      </c>
      <c r="B1444" s="17" t="inlineStr">
        <is>
          <t>Live</t>
        </is>
      </c>
      <c r="C1444" s="17" t="inlineStr">
        <is>
          <t>Dorel</t>
        </is>
      </c>
      <c r="D1444" s="17" t="inlineStr">
        <is>
          <t>Poussettes et systèmes trio</t>
        </is>
      </c>
      <c r="E1444" s="18" t="inlineStr">
        <is>
          <t>BEBECONFORT Sunlite, Poussette ultra compacte, confortable</t>
        </is>
      </c>
      <c r="F1444" s="17" t="inlineStr">
        <is>
          <t>Cdiscount Puériculture &amp; Eveil bébé - Découvrez notre offre BEBECONFORT Sunlite, Poussette ultra compacte, confortable et lègère, dès la naissance jusqu'à 4 ans,0 à 22 kg, Mineral</t>
        </is>
      </c>
      <c r="G1444" s="19" t="inlineStr">
        <is>
          <t>https://www.cdiscount.com/pret-a-porter/bebe-puericulture/bebeconfort-sunlite-poussette-ultra-compacte-con/f-1131735-bbc3220660012497.html?cid=lemwork&amp;cm_mmc=dorel17</t>
        </is>
      </c>
      <c r="H1444" s="20" t="n">
        <v>1104</v>
      </c>
      <c r="I1444" s="20" t="n">
        <v>6</v>
      </c>
      <c r="J1444" s="21">
        <f>IF(H1444=0,0,I1444/H1444)</f>
        <v/>
      </c>
    </row>
    <row r="1445">
      <c r="A1445" s="17" t="inlineStr">
        <is>
          <t>Dorel</t>
        </is>
      </c>
      <c r="B1445" s="17" t="inlineStr">
        <is>
          <t>Live</t>
        </is>
      </c>
      <c r="C1445" s="17" t="inlineStr">
        <is>
          <t>Dorel</t>
        </is>
      </c>
      <c r="D1445" s="17" t="inlineStr">
        <is>
          <t>Poussettes et systèmes trio</t>
        </is>
      </c>
      <c r="E1445" s="18" t="inlineStr">
        <is>
          <t>BEBECONFORT BRUME Poussette 3 en 1, Assise transformable en</t>
        </is>
      </c>
      <c r="F1445" s="17" t="inlineStr">
        <is>
          <t>Cdiscount Puériculture &amp; Eveil bébé - Découvrez notre offre BEBECONFORT BRUME Poussette 3 en 1, Assise transformable en nacelle + siège auto i-Size + habillage pluie, 0- 22kg</t>
        </is>
      </c>
      <c r="G1445" s="19" t="inlineStr">
        <is>
          <t>https://www.cdiscount.com/pret-a-porter/bebe-puericulture/bebeconfort-brume-poussette-3-en-1-assise-transfo/f-1131735-bbc3220660011384.html?cid=lemwork&amp;cm_mmc=dorel16</t>
        </is>
      </c>
      <c r="H1445" s="20" t="n">
        <v>1091</v>
      </c>
      <c r="I1445" s="20" t="n">
        <v>7</v>
      </c>
      <c r="J1445" s="21">
        <f>IF(H1445=0,0,I1445/H1445)</f>
        <v/>
      </c>
    </row>
    <row r="1446">
      <c r="A1446" s="17" t="inlineStr">
        <is>
          <t>Dorel</t>
        </is>
      </c>
      <c r="B1446" s="17" t="inlineStr">
        <is>
          <t>Live</t>
        </is>
      </c>
      <c r="C1446" s="17" t="inlineStr">
        <is>
          <t>Dorel</t>
        </is>
      </c>
      <c r="D1446" s="17" t="inlineStr">
        <is>
          <t>Poussettes et systèmes trio</t>
        </is>
      </c>
      <c r="E1446" s="18" t="inlineStr">
        <is>
          <t>BEBECONFORT SUNLITE, Poussette ultra compacte, confortable</t>
        </is>
      </c>
      <c r="F1446" s="17" t="inlineStr">
        <is>
          <t>Cdiscount Puériculture &amp; Eveil bébé - Découvrez notre offre BEBECONFORT SUNLITE, Poussette ultra compacte, confortable et lègère, dès la naissance jusqu'à 4 ans,0 à 22 kg, Tinted</t>
        </is>
      </c>
      <c r="G1446" s="19" t="inlineStr">
        <is>
          <t>https://www.cdiscount.com/pret-a-porter/bebe-puericulture/bebeconfort-sunlite-poussette-ultra-compacte-con/f-1131735-bbc3220660347407.html?cid=lemwork&amp;cm_mmc=dorel5</t>
        </is>
      </c>
      <c r="H1446" s="20" t="n">
        <v>1072</v>
      </c>
      <c r="I1446" s="20" t="n">
        <v>6</v>
      </c>
      <c r="J1446" s="21">
        <f>IF(H1446=0,0,I1446/H1446)</f>
        <v/>
      </c>
    </row>
    <row r="1447">
      <c r="A1447" s="17" t="inlineStr">
        <is>
          <t>Dorel</t>
        </is>
      </c>
      <c r="B1447" s="17" t="inlineStr">
        <is>
          <t>Live</t>
        </is>
      </c>
      <c r="C1447" s="17" t="inlineStr">
        <is>
          <t>Dorel</t>
        </is>
      </c>
      <c r="D1447" s="17" t="inlineStr">
        <is>
          <t>Sièges auto</t>
        </is>
      </c>
      <c r="E1447" s="18" t="inlineStr">
        <is>
          <t>BEBE CONFORT Siège auto évolutif GROW i-Size, De 15 mois à</t>
        </is>
      </c>
      <c r="F1447" s="17" t="inlineStr">
        <is>
          <t>Siège auto BÉBÉ CONFORT idéal pour votre enfant jusqu'à 36 kg : BEBE CONFORT Siège auto évolutif GROW i-Size, De 15 mois à 12 ans (76-150 cm), ISOFIX, Sécurité R129, Tinted Black.</t>
        </is>
      </c>
      <c r="G1447" s="19" t="inlineStr">
        <is>
          <t>https://www.cdiscount.com/pret-a-porter/bebe-puericulture/bebe-confort-siege-auto-evolutif-grow-i-size-de-1/f-113177101-bbc8712930187479.html?cid=lemwork&amp;cm_mmc=dorel19</t>
        </is>
      </c>
      <c r="H1447" s="20" t="n">
        <v>1055</v>
      </c>
      <c r="I1447" s="20" t="n">
        <v>8</v>
      </c>
      <c r="J1447" s="21">
        <f>IF(H1447=0,0,I1447/H1447)</f>
        <v/>
      </c>
    </row>
    <row r="1448">
      <c r="A1448" s="17" t="inlineStr">
        <is>
          <t>Levi's</t>
        </is>
      </c>
      <c r="B1448" s="17" t="inlineStr">
        <is>
          <t>Live</t>
        </is>
      </c>
      <c r="C1448" s="17" t="inlineStr">
        <is>
          <t>Levis 2</t>
        </is>
      </c>
      <c r="D1448" s="17" t="inlineStr">
        <is>
          <t>Clothing Accessories</t>
        </is>
      </c>
      <c r="E1448" s="18" t="inlineStr">
        <is>
          <t>Levi’s - Ceintures, bonnets et casquettes</t>
        </is>
      </c>
      <c r="F1448" s="17" t="inlineStr">
        <is>
          <t>La ceinture Ashland est confectionnée en cuir véritable de la meilleure qualité et conçue pour résister longtemps à l’usure, comme votre jean.</t>
        </is>
      </c>
      <c r="G1448" s="19" t="inlineStr">
        <is>
          <t>https://click.linksynergy.com/deeplink?id=9i20SERoF44&amp;mid=53154&amp;murl=https%3A%2F%2Fwww.levi.com%2FFR%2Ffr_FR%2Funidays-nl%2Fceinture-ashland%2Fp%2F380160117</t>
        </is>
      </c>
      <c r="H1448" s="20" t="n">
        <v>27980</v>
      </c>
      <c r="I1448" s="20" t="n">
        <v>61</v>
      </c>
      <c r="J1448" s="21">
        <f>IF(H1448=0,0,I1448/H1448)</f>
        <v/>
      </c>
    </row>
    <row r="1449">
      <c r="A1449" s="17" t="inlineStr">
        <is>
          <t>Levi's</t>
        </is>
      </c>
      <c r="B1449" s="17" t="inlineStr">
        <is>
          <t>Live</t>
        </is>
      </c>
      <c r="C1449" s="17" t="inlineStr">
        <is>
          <t>Levis 2</t>
        </is>
      </c>
      <c r="D1449" s="17" t="inlineStr">
        <is>
          <t>Enfants et accessoires</t>
        </is>
      </c>
      <c r="E1449" s="18" t="inlineStr">
        <is>
          <t>Jean Skinny 510™ Pour Enfant - Bleu | Levi's® FR</t>
        </is>
      </c>
      <c r="F1449" s="17" t="inlineStr">
        <is>
          <t>La coupe moulante que vous adorez, avec une touche de stretch pour bouger et jouer en toute liberté Design traditionnel à 5 poches Ceinture réglable Braguette zippée Fermeture à</t>
        </is>
      </c>
      <c r="G1449" s="19" t="inlineStr">
        <is>
          <t>https://click.linksynergy.com/deeplink?id=9i20SERoF44&amp;mid=53154&amp;murl=https%3A%2F%2Fwww.levi.com%2FFR%2Ffr_FR%2Fvetements%2Fenfants%2Fgarcon%2Fjeans-garcon%2Fjean-skinny510-pour-enfant%2Fp%2F864900009</t>
        </is>
      </c>
      <c r="H1449" s="20" t="n">
        <v>8303</v>
      </c>
      <c r="I1449" s="20" t="n">
        <v>25</v>
      </c>
      <c r="J1449" s="21">
        <f>IF(H1449=0,0,I1449/H1449)</f>
        <v/>
      </c>
    </row>
    <row r="1450">
      <c r="A1450" s="17" t="inlineStr">
        <is>
          <t>Levi's</t>
        </is>
      </c>
      <c r="B1450" s="17" t="inlineStr">
        <is>
          <t>Live</t>
        </is>
      </c>
      <c r="C1450" s="17" t="inlineStr">
        <is>
          <t>Levis 2</t>
        </is>
      </c>
      <c r="D1450" s="17" t="inlineStr">
        <is>
          <t>Women's Clothing</t>
        </is>
      </c>
      <c r="E1450" s="18" t="inlineStr">
        <is>
          <t>Levi’s - Vêtements femme</t>
        </is>
      </c>
      <c r="F1450" s="17" t="inlineStr">
        <is>
          <t>La jupe High-Rise Back Slit souligne la taille, s’ouvre d’une fente dans le dos et garde un fit slim : le vintage sans fouiller les friperies.</t>
        </is>
      </c>
      <c r="G1450" s="19" t="inlineStr">
        <is>
          <t>https://www.levi.com/FR/fr_FR/unidays-it/jupe-taille-haute-fente-arriere/p/001VH0006</t>
        </is>
      </c>
      <c r="H1450" s="20" t="n">
        <v>7655</v>
      </c>
      <c r="I1450" s="20" t="n">
        <v>34</v>
      </c>
      <c r="J1450" s="21">
        <f>IF(H1450=0,0,I1450/H1450)</f>
        <v/>
      </c>
    </row>
    <row r="1451">
      <c r="A1451" s="17" t="inlineStr">
        <is>
          <t>Levi's</t>
        </is>
      </c>
      <c r="B1451" s="17" t="inlineStr">
        <is>
          <t>Live</t>
        </is>
      </c>
      <c r="C1451" s="17" t="inlineStr">
        <is>
          <t>Levis 2</t>
        </is>
      </c>
      <c r="D1451" s="17" t="inlineStr">
        <is>
          <t>Enfants et accessoires</t>
        </is>
      </c>
      <c r="E1451" s="18" t="inlineStr">
        <is>
          <t>Ceinture Ashland - Noir | Levi's® FR</t>
        </is>
      </c>
      <c r="F1451" s="17" t="inlineStr">
        <is>
          <t>Tout jean a besoin d’une ceinture de qualité conçue pour résister longtemps à l’usureConfectionnée avec du cuir véritable de la meilleure qualité</t>
        </is>
      </c>
      <c r="G1451" s="19" t="inlineStr">
        <is>
          <t>https://click.linksynergy.com/deeplink?id=9i20SERoF44&amp;mid=53154&amp;murl=https%3A%2F%2Fwww.levi.com%2FFR%2Ffr_FR%2Funidays-nl%2Fceinture-ashland%2Fp%2F380160117</t>
        </is>
      </c>
      <c r="H1451" s="20" t="n">
        <v>7131</v>
      </c>
      <c r="I1451" s="20" t="n">
        <v>16</v>
      </c>
      <c r="J1451" s="21">
        <f>IF(H1451=0,0,I1451/H1451)</f>
        <v/>
      </c>
    </row>
    <row r="1452">
      <c r="A1452" s="17" t="inlineStr">
        <is>
          <t>Levi's</t>
        </is>
      </c>
      <c r="B1452" s="17" t="inlineStr">
        <is>
          <t>Live</t>
        </is>
      </c>
      <c r="C1452" s="17" t="inlineStr">
        <is>
          <t>Levis 2</t>
        </is>
      </c>
      <c r="D1452" s="17" t="inlineStr">
        <is>
          <t>Men's Clothing</t>
        </is>
      </c>
      <c r="E1452" s="18" t="inlineStr">
        <is>
          <t>Levi’s - Vêtements homme</t>
        </is>
      </c>
      <c r="F1452" s="17" t="inlineStr">
        <is>
          <t>Le polo Housemark en grandes tailles est conçu avec une technologie performante qui garde une sensation de fraîcheur, même en plein été.</t>
        </is>
      </c>
      <c r="G1452" s="19" t="inlineStr">
        <is>
          <t>https://www.levi.com/FR/fr_FR/vetements/vetements-homme-levis/polo-housemark-grandes-tailles/p/869980003</t>
        </is>
      </c>
      <c r="H1452" s="20" t="n">
        <v>6971</v>
      </c>
      <c r="I1452" s="20" t="n">
        <v>31</v>
      </c>
      <c r="J1452" s="21">
        <f>IF(H1452=0,0,I1452/H1452)</f>
        <v/>
      </c>
    </row>
    <row r="1453">
      <c r="A1453" s="17" t="inlineStr">
        <is>
          <t>Levi's</t>
        </is>
      </c>
      <c r="B1453" s="17" t="inlineStr">
        <is>
          <t>Live</t>
        </is>
      </c>
      <c r="C1453" s="17" t="inlineStr">
        <is>
          <t>Levis 2</t>
        </is>
      </c>
      <c r="D1453" s="17" t="inlineStr">
        <is>
          <t>Women's Clothing</t>
        </is>
      </c>
      <c r="E1453" s="18" t="inlineStr">
        <is>
          <t>Levi’s - Vêtements femme</t>
        </is>
      </c>
      <c r="F1453" s="17" t="inlineStr">
        <is>
          <t>Ce T-shirt femme joue un col rond classique et très doux et le logo emblématique Levi’s, dans un coton issu du programme Better Cotton Initiative.</t>
        </is>
      </c>
      <c r="G1453" s="19" t="inlineStr">
        <is>
          <t>https://click.linksynergy.com/deeplink?id=9i20SERoF44&amp;mid=53154&amp;murl=https%3A%2F%2Fwww.levi.com%2FFR%2Ffr_FR%2Fwomen%2Ft-shirt%2Fp%2F173690201</t>
        </is>
      </c>
      <c r="H1453" s="20" t="n">
        <v>6540</v>
      </c>
      <c r="I1453" s="20" t="n">
        <v>24</v>
      </c>
      <c r="J1453" s="21">
        <f>IF(H1453=0,0,I1453/H1453)</f>
        <v/>
      </c>
    </row>
    <row r="1454">
      <c r="A1454" s="17" t="inlineStr">
        <is>
          <t>Levi's</t>
        </is>
      </c>
      <c r="B1454" s="17" t="inlineStr">
        <is>
          <t>Live</t>
        </is>
      </c>
      <c r="C1454" s="17" t="inlineStr">
        <is>
          <t>Levis 2</t>
        </is>
      </c>
      <c r="D1454" s="17" t="inlineStr">
        <is>
          <t>Clothing and Accessories</t>
        </is>
      </c>
      <c r="E1454" s="18" t="inlineStr">
        <is>
          <t>Jean 314™ Galbant Straight (grandes Tailles) - Délavage</t>
        </is>
      </c>
      <c r="F1454" s="17" t="inlineStr">
        <is>
          <t>Son nom en dit long. Notre denim doux et confortable sculpte et galbe pour mettre vos formes en valeur. De plus, il est conçu avec un empiècement ventre plat innovant et une coupe</t>
        </is>
      </c>
      <c r="G1454" s="19" t="inlineStr">
        <is>
          <t>https://click.linksynergy.com/deeplink?id=9i20SERoF44&amp;mid=53154&amp;murl=https%3A%2F%2Fwww.levi.com%2FFR%2Ffr_FR%2Fvetements%2Ffemme%2Fjeans%2Fserie-300%2Fjean314-galbant-straight-grandes-tailles%2Fp%2F196410003</t>
        </is>
      </c>
      <c r="H1454" s="20" t="n">
        <v>6500</v>
      </c>
      <c r="I1454" s="20" t="n">
        <v>25</v>
      </c>
      <c r="J1454" s="21">
        <f>IF(H1454=0,0,I1454/H1454)</f>
        <v/>
      </c>
    </row>
    <row r="1455">
      <c r="A1455" s="17" t="inlineStr">
        <is>
          <t>Levi's</t>
        </is>
      </c>
      <c r="B1455" s="17" t="inlineStr">
        <is>
          <t>Live</t>
        </is>
      </c>
      <c r="C1455" s="17" t="inlineStr">
        <is>
          <t>Levis 2</t>
        </is>
      </c>
      <c r="D1455" s="17" t="inlineStr">
        <is>
          <t>Women's Clothing</t>
        </is>
      </c>
      <c r="E1455" s="18" t="inlineStr">
        <is>
          <t>Levi’s - Vêtements femme</t>
        </is>
      </c>
      <c r="F1455" s="17" t="inlineStr">
        <is>
          <t>La robe Mini Zip garde une coupe décontractée, une longueur courte au-dessus du genou et une fermeture zippée, la robe courte à enfiler vite.</t>
        </is>
      </c>
      <c r="G1455" s="19" t="inlineStr">
        <is>
          <t>https://www.levi.com/FR/fr_FR/vetements/femme/robes-salopettes/mini-zip-dress/p/0088V0003</t>
        </is>
      </c>
      <c r="H1455" s="20" t="n">
        <v>6246</v>
      </c>
      <c r="I1455" s="20" t="n">
        <v>16</v>
      </c>
      <c r="J1455" s="21">
        <f>IF(H1455=0,0,I1455/H1455)</f>
        <v/>
      </c>
    </row>
    <row r="1456">
      <c r="A1456" s="17" t="inlineStr">
        <is>
          <t>Levi's</t>
        </is>
      </c>
      <c r="B1456" s="17" t="inlineStr">
        <is>
          <t>Live</t>
        </is>
      </c>
      <c r="C1456" s="17" t="inlineStr">
        <is>
          <t>Levis 2</t>
        </is>
      </c>
      <c r="D1456" s="17" t="inlineStr">
        <is>
          <t>Clothing and Accessories</t>
        </is>
      </c>
      <c r="E1456" s="18" t="inlineStr">
        <is>
          <t>Jean 502™ Taper (grandes Tailles) - Délavage Clair |</t>
        </is>
      </c>
      <c r="F1456" s="17" t="inlineStr">
        <is>
          <t>Notre fit le plus facile à porter : le jean 502™ Taper. La coupe plus ajustée (mais assez ample pour être confortable) et la jambe fuselée offrent une alternative chic et moderne</t>
        </is>
      </c>
      <c r="G1456" s="19" t="inlineStr">
        <is>
          <t>https://click.linksynergy.com/deeplink?id=9i20SERoF44&amp;mid=53154&amp;murl=https%3A%2F%2Fwww.levi.com%2FFR%2Ffr_FR%2Fvetements%2Fvetements-homme-levis%2Fjeans%2Ffuseles%2Fjean502-taper-grandes-tailles%2Fp%2F596840169</t>
        </is>
      </c>
      <c r="H1456" s="20" t="n">
        <v>6077</v>
      </c>
      <c r="I1456" s="20" t="n">
        <v>20</v>
      </c>
      <c r="J1456" s="21">
        <f>IF(H1456=0,0,I1456/H1456)</f>
        <v/>
      </c>
    </row>
    <row r="1457">
      <c r="A1457" s="17" t="inlineStr">
        <is>
          <t>Levi's</t>
        </is>
      </c>
      <c r="B1457" s="17" t="inlineStr">
        <is>
          <t>Live</t>
        </is>
      </c>
      <c r="C1457" s="17" t="inlineStr">
        <is>
          <t>Levis 2</t>
        </is>
      </c>
      <c r="D1457" s="17" t="inlineStr">
        <is>
          <t>Clothing and Accessories</t>
        </is>
      </c>
      <c r="E1457" s="18" t="inlineStr">
        <is>
          <t>Sweat-shirt Vintage Boxy - Marron | Levi's® FR</t>
        </is>
      </c>
      <c r="F1457" s="17" t="inlineStr">
        <is>
          <t>Avec sa silhouette rétro, ce sweat-shirt Vintage Boxy est comme une super trouvaille dans une friperie, sans avoir à fouiller. De plus, il est en molleton doux brossé. Un</t>
        </is>
      </c>
      <c r="G1457" s="19" t="inlineStr">
        <is>
          <t>https://click.linksynergy.com/deeplink?id=9i20SERoF44&amp;mid=53154&amp;murl=https%3A%2F%2Fwww.levi.com%2FFR%2Ffr_FR%2Fvetements%2Ffemme%2Fpulls-sweats%2Fmolletons%2Fsweat-shirt-vintage-boxy%2Fp%2F005I90001</t>
        </is>
      </c>
      <c r="H1457" s="20" t="n">
        <v>6026</v>
      </c>
      <c r="I1457" s="20" t="n">
        <v>19</v>
      </c>
      <c r="J1457" s="21">
        <f>IF(H1457=0,0,I1457/H1457)</f>
        <v/>
      </c>
    </row>
    <row r="1458">
      <c r="A1458" s="17" t="inlineStr">
        <is>
          <t>Levi's</t>
        </is>
      </c>
      <c r="B1458" s="17" t="inlineStr">
        <is>
          <t>Live</t>
        </is>
      </c>
      <c r="C1458" s="17" t="inlineStr">
        <is>
          <t>Levis 2</t>
        </is>
      </c>
      <c r="D1458" s="17" t="inlineStr">
        <is>
          <t>Chemises et polos homme</t>
        </is>
      </c>
      <c r="E1458" s="18" t="inlineStr">
        <is>
          <t>Levi's Polo Housemark (Grandes Tailles) - Homme - Noir /</t>
        </is>
      </c>
      <c r="F1458" s="17" t="inlineStr">
        <is>
          <t>Un polo ordinaire, c’est impossible ! Conçu avec une technologie performante, vous aurez l’air frais (et le serez également) même par les journées les plus chaudes de l’été. Un</t>
        </is>
      </c>
      <c r="G1458" s="19" t="inlineStr">
        <is>
          <t>https://www.levi.com/FR/fr_FR/vetements/vetements-homme-levis/polo-housemark-grandes-tailles/p/869980003</t>
        </is>
      </c>
      <c r="H1458" s="20" t="n">
        <v>5969</v>
      </c>
      <c r="I1458" s="20" t="n">
        <v>30</v>
      </c>
      <c r="J1458" s="21">
        <f>IF(H1458=0,0,I1458/H1458)</f>
        <v/>
      </c>
    </row>
    <row r="1459">
      <c r="A1459" s="17" t="inlineStr">
        <is>
          <t>Levi's</t>
        </is>
      </c>
      <c r="B1459" s="17" t="inlineStr">
        <is>
          <t>Live</t>
        </is>
      </c>
      <c r="C1459" s="17" t="inlineStr">
        <is>
          <t>Levis 2</t>
        </is>
      </c>
      <c r="D1459" s="17" t="inlineStr">
        <is>
          <t>Jupes et robes femme</t>
        </is>
      </c>
      <c r="E1459" s="18" t="inlineStr">
        <is>
          <t>Levi's Robe Chemise Mi Longue Denim - Femme - Bleu /</t>
        </is>
      </c>
      <c r="F1459" s="17" t="inlineStr">
        <is>
          <t>Nous avons repris la chemise denim classique pour créer cette robe-chemise mi-longue Denim. Ce modèle a deux poches poitrine, deux poches sur le côté, boutonnage devant et une</t>
        </is>
      </c>
      <c r="G1459" s="19" t="inlineStr">
        <is>
          <t>https://www.levi.com/FR/fr_FR/unidays-it/robe-chemise-mi-longue-denim/p/0002Q0000</t>
        </is>
      </c>
      <c r="H1459" s="20" t="n">
        <v>5583</v>
      </c>
      <c r="I1459" s="20" t="n">
        <v>29</v>
      </c>
      <c r="J1459" s="21">
        <f>IF(H1459=0,0,I1459/H1459)</f>
        <v/>
      </c>
    </row>
    <row r="1460">
      <c r="A1460" s="17" t="inlineStr">
        <is>
          <t>Levi's</t>
        </is>
      </c>
      <c r="B1460" s="17" t="inlineStr">
        <is>
          <t>Live</t>
        </is>
      </c>
      <c r="C1460" s="17" t="inlineStr">
        <is>
          <t>Levis 2</t>
        </is>
      </c>
      <c r="D1460" s="17" t="inlineStr">
        <is>
          <t>Chemises et polos homme</t>
        </is>
      </c>
      <c r="E1460" s="18" t="inlineStr">
        <is>
          <t>Levi's Chemise Col Boutonné Authentic - Homme - Beige /</t>
        </is>
      </c>
      <c r="F1460" s="17" t="inlineStr">
        <is>
          <t>Nos denims et chemises vont parfaitement ensemble, et cette chemise à col américain (col boutonné) Authentic est un bon exemple. Nous la proposons dans un fit relaxed et casual</t>
        </is>
      </c>
      <c r="G1460" s="19" t="inlineStr">
        <is>
          <t>https://www.levi.com/FR/fr_FR/vetements/vetements-homme-levis/chemise-col-boutonne-authentic/p/A72100060</t>
        </is>
      </c>
      <c r="H1460" s="20" t="n">
        <v>5559</v>
      </c>
      <c r="I1460" s="20" t="n">
        <v>26</v>
      </c>
      <c r="J1460" s="21">
        <f>IF(H1460=0,0,I1460/H1460)</f>
        <v/>
      </c>
    </row>
    <row r="1461">
      <c r="A1461" s="17" t="inlineStr">
        <is>
          <t>Levi's</t>
        </is>
      </c>
      <c r="B1461" s="17" t="inlineStr">
        <is>
          <t>Live</t>
        </is>
      </c>
      <c r="C1461" s="17" t="inlineStr">
        <is>
          <t>Levis 2</t>
        </is>
      </c>
      <c r="D1461" s="17" t="inlineStr">
        <is>
          <t>Hauts et T-shirts femme</t>
        </is>
      </c>
      <c r="E1461" s="18" t="inlineStr">
        <is>
          <t>Audra Seamed Top - Délavage Moyen | Levi's® FR</t>
        </is>
      </c>
      <c r="F1461" s="17" t="inlineStr">
        <is>
          <t>Denim retouché. Flatteur, notre haut Audra Seamed a des surpiqûres qui définissent sa forme et ajoutent de la structure, une patte de boutonnage devant. Haut à la coupe flatteuse</t>
        </is>
      </c>
      <c r="G1461" s="19" t="inlineStr">
        <is>
          <t>https://click.linksynergy.com/deeplink?id=9i20SERoF44&amp;mid=53154&amp;murl=https%3A%2F%2Fwww.levi.com%2FFR%2Ffr_FR%2Fshop-all%2Faudra-seamed-top%2Fp%2F007WM0000</t>
        </is>
      </c>
      <c r="H1461" s="20" t="n">
        <v>5454</v>
      </c>
      <c r="I1461" s="20" t="n">
        <v>21</v>
      </c>
      <c r="J1461" s="21">
        <f>IF(H1461=0,0,I1461/H1461)</f>
        <v/>
      </c>
    </row>
    <row r="1462">
      <c r="A1462" s="17" t="inlineStr">
        <is>
          <t>Levi's</t>
        </is>
      </c>
      <c r="B1462" s="17" t="inlineStr">
        <is>
          <t>Live</t>
        </is>
      </c>
      <c r="C1462" s="17" t="inlineStr">
        <is>
          <t>Levis 2</t>
        </is>
      </c>
      <c r="D1462" s="17" t="inlineStr">
        <is>
          <t>Jupes et robes femme</t>
        </is>
      </c>
      <c r="E1462" s="18" t="inlineStr">
        <is>
          <t>Levi's Mini Zip Dress - Femme - Medium Wash / Not The Same</t>
        </is>
      </c>
      <c r="F1462" s="17" t="inlineStr">
        <is>
          <t>Votre robe courte incontournable. Pratique et casual, notre robe Mini Zip a une coupe décontractée juste comme il faut, une longueur courte, au-dessus du genou, et se ferme par un</t>
        </is>
      </c>
      <c r="G1462" s="19" t="inlineStr">
        <is>
          <t>https://www.levi.com/FR/fr_FR/vetements/femme/robes-salopettes/mini-zip-dress/p/0088V0003</t>
        </is>
      </c>
      <c r="H1462" s="20" t="n">
        <v>5418</v>
      </c>
      <c r="I1462" s="20" t="n">
        <v>24</v>
      </c>
      <c r="J1462" s="21">
        <f>IF(H1462=0,0,I1462/H1462)</f>
        <v/>
      </c>
    </row>
    <row r="1463">
      <c r="A1463" s="17" t="inlineStr">
        <is>
          <t>Levi's</t>
        </is>
      </c>
      <c r="B1463" s="17" t="inlineStr">
        <is>
          <t>Live</t>
        </is>
      </c>
      <c r="C1463" s="17" t="inlineStr">
        <is>
          <t>Levis 2</t>
        </is>
      </c>
      <c r="D1463" s="17" t="inlineStr">
        <is>
          <t>Clothing and Accessories</t>
        </is>
      </c>
      <c r="E1463" s="18" t="inlineStr">
        <is>
          <t>Polo Housemark (grandes tailles) | Levi's® FR</t>
        </is>
      </c>
      <c r="F1463" s="17" t="inlineStr">
        <is>
          <t>Le polo Housemark en grandes tailles : logo Levi's brodé sur la poitrine et maille piquée confortable pour tous les jours.</t>
        </is>
      </c>
      <c r="G1463" s="19" t="inlineStr">
        <is>
          <t>https://click.linksynergy.com/deeplink?id=9i20SERoF44&amp;mid=53154&amp;murl=https%3A%2F%2Fwww.levi.com%2FFR%2Ffr_FR%2Fshop-all%2Fpolo-housemark-grandes-tailles%2Fp%2F869980003</t>
        </is>
      </c>
      <c r="H1463" s="20" t="n">
        <v>5332</v>
      </c>
      <c r="I1463" s="20" t="n">
        <v>25</v>
      </c>
      <c r="J1463" s="21">
        <f>IF(H1463=0,0,I1463/H1463)</f>
        <v/>
      </c>
    </row>
    <row r="1464">
      <c r="A1464" s="17" t="inlineStr">
        <is>
          <t>Levi's</t>
        </is>
      </c>
      <c r="B1464" s="17" t="inlineStr">
        <is>
          <t>Live</t>
        </is>
      </c>
      <c r="C1464" s="17" t="inlineStr">
        <is>
          <t>Levis 2</t>
        </is>
      </c>
      <c r="D1464" s="17" t="inlineStr">
        <is>
          <t>Clothing and Accessories</t>
        </is>
      </c>
      <c r="E1464" s="18" t="inlineStr">
        <is>
          <t>Levi’s - Mode homme, femme et enfant</t>
        </is>
      </c>
      <c r="F1464" s="17" t="inlineStr">
        <is>
          <t>La jupe High-Rise Back Slit souligne la taille, garde un fit slim et ouvre une fente dans le dos, l’allure vintage sans retourner les friperies.</t>
        </is>
      </c>
      <c r="G1464" s="19" t="inlineStr">
        <is>
          <t>https://www.levi.com/FR/fr_FR/unidays-it/jupe-taille-haute-fente-arriere/p/001VH0006</t>
        </is>
      </c>
      <c r="H1464" s="20" t="n">
        <v>4894</v>
      </c>
      <c r="I1464" s="20" t="n">
        <v>26</v>
      </c>
      <c r="J1464" s="21">
        <f>IF(H1464=0,0,I1464/H1464)</f>
        <v/>
      </c>
    </row>
    <row r="1465">
      <c r="A1465" s="17" t="inlineStr">
        <is>
          <t>Levi's</t>
        </is>
      </c>
      <c r="B1465" s="17" t="inlineStr">
        <is>
          <t>Live</t>
        </is>
      </c>
      <c r="C1465" s="17" t="inlineStr">
        <is>
          <t>Levis 2</t>
        </is>
      </c>
      <c r="D1465" s="17" t="inlineStr">
        <is>
          <t>Jeans femme</t>
        </is>
      </c>
      <c r="E1465" s="18" t="inlineStr">
        <is>
          <t>Jean 314™ Galbant Straight (grandes Tailles) - Délavage</t>
        </is>
      </c>
      <c r="F1465" s="17" t="inlineStr">
        <is>
          <t>Son nom en dit long. Notre denim doux et confortable sculpte et galbe pour mettre vos formes en valeur. De plus, il est conçu avec un empiècement ventre plat innovant et une coupe</t>
        </is>
      </c>
      <c r="G1465" s="19" t="inlineStr">
        <is>
          <t>https://click.linksynergy.com/deeplink?id=9i20SERoF44&amp;mid=53154&amp;murl=https%3A%2F%2Fwww.levi.com%2FFR%2Ffr_FR%2Fvetements%2Ffemme%2Fjeans%2Fserie-300%2Fjean314-galbant-straight-grandes-tailles%2Fp%2F196410003</t>
        </is>
      </c>
      <c r="H1465" s="20" t="n">
        <v>4805</v>
      </c>
      <c r="I1465" s="20" t="n">
        <v>14</v>
      </c>
      <c r="J1465" s="21">
        <f>IF(H1465=0,0,I1465/H1465)</f>
        <v/>
      </c>
    </row>
    <row r="1466">
      <c r="A1466" s="17" t="inlineStr">
        <is>
          <t>Levi's</t>
        </is>
      </c>
      <c r="B1466" s="17" t="inlineStr">
        <is>
          <t>Live</t>
        </is>
      </c>
      <c r="C1466" s="17" t="inlineStr">
        <is>
          <t>Levis 2</t>
        </is>
      </c>
      <c r="D1466" s="17" t="inlineStr">
        <is>
          <t>Clothing and Accessories</t>
        </is>
      </c>
      <c r="E1466" s="18" t="inlineStr">
        <is>
          <t>Levi’s - Mode homme, femme et enfant</t>
        </is>
      </c>
      <c r="F1466" s="17" t="inlineStr">
        <is>
          <t>La robe Mini Zip garde une coupe décontractée, une longueur courte au-dessus du genou et une fermeture zippée, la robe courte à enfiler vite.</t>
        </is>
      </c>
      <c r="G1466" s="19" t="inlineStr">
        <is>
          <t>https://www.levi.com/FR/fr_FR/vetements/femme/robes-salopettes/mini-zip-dress/p/0088V0003</t>
        </is>
      </c>
      <c r="H1466" s="20" t="n">
        <v>4799</v>
      </c>
      <c r="I1466" s="20" t="n">
        <v>34</v>
      </c>
      <c r="J1466" s="21">
        <f>IF(H1466=0,0,I1466/H1466)</f>
        <v/>
      </c>
    </row>
    <row r="1467">
      <c r="A1467" s="17" t="inlineStr">
        <is>
          <t>Levi's</t>
        </is>
      </c>
      <c r="B1467" s="17" t="inlineStr">
        <is>
          <t>Live</t>
        </is>
      </c>
      <c r="C1467" s="17" t="inlineStr">
        <is>
          <t>Levis 2</t>
        </is>
      </c>
      <c r="D1467" s="17" t="inlineStr">
        <is>
          <t>Men's Clothing</t>
        </is>
      </c>
      <c r="E1467" s="18" t="inlineStr">
        <is>
          <t>Levi’s - Vêtements homme</t>
        </is>
      </c>
      <c r="F1467" s="17" t="inlineStr">
        <is>
          <t>La chemise Authentic joue le col américain boutonné et un fit relaxed et casual, celle qui se porte sur un denim du matin au soir.</t>
        </is>
      </c>
      <c r="G1467" s="19" t="inlineStr">
        <is>
          <t>https://www.levi.com/FR/fr_FR/vetements/vetements-homme-levis/chemise-col-boutonne-authentic/p/A72100060</t>
        </is>
      </c>
      <c r="H1467" s="20" t="n">
        <v>4679</v>
      </c>
      <c r="I1467" s="20" t="n">
        <v>13</v>
      </c>
      <c r="J1467" s="21">
        <f>IF(H1467=0,0,I1467/H1467)</f>
        <v/>
      </c>
    </row>
    <row r="1468">
      <c r="A1468" s="17" t="inlineStr">
        <is>
          <t>Levi's</t>
        </is>
      </c>
      <c r="B1468" s="17" t="inlineStr">
        <is>
          <t>Live</t>
        </is>
      </c>
      <c r="C1468" s="17" t="inlineStr">
        <is>
          <t>Levis 2</t>
        </is>
      </c>
      <c r="D1468" s="17" t="inlineStr">
        <is>
          <t>Men's Clothing</t>
        </is>
      </c>
      <c r="E1468" s="18" t="inlineStr">
        <is>
          <t>Levi’s - Vêtements homme</t>
        </is>
      </c>
      <c r="F1468" s="17" t="inlineStr">
        <is>
          <t>Le 501 Original garde la jambe droite classique et le style emblématique qui ont fait de ce jean le modèle de référence de tous les autres, ici en gris.</t>
        </is>
      </c>
      <c r="G1468" s="19" t="inlineStr">
        <is>
          <t>https://click.linksynergy.com/deeplink?id=9i20SERoF44&amp;mid=53154&amp;murl=https%3A%2F%2Fwww.levi.com%2FFR%2Ffr_FR%2Fvetements%2Fvetements-homme-levis%2Fjeans%2Fdroits%2Flevis-jean501-original%2Fp%2F005013496</t>
        </is>
      </c>
      <c r="H1468" s="20" t="n">
        <v>4598</v>
      </c>
      <c r="I1468" s="20" t="n">
        <v>25</v>
      </c>
      <c r="J1468" s="21">
        <f>IF(H1468=0,0,I1468/H1468)</f>
        <v/>
      </c>
    </row>
    <row r="1469">
      <c r="A1469" s="17" t="inlineStr">
        <is>
          <t>Levi's</t>
        </is>
      </c>
      <c r="B1469" s="17" t="inlineStr">
        <is>
          <t>Live</t>
        </is>
      </c>
      <c r="C1469" s="17" t="inlineStr">
        <is>
          <t>Levis 2</t>
        </is>
      </c>
      <c r="D1469" s="17" t="inlineStr">
        <is>
          <t>Clothing and Accessories</t>
        </is>
      </c>
      <c r="E1469" s="18" t="inlineStr">
        <is>
          <t>Audra Seamed Top - Délavage Moyen | Levi's® FR</t>
        </is>
      </c>
      <c r="F1469" s="17" t="inlineStr">
        <is>
          <t>Denim retouché. Flatteur, notre haut Audra Seamed a des surpiqûres qui définissent sa forme et ajoutent de la structure, une patte de boutonnage devant. Haut à la coupe flatteuse</t>
        </is>
      </c>
      <c r="G1469" s="19" t="inlineStr">
        <is>
          <t>https://click.linksynergy.com/deeplink?id=9i20SERoF44&amp;mid=53154&amp;murl=https%3A%2F%2Fwww.levi.com%2FFR%2Ffr_FR%2Fshop-all%2Faudra-seamed-top%2Fp%2F007WM0000</t>
        </is>
      </c>
      <c r="H1469" s="20" t="n">
        <v>4578</v>
      </c>
      <c r="I1469" s="20" t="n">
        <v>21</v>
      </c>
      <c r="J1469" s="21">
        <f>IF(H1469=0,0,I1469/H1469)</f>
        <v/>
      </c>
    </row>
    <row r="1470">
      <c r="A1470" s="17" t="inlineStr">
        <is>
          <t>Levi's</t>
        </is>
      </c>
      <c r="B1470" s="17" t="inlineStr">
        <is>
          <t>Live</t>
        </is>
      </c>
      <c r="C1470" s="17" t="inlineStr">
        <is>
          <t>Levis 2</t>
        </is>
      </c>
      <c r="D1470" s="17" t="inlineStr">
        <is>
          <t>Hauts et T-shirts femme</t>
        </is>
      </c>
      <c r="E1470" s="18" t="inlineStr">
        <is>
          <t>Sweat-shirt Vintage Boxy - Marron | Levi's® FR</t>
        </is>
      </c>
      <c r="F1470" s="17" t="inlineStr">
        <is>
          <t>Avec sa silhouette rétro, ce sweat-shirt Vintage Boxy est comme une super trouvaille dans une friperie, sans avoir à fouiller. De plus, il est en molleton doux brossé. Un</t>
        </is>
      </c>
      <c r="G1470" s="19" t="inlineStr">
        <is>
          <t>https://click.linksynergy.com/deeplink?id=9i20SERoF44&amp;mid=53154&amp;murl=https%3A%2F%2Fwww.levi.com%2FFR%2Ffr_FR%2Fvetements%2Ffemme%2Fpulls-sweats%2Fmolletons%2Fsweat-shirt-vintage-boxy%2Fp%2F005I90001</t>
        </is>
      </c>
      <c r="H1470" s="20" t="n">
        <v>4552</v>
      </c>
      <c r="I1470" s="20" t="n">
        <v>25</v>
      </c>
      <c r="J1470" s="21">
        <f>IF(H1470=0,0,I1470/H1470)</f>
        <v/>
      </c>
    </row>
    <row r="1471">
      <c r="A1471" s="17" t="inlineStr">
        <is>
          <t>Levi's</t>
        </is>
      </c>
      <c r="B1471" s="17" t="inlineStr">
        <is>
          <t>Live</t>
        </is>
      </c>
      <c r="C1471" s="17" t="inlineStr">
        <is>
          <t>Levis 2</t>
        </is>
      </c>
      <c r="D1471" s="17" t="inlineStr">
        <is>
          <t>Vestes et sweats</t>
        </is>
      </c>
      <c r="E1471" s="18" t="inlineStr">
        <is>
          <t>Levi's Sweat Shirt Vintage Boxy - Femme - Marron / Pine</t>
        </is>
      </c>
      <c r="F1471" s="17" t="inlineStr">
        <is>
          <t>Avec sa silhouette rétro, ce sweat-shirt Vintage Boxy est comme une super trouvaille dans une friperie, sans avoir à fouiller. De plus, il est en molleton doux brossé. Un</t>
        </is>
      </c>
      <c r="G1471" s="19" t="inlineStr">
        <is>
          <t>https://www.levi.com/FR/fr_FR/vetements/femme/sweaters-sweatshirts/molletons/sweat-shirt-vintage-boxy/p/005I90001</t>
        </is>
      </c>
      <c r="H1471" s="20" t="n">
        <v>4455</v>
      </c>
      <c r="I1471" s="20" t="n">
        <v>22</v>
      </c>
      <c r="J1471" s="21">
        <f>IF(H1471=0,0,I1471/H1471)</f>
        <v/>
      </c>
    </row>
    <row r="1472">
      <c r="A1472" s="17" t="inlineStr">
        <is>
          <t>Levi's</t>
        </is>
      </c>
      <c r="B1472" s="17" t="inlineStr">
        <is>
          <t>Live</t>
        </is>
      </c>
      <c r="C1472" s="17" t="inlineStr">
        <is>
          <t>Levis 2</t>
        </is>
      </c>
      <c r="D1472" s="17" t="inlineStr">
        <is>
          <t>Chemises et polos homme</t>
        </is>
      </c>
      <c r="E1472" s="18" t="inlineStr">
        <is>
          <t>Levi's® Vintage Clothing Chemise Shorthorn Sawtooth - Homme</t>
        </is>
      </c>
      <c r="F1472" s="17" t="inlineStr">
        <is>
          <t>La collection Levi's® Vintage Clothing reproduit les fits, les matières et les détails d’une époque révolue. Notre inspiration provient de nos propres archives et des</t>
        </is>
      </c>
      <c r="G1472" s="19" t="inlineStr">
        <is>
          <t>https://www.levi.com/FR/fr_FR/tops-t-shirts/levis-vintage-clothing-chemise-shorthorn-sawtooth/p/001L70002</t>
        </is>
      </c>
      <c r="H1472" s="20" t="n">
        <v>4418</v>
      </c>
      <c r="I1472" s="20" t="n">
        <v>18</v>
      </c>
      <c r="J1472" s="21">
        <f>IF(H1472=0,0,I1472/H1472)</f>
        <v/>
      </c>
    </row>
    <row r="1473">
      <c r="A1473" s="17" t="inlineStr">
        <is>
          <t>Levi's</t>
        </is>
      </c>
      <c r="B1473" s="17" t="inlineStr">
        <is>
          <t>Live</t>
        </is>
      </c>
      <c r="C1473" s="17" t="inlineStr">
        <is>
          <t>Levis 2</t>
        </is>
      </c>
      <c r="D1473" s="17" t="inlineStr">
        <is>
          <t>Men's Clothing</t>
        </is>
      </c>
      <c r="E1473" s="18" t="inlineStr">
        <is>
          <t>Levi’s - Vêtements homme</t>
        </is>
      </c>
      <c r="F1473" s="17" t="inlineStr">
        <is>
          <t>Le XX Chino standard fuselé est plus doux qu’un khaki, avec juste ce qu’il faut de stretch et une coupe un peu plus ample que le Slim Taper.</t>
        </is>
      </c>
      <c r="G1473" s="19" t="inlineStr">
        <is>
          <t>https://click.linksynergy.com/deeplink?id=9i20SERoF44&amp;mid=53154&amp;murl=https%3A%2F%2Fwww.levi.com%2FFR%2Ffr_FR%2Fvetements%2Fvetements-homme-levis%2Fpantalons%2Fchino%2Fpantalon-xx-chino-standard-fusele-grandes-tailles%2Fp%2F394470000</t>
        </is>
      </c>
      <c r="H1473" s="20" t="n">
        <v>4393</v>
      </c>
      <c r="I1473" s="20" t="n">
        <v>14</v>
      </c>
      <c r="J1473" s="21">
        <f>IF(H1473=0,0,I1473/H1473)</f>
        <v/>
      </c>
    </row>
    <row r="1474">
      <c r="A1474" s="17" t="inlineStr">
        <is>
          <t>Levi's</t>
        </is>
      </c>
      <c r="B1474" s="17" t="inlineStr">
        <is>
          <t>Live</t>
        </is>
      </c>
      <c r="C1474" s="17" t="inlineStr">
        <is>
          <t>Levis 2</t>
        </is>
      </c>
      <c r="D1474" s="17" t="inlineStr">
        <is>
          <t>Hauts et T-shirts femme</t>
        </is>
      </c>
      <c r="E1474" s="18" t="inlineStr">
        <is>
          <t>T-shirt Relaxed - Bleu | Levi's® FR</t>
        </is>
      </c>
      <c r="F1474" s="17" t="inlineStr">
        <is>
          <t>Un jean et un t-shirt—citez-nous un duo plus emblématique, on risque d’attendre longtemps. Confortable, ce t-shirt graphique manche courte Relaxed est rehaussé d’un graphique</t>
        </is>
      </c>
      <c r="G1474" s="19" t="inlineStr">
        <is>
          <t>https://click.linksynergy.com/deeplink?id=9i20SERoF44&amp;mid=53154&amp;murl=https%3A%2F%2Fwww.levi.com%2FFR%2Ffr_FR%2Fshop-all%2Ft-shirt-relaxed%2Fp%2FA20820409</t>
        </is>
      </c>
      <c r="H1474" s="20" t="n">
        <v>4293</v>
      </c>
      <c r="I1474" s="20" t="n">
        <v>18</v>
      </c>
      <c r="J1474" s="21">
        <f>IF(H1474=0,0,I1474/H1474)</f>
        <v/>
      </c>
    </row>
    <row r="1475">
      <c r="A1475" s="17" t="inlineStr">
        <is>
          <t>Levi's</t>
        </is>
      </c>
      <c r="B1475" s="17" t="inlineStr">
        <is>
          <t>Live</t>
        </is>
      </c>
      <c r="C1475" s="17" t="inlineStr">
        <is>
          <t>Levis 2</t>
        </is>
      </c>
      <c r="D1475" s="17" t="inlineStr">
        <is>
          <t>Hauts et T-shirts femme</t>
        </is>
      </c>
      <c r="E1475" s="18" t="inlineStr">
        <is>
          <t>Polo Housemark (grandes tailles) | Levi's® FR</t>
        </is>
      </c>
      <c r="F1475" s="17" t="inlineStr">
        <is>
          <t>Le polo Housemark en grandes tailles : logo Levi's brodé sur la poitrine et maille piquée confortable pour tous les jours.</t>
        </is>
      </c>
      <c r="G1475" s="19" t="inlineStr">
        <is>
          <t>https://click.linksynergy.com/deeplink?id=9i20SERoF44&amp;mid=53154&amp;murl=https%3A%2F%2Fwww.levi.com%2FFR%2Ffr_FR%2Fshop-all%2Fpolo-housemark-grandes-tailles%2Fp%2F869980003</t>
        </is>
      </c>
      <c r="H1475" s="20" t="n">
        <v>4229</v>
      </c>
      <c r="I1475" s="20" t="n">
        <v>23</v>
      </c>
      <c r="J1475" s="21">
        <f>IF(H1475=0,0,I1475/H1475)</f>
        <v/>
      </c>
    </row>
    <row r="1476">
      <c r="A1476" s="17" t="inlineStr">
        <is>
          <t>Levi's</t>
        </is>
      </c>
      <c r="B1476" s="17" t="inlineStr">
        <is>
          <t>Live</t>
        </is>
      </c>
      <c r="C1476" s="17" t="inlineStr">
        <is>
          <t>Levis 2</t>
        </is>
      </c>
      <c r="D1476" s="17" t="inlineStr">
        <is>
          <t>Clothing and Accessories</t>
        </is>
      </c>
      <c r="E1476" s="18" t="inlineStr">
        <is>
          <t>T-shirt Vintage Red Tab™ - Bleu | Levi's® FR</t>
        </is>
      </c>
      <c r="F1476" s="17" t="inlineStr">
        <is>
          <t>Nous avons trouvé cet article Levi's® dans une boutique vintage et avons eu un tel coup de cœur que nous avons décidé de le ressortir au goût du jour. Avec son jersey 100 % coton</t>
        </is>
      </c>
      <c r="G1476" s="19" t="inlineStr">
        <is>
          <t>https://click.linksynergy.com/deeplink?id=9i20SERoF44&amp;mid=53154&amp;murl=https%3A%2F%2Fwww.levi.com%2FFR%2Ffr_FR%2Fshop-all%2Ft-shirt-vintage-red-tab%2Fp%2FA06370058</t>
        </is>
      </c>
      <c r="H1476" s="20" t="n">
        <v>4164</v>
      </c>
      <c r="I1476" s="20" t="n">
        <v>34</v>
      </c>
      <c r="J1476" s="21">
        <f>IF(H1476=0,0,I1476/H1476)</f>
        <v/>
      </c>
    </row>
    <row r="1477">
      <c r="A1477" s="17" t="inlineStr">
        <is>
          <t>Levi's</t>
        </is>
      </c>
      <c r="B1477" s="17" t="inlineStr">
        <is>
          <t>Live</t>
        </is>
      </c>
      <c r="C1477" s="17" t="inlineStr">
        <is>
          <t>Levis 2</t>
        </is>
      </c>
      <c r="D1477" s="17" t="inlineStr">
        <is>
          <t>Vestes et sweats</t>
        </is>
      </c>
      <c r="E1477" s="18" t="inlineStr">
        <is>
          <t>Levi's Veste Trucker Original - Femme - Bleu / Authentic</t>
        </is>
      </c>
      <c r="F1477" s="17" t="inlineStr">
        <is>
          <t>Une veste en jean classique qui a résisté à l’épreuve du temps Une toile vierge pour l’expression de soi Un essentiel polyvalent qui complétera toutes vos tenues Nous nous</t>
        </is>
      </c>
      <c r="G1477" s="19" t="inlineStr">
        <is>
          <t>https://www.levi.com/FR/fr_FR/vetements/unisexe/vetements-dexterieur/blousons-en-denim-et-camionneurs/veste-trucker-original/p/299450036</t>
        </is>
      </c>
      <c r="H1477" s="20" t="n">
        <v>4084</v>
      </c>
      <c r="I1477" s="20" t="n">
        <v>25</v>
      </c>
      <c r="J1477" s="21">
        <f>IF(H1477=0,0,I1477/H1477)</f>
        <v/>
      </c>
    </row>
    <row r="1478">
      <c r="A1478" s="17" t="inlineStr">
        <is>
          <t>Levi's</t>
        </is>
      </c>
      <c r="B1478" s="17" t="inlineStr">
        <is>
          <t>Live</t>
        </is>
      </c>
      <c r="C1478" s="17" t="inlineStr">
        <is>
          <t>Levis 2</t>
        </is>
      </c>
      <c r="D1478" s="17" t="inlineStr">
        <is>
          <t>Hauts et T-shirts femme</t>
        </is>
      </c>
      <c r="E1478" s="18" t="inlineStr">
        <is>
          <t>T-shirt - Noir | Levi's® FR</t>
        </is>
      </c>
      <c r="F1478" s="17" t="inlineStr">
        <is>
          <t>Un col rond classique et très doux qui se porte avec toutAvec notre logo emblématiqueNous nous associons à l’organisation Better Cotton Initiative pour améliorer la culture du</t>
        </is>
      </c>
      <c r="G1478" s="19" t="inlineStr">
        <is>
          <t>https://click.linksynergy.com/deeplink?id=9i20SERoF44&amp;mid=53154&amp;murl=https%3A%2F%2Fwww.levi.com%2FFR%2Ffr_FR%2Fwomen%2Ft-shirt%2Fp%2F173690201</t>
        </is>
      </c>
      <c r="H1478" s="20" t="n">
        <v>3992</v>
      </c>
      <c r="I1478" s="20" t="n">
        <v>24</v>
      </c>
      <c r="J1478" s="21">
        <f>IF(H1478=0,0,I1478/H1478)</f>
        <v/>
      </c>
    </row>
    <row r="1479">
      <c r="A1479" s="17" t="inlineStr">
        <is>
          <t>Levi's</t>
        </is>
      </c>
      <c r="B1479" s="17" t="inlineStr">
        <is>
          <t>Live</t>
        </is>
      </c>
      <c r="C1479" s="17" t="inlineStr">
        <is>
          <t>Levis 2</t>
        </is>
      </c>
      <c r="D1479" s="17" t="inlineStr">
        <is>
          <t>Jeans femme</t>
        </is>
      </c>
      <c r="E1479" s="18" t="inlineStr">
        <is>
          <t>Jean 311™ Galbant Skinny - Taille Mi-Haute | Levi's® FR</t>
        </is>
      </c>
      <c r="F1479" s="17" t="inlineStr">
        <is>
          <t>Le jean 311™ Galbant Skinny sculpte la silhouette : taille mi-haute et denim extensible qui garde sa forme toute la journée.</t>
        </is>
      </c>
      <c r="G1479" s="19" t="inlineStr">
        <is>
          <t>https://click.linksynergy.com/deeplink?id=9i20SERoF44&amp;mid=53154&amp;murl=https%3A%2F%2Fwww.levi.com%2FFR%2Ffr_FR%2Fvetements%2Ffemme%2Fjeans%2Ftaille-mi-haute%2Fjean-311-galbant-skinny%2Fp%2F196260262</t>
        </is>
      </c>
      <c r="H1479" s="20" t="n">
        <v>3908</v>
      </c>
      <c r="I1479" s="20" t="n">
        <v>19</v>
      </c>
      <c r="J1479" s="21">
        <f>IF(H1479=0,0,I1479/H1479)</f>
        <v/>
      </c>
    </row>
    <row r="1480">
      <c r="A1480" s="17" t="inlineStr">
        <is>
          <t>Levi's</t>
        </is>
      </c>
      <c r="B1480" s="17" t="inlineStr">
        <is>
          <t>Live</t>
        </is>
      </c>
      <c r="C1480" s="17" t="inlineStr">
        <is>
          <t>Levis 2</t>
        </is>
      </c>
      <c r="D1480" s="17" t="inlineStr">
        <is>
          <t>Jeans femme</t>
        </is>
      </c>
      <c r="E1480" s="18" t="inlineStr">
        <is>
          <t>Jean Xl Straight - Noir | Levi's® FR</t>
        </is>
      </c>
      <c r="F1480" s="17" t="inlineStr">
        <is>
          <t>Nous avons opté pour une coupe baggy oversize, une jambe droite plus large et une taille réglable pour créer ce pantalon XL Straight. Enfin, nous avons ajouté une ceinture</t>
        </is>
      </c>
      <c r="G1480" s="19" t="inlineStr">
        <is>
          <t>https://click.linksynergy.com/deeplink?id=9i20SERoF44&amp;mid=53154&amp;murl=https%3A%2F%2Fwww.levi.com%2FFR%2Ffr_FR%2Fvetements%2Ffemme%2Fjeans%2Floose%2Fjean-xl-straight%2Fp%2FA87010003</t>
        </is>
      </c>
      <c r="H1480" s="20" t="n">
        <v>3867</v>
      </c>
      <c r="I1480" s="20" t="n">
        <v>22</v>
      </c>
      <c r="J1480" s="21">
        <f>IF(H1480=0,0,I1480/H1480)</f>
        <v/>
      </c>
    </row>
    <row r="1481">
      <c r="A1481" s="17" t="inlineStr">
        <is>
          <t>Levi's</t>
        </is>
      </c>
      <c r="B1481" s="17" t="inlineStr">
        <is>
          <t>Live</t>
        </is>
      </c>
      <c r="C1481" s="17" t="inlineStr">
        <is>
          <t>Levis 2</t>
        </is>
      </c>
      <c r="D1481" s="17" t="inlineStr">
        <is>
          <t>Hauts et T-shirts femme</t>
        </is>
      </c>
      <c r="E1481" s="18" t="inlineStr">
        <is>
          <t>T-shirt Vintage Red Tab™ - Bleu | Levi's® FR</t>
        </is>
      </c>
      <c r="F1481" s="17" t="inlineStr">
        <is>
          <t>Nous avons trouvé cet article Levi's® dans une boutique vintage et avons eu un tel coup de cœur que nous avons décidé de le ressortir au goût du jour. Avec son jersey 100 % coton</t>
        </is>
      </c>
      <c r="G1481" s="19" t="inlineStr">
        <is>
          <t>https://click.linksynergy.com/deeplink?id=9i20SERoF44&amp;mid=53154&amp;murl=https%3A%2F%2Fwww.levi.com%2FFR%2Ffr_FR%2Fshop-all%2Ft-shirt-vintage-red-tab%2Fp%2FA06370058</t>
        </is>
      </c>
      <c r="H1481" s="20" t="n">
        <v>3856</v>
      </c>
      <c r="I1481" s="20" t="n">
        <v>16</v>
      </c>
      <c r="J1481" s="21">
        <f>IF(H1481=0,0,I1481/H1481)</f>
        <v/>
      </c>
    </row>
    <row r="1482">
      <c r="A1482" s="17" t="inlineStr">
        <is>
          <t>Levi's</t>
        </is>
      </c>
      <c r="B1482" s="17" t="inlineStr">
        <is>
          <t>Live</t>
        </is>
      </c>
      <c r="C1482" s="17" t="inlineStr">
        <is>
          <t>Levis 2</t>
        </is>
      </c>
      <c r="D1482" s="17" t="inlineStr">
        <is>
          <t>Men's Outerwear</t>
        </is>
      </c>
      <c r="E1482" s="18" t="inlineStr">
        <is>
          <t>Levi’s - Vestes en jean</t>
        </is>
      </c>
      <c r="F1482" s="17" t="inlineStr">
        <is>
          <t>La veste Trucker Original de Levi’s reprend la coupe en toile de jean qui traverse les modes, et se porte ouverte comme fermée, saison après saison.</t>
        </is>
      </c>
      <c r="G1482" s="19" t="inlineStr">
        <is>
          <t>https://www.levi.com/FR/fr_FR/vetements/unisexe/vetements-dexterieur/blousons-en-denim-et-camionneurs/veste-trucker-original/p/299450036</t>
        </is>
      </c>
      <c r="H1482" s="20" t="n">
        <v>3841</v>
      </c>
      <c r="I1482" s="20" t="n">
        <v>11</v>
      </c>
      <c r="J1482" s="21">
        <f>IF(H1482=0,0,I1482/H1482)</f>
        <v/>
      </c>
    </row>
    <row r="1483">
      <c r="A1483" s="17" t="inlineStr">
        <is>
          <t>Levi's</t>
        </is>
      </c>
      <c r="B1483" s="17" t="inlineStr">
        <is>
          <t>Live</t>
        </is>
      </c>
      <c r="C1483" s="17" t="inlineStr">
        <is>
          <t>Levis 2</t>
        </is>
      </c>
      <c r="D1483" s="17" t="inlineStr">
        <is>
          <t>Clothing and Accessories</t>
        </is>
      </c>
      <c r="E1483" s="18" t="inlineStr">
        <is>
          <t>Levi's Short Carrier Cargo - Homme - Vert / Olive Night</t>
        </is>
      </c>
      <c r="F1483" s="17" t="inlineStr">
        <is>
          <t>Confortable et de style utilitaire, notre short Carrier Cargo possède des poches pour ranger vos affaires. Ce short au fit relaxed qui tombe sur la taille a tout pour être en haut</t>
        </is>
      </c>
      <c r="G1483" s="19" t="inlineStr">
        <is>
          <t>https://www.levi.com/FR/fr_FR/shop-all/short-carrier-cargo/p/001KG0013</t>
        </is>
      </c>
      <c r="H1483" s="20" t="n">
        <v>3804</v>
      </c>
      <c r="I1483" s="20" t="n">
        <v>13</v>
      </c>
      <c r="J1483" s="21">
        <f>IF(H1483=0,0,I1483/H1483)</f>
        <v/>
      </c>
    </row>
    <row r="1484">
      <c r="A1484" s="17" t="inlineStr">
        <is>
          <t>Levi's</t>
        </is>
      </c>
      <c r="B1484" s="17" t="inlineStr">
        <is>
          <t>Live</t>
        </is>
      </c>
      <c r="C1484" s="17" t="inlineStr">
        <is>
          <t>Levis 2</t>
        </is>
      </c>
      <c r="D1484" s="17" t="inlineStr">
        <is>
          <t>Jeans femme</t>
        </is>
      </c>
      <c r="E1484" s="18" t="inlineStr">
        <is>
          <t>Jean 721™ Taille Haute Skinny | Levi's® FR</t>
        </is>
      </c>
      <c r="F1484" s="17" t="inlineStr">
        <is>
          <t>Le jean 721™ skinny taille haute allonge la jambe avec un denim stretch ajusté du bassin à la cheville.</t>
        </is>
      </c>
      <c r="G1484" s="19" t="inlineStr">
        <is>
          <t>https://click.linksynergy.com/deeplink?id=9i20SERoF44&amp;mid=53154&amp;murl=https%3A%2F%2Fwww.levi.com%2FFR%2Ffr_FR%2Fvetements%2Ffemme%2Fjeans%2Fserie-700%2Fjean-721-taille-haute-skinny%2Fp%2F188820594</t>
        </is>
      </c>
      <c r="H1484" s="20" t="n">
        <v>3798</v>
      </c>
      <c r="I1484" s="20" t="n">
        <v>20</v>
      </c>
      <c r="J1484" s="21">
        <f>IF(H1484=0,0,I1484/H1484)</f>
        <v/>
      </c>
    </row>
    <row r="1485">
      <c r="A1485" s="17" t="inlineStr">
        <is>
          <t>Levi's</t>
        </is>
      </c>
      <c r="B1485" s="17" t="inlineStr">
        <is>
          <t>Live</t>
        </is>
      </c>
      <c r="C1485" s="17" t="inlineStr">
        <is>
          <t>Levis 2</t>
        </is>
      </c>
      <c r="D1485" s="17" t="inlineStr">
        <is>
          <t>Clothing and Accessories</t>
        </is>
      </c>
      <c r="E1485" s="18" t="inlineStr">
        <is>
          <t>Levi's Sweat Shirt Vintage Boxy - Femme - Marron / Pine</t>
        </is>
      </c>
      <c r="F1485" s="17" t="inlineStr">
        <is>
          <t>Avec sa silhouette rétro, ce sweat-shirt Vintage Boxy est comme une super trouvaille dans une friperie, sans avoir à fouiller. De plus, il est en molleton doux brossé. Un</t>
        </is>
      </c>
      <c r="G1485" s="19" t="inlineStr">
        <is>
          <t>https://www.levi.com/FR/fr_FR/vetements/femme/sweaters-sweatshirts/molletons/sweat-shirt-vintage-boxy/p/005I90001</t>
        </is>
      </c>
      <c r="H1485" s="20" t="n">
        <v>3787</v>
      </c>
      <c r="I1485" s="20" t="n">
        <v>22</v>
      </c>
      <c r="J1485" s="21">
        <f>IF(H1485=0,0,I1485/H1485)</f>
        <v/>
      </c>
    </row>
    <row r="1486">
      <c r="A1486" s="17" t="inlineStr">
        <is>
          <t>Levi's</t>
        </is>
      </c>
      <c r="B1486" s="17" t="inlineStr">
        <is>
          <t>Live</t>
        </is>
      </c>
      <c r="C1486" s="17" t="inlineStr">
        <is>
          <t>Levis 2</t>
        </is>
      </c>
      <c r="D1486" s="17" t="inlineStr">
        <is>
          <t>Clothing and Accessories</t>
        </is>
      </c>
      <c r="E1486" s="18" t="inlineStr">
        <is>
          <t>Levi’s - Mode homme, femme et enfant</t>
        </is>
      </c>
      <c r="F1486" s="17" t="inlineStr">
        <is>
          <t>Le polo Housemark en grandes tailles est conçu avec une technologie performante qui garde la sensation de frais même par les journées les plus chaudes.</t>
        </is>
      </c>
      <c r="G1486" s="19" t="inlineStr">
        <is>
          <t>https://www.levi.com/FR/fr_FR/vetements/vetements-homme-levis/polo-housemark-grandes-tailles/p/869980003</t>
        </is>
      </c>
      <c r="H1486" s="20" t="n">
        <v>3730</v>
      </c>
      <c r="I1486" s="20" t="n">
        <v>18</v>
      </c>
      <c r="J1486" s="21">
        <f>IF(H1486=0,0,I1486/H1486)</f>
        <v/>
      </c>
    </row>
    <row r="1487">
      <c r="A1487" s="17" t="inlineStr">
        <is>
          <t>Levi's</t>
        </is>
      </c>
      <c r="B1487" s="17" t="inlineStr">
        <is>
          <t>Live</t>
        </is>
      </c>
      <c r="C1487" s="17" t="inlineStr">
        <is>
          <t>Levis 2</t>
        </is>
      </c>
      <c r="D1487" s="17" t="inlineStr">
        <is>
          <t>Clothing and Accessories</t>
        </is>
      </c>
      <c r="E1487" s="18" t="inlineStr">
        <is>
          <t>Levi's Robe Chemise Mi Longue Denim - Femme - Bleu /</t>
        </is>
      </c>
      <c r="F1487" s="17" t="inlineStr">
        <is>
          <t>Nous avons repris la chemise denim classique pour créer cette robe-chemise mi-longue Denim. Ce modèle a deux poches poitrine, deux poches sur le côté, boutonnage devant et une</t>
        </is>
      </c>
      <c r="G1487" s="19" t="inlineStr">
        <is>
          <t>https://www.levi.com/FR/fr_FR/unidays-it/robe-chemise-mi-longue-denim/p/0002Q0000</t>
        </is>
      </c>
      <c r="H1487" s="20" t="n">
        <v>3667</v>
      </c>
      <c r="I1487" s="20" t="n">
        <v>16</v>
      </c>
      <c r="J1487" s="21">
        <f>IF(H1487=0,0,I1487/H1487)</f>
        <v/>
      </c>
    </row>
    <row r="1488">
      <c r="A1488" s="17" t="inlineStr">
        <is>
          <t>Levi's</t>
        </is>
      </c>
      <c r="B1488" s="17" t="inlineStr">
        <is>
          <t>Live</t>
        </is>
      </c>
      <c r="C1488" s="17" t="inlineStr">
        <is>
          <t>Levis 2</t>
        </is>
      </c>
      <c r="D1488" s="17" t="inlineStr">
        <is>
          <t>Clothing and Accessories</t>
        </is>
      </c>
      <c r="E1488" s="18" t="inlineStr">
        <is>
          <t>Jean 726™ Taille Haute Flare - Noir | Levi's® FR</t>
        </is>
      </c>
      <c r="F1488" s="17" t="inlineStr">
        <is>
          <t>Notre jean 726 taille haute Flares, au fit slim au niveau des hanches et des cuisses, s’évase au niveau des genoux. Le jean fait partie de notre Lot 700 signature, conçu pour</t>
        </is>
      </c>
      <c r="G1488" s="19" t="inlineStr">
        <is>
          <t>https://click.linksynergy.com/deeplink?id=9i20SERoF44&amp;mid=53154&amp;murl=https%3A%2F%2Fwww.levi.com%2FFR%2Ffr_FR%2Fvetements%2Ffemme%2Fjeans%2Fserie-700%2Fjean726-taille-haute-flare%2Fp%2FA34100070</t>
        </is>
      </c>
      <c r="H1488" s="20" t="n">
        <v>3656</v>
      </c>
      <c r="I1488" s="20" t="n">
        <v>13</v>
      </c>
      <c r="J1488" s="21">
        <f>IF(H1488=0,0,I1488/H1488)</f>
        <v/>
      </c>
    </row>
    <row r="1489">
      <c r="A1489" s="17" t="inlineStr">
        <is>
          <t>Levi's</t>
        </is>
      </c>
      <c r="B1489" s="17" t="inlineStr">
        <is>
          <t>Live</t>
        </is>
      </c>
      <c r="C1489" s="17" t="inlineStr">
        <is>
          <t>Levis 2</t>
        </is>
      </c>
      <c r="D1489" s="17" t="inlineStr">
        <is>
          <t>Jupes et robes femme</t>
        </is>
      </c>
      <c r="E1489" s="18" t="inlineStr">
        <is>
          <t>Levi's Jupe Taille Haute Fente Arrière - Femme - Bleu /</t>
        </is>
      </c>
      <c r="F1489" s="17" t="inlineStr">
        <is>
          <t>Une jupe vintage, sans avoir à retourner les bacs des friperies. Notre jupe High-Rise Back Slit a une taille bien soulignée, une fente dans le dos et un fit slim flatteur. Une</t>
        </is>
      </c>
      <c r="G1489" s="19" t="inlineStr">
        <is>
          <t>https://www.levi.com/FR/fr_FR/unidays-it/jupe-taille-haute-fente-arriere/p/001VH0006</t>
        </is>
      </c>
      <c r="H1489" s="20" t="n">
        <v>3642</v>
      </c>
      <c r="I1489" s="20" t="n">
        <v>25</v>
      </c>
      <c r="J1489" s="21">
        <f>IF(H1489=0,0,I1489/H1489)</f>
        <v/>
      </c>
    </row>
    <row r="1490">
      <c r="A1490" s="17" t="inlineStr">
        <is>
          <t>Levi's</t>
        </is>
      </c>
      <c r="B1490" s="17" t="inlineStr">
        <is>
          <t>Live</t>
        </is>
      </c>
      <c r="C1490" s="17" t="inlineStr">
        <is>
          <t>Levis 2</t>
        </is>
      </c>
      <c r="D1490" s="17" t="inlineStr">
        <is>
          <t>Jeans homme</t>
        </is>
      </c>
      <c r="E1490" s="18" t="inlineStr">
        <is>
          <t>Jean 502™ Taper (grandes Tailles) - Délavage Clair |</t>
        </is>
      </c>
      <c r="F1490" s="17" t="inlineStr">
        <is>
          <t>Notre fit le plus facile à porter : le jean 502™ Taper. La coupe plus ajustée (mais assez ample pour être confortable) et la jambe fuselée offrent une alternative chic et moderne</t>
        </is>
      </c>
      <c r="G1490" s="19" t="inlineStr">
        <is>
          <t>https://click.linksynergy.com/deeplink?id=9i20SERoF44&amp;mid=53154&amp;murl=https%3A%2F%2Fwww.levi.com%2FFR%2Ffr_FR%2Fvetements%2Fvetements-homme-levis%2Fjeans%2Ffuseles%2Fjean502-taper-grandes-tailles%2Fp%2F596840169</t>
        </is>
      </c>
      <c r="H1490" s="20" t="n">
        <v>3552</v>
      </c>
      <c r="I1490" s="20" t="n">
        <v>18</v>
      </c>
      <c r="J1490" s="21">
        <f>IF(H1490=0,0,I1490/H1490)</f>
        <v/>
      </c>
    </row>
    <row r="1491">
      <c r="A1491" s="17" t="inlineStr">
        <is>
          <t>Levi's</t>
        </is>
      </c>
      <c r="B1491" s="17" t="inlineStr">
        <is>
          <t>Live</t>
        </is>
      </c>
      <c r="C1491" s="17" t="inlineStr">
        <is>
          <t>Levis 2</t>
        </is>
      </c>
      <c r="D1491" s="17" t="inlineStr">
        <is>
          <t>Jeans femme</t>
        </is>
      </c>
      <c r="E1491" s="18" t="inlineStr">
        <is>
          <t>Jean Coupe Courte 501® - Délavage Foncé | Levi's® FR</t>
        </is>
      </c>
      <c r="F1491" s="17" t="inlineStr">
        <is>
          <t>Fermez vos yeux. Pensez « jean ». Maintenant ouvrez-les. Vous pensiez à un 501®, n’est-ce pas ? Il est littéralement le modèle par excellence de tous les jeans : une référence</t>
        </is>
      </c>
      <c r="G1491" s="19" t="inlineStr">
        <is>
          <t>https://click.linksynergy.com/deeplink?id=9i20SERoF44&amp;mid=53154&amp;murl=https%3A%2F%2Fwww.levi.com%2FFR%2Ffr_FR%2Fvetements%2Ffemme%2Fjeans%2Ftaille-haute%2Fjean-coupe-courte501%2Fp%2F362000179</t>
        </is>
      </c>
      <c r="H1491" s="20" t="n">
        <v>3483</v>
      </c>
      <c r="I1491" s="20" t="n">
        <v>8</v>
      </c>
      <c r="J1491" s="21">
        <f>IF(H1491=0,0,I1491/H1491)</f>
        <v/>
      </c>
    </row>
    <row r="1492">
      <c r="A1492" s="17" t="inlineStr">
        <is>
          <t>Levi's</t>
        </is>
      </c>
      <c r="B1492" s="17" t="inlineStr">
        <is>
          <t>Live</t>
        </is>
      </c>
      <c r="C1492" s="17" t="inlineStr">
        <is>
          <t>Levis 2</t>
        </is>
      </c>
      <c r="D1492" s="17" t="inlineStr">
        <is>
          <t>Clothing and Accessories</t>
        </is>
      </c>
      <c r="E1492" s="18" t="inlineStr">
        <is>
          <t>Jean Ribcage Longueur Normale - Délavage Clair | Levi's® FR</t>
        </is>
      </c>
      <c r="F1492" s="17" t="inlineStr">
        <is>
          <t>Notre modèle à taille la plus haute. Ce jean Ribcage de longueur normale est devenu une obsession, avec sa taille de 30 cm, il affine les hanches, met la taille en valeur et</t>
        </is>
      </c>
      <c r="G1492" s="19" t="inlineStr">
        <is>
          <t>https://click.linksynergy.com/deeplink?id=9i20SERoF44&amp;mid=53154&amp;murl=https%3A%2F%2Fwww.levi.com%2FFR%2Ffr_FR%2Fvetements%2Ffemme%2Fjeans%2Ftaille-haute%2Fjean-ribcage-longueur-normale%2Fp%2F790780045</t>
        </is>
      </c>
      <c r="H1492" s="20" t="n">
        <v>3420</v>
      </c>
      <c r="I1492" s="20" t="n">
        <v>22</v>
      </c>
      <c r="J1492" s="21">
        <f>IF(H1492=0,0,I1492/H1492)</f>
        <v/>
      </c>
    </row>
    <row r="1493">
      <c r="A1493" s="17" t="inlineStr">
        <is>
          <t>Levi's</t>
        </is>
      </c>
      <c r="B1493" s="17" t="inlineStr">
        <is>
          <t>Live</t>
        </is>
      </c>
      <c r="C1493" s="17" t="inlineStr">
        <is>
          <t>Levis 2</t>
        </is>
      </c>
      <c r="D1493" s="17" t="inlineStr">
        <is>
          <t>Jeans femme</t>
        </is>
      </c>
      <c r="E1493" s="18" t="inlineStr">
        <is>
          <t>Jean Ribcage Longueur Normale - Délavage Clair | Levi's® FR</t>
        </is>
      </c>
      <c r="F1493" s="17" t="inlineStr">
        <is>
          <t>Notre modèle à taille la plus haute. Ce jean Ribcage de longueur normale est devenu une obsession, avec sa taille de 30 cm, il affine les hanches, met la taille en valeur et</t>
        </is>
      </c>
      <c r="G1493" s="19" t="inlineStr">
        <is>
          <t>https://click.linksynergy.com/deeplink?id=9i20SERoF44&amp;mid=53154&amp;murl=https%3A%2F%2Fwww.levi.com%2FFR%2Ffr_FR%2Fvetements%2Ffemme%2Fjeans%2Ftaille-haute%2Fjean-ribcage-longueur-normale%2Fp%2F790780045</t>
        </is>
      </c>
      <c r="H1493" s="20" t="n">
        <v>3381</v>
      </c>
      <c r="I1493" s="20" t="n">
        <v>20</v>
      </c>
      <c r="J1493" s="21">
        <f>IF(H1493=0,0,I1493/H1493)</f>
        <v/>
      </c>
    </row>
    <row r="1494">
      <c r="A1494" s="17" t="inlineStr">
        <is>
          <t>Levi's</t>
        </is>
      </c>
      <c r="B1494" s="17" t="inlineStr">
        <is>
          <t>Live</t>
        </is>
      </c>
      <c r="C1494" s="17" t="inlineStr">
        <is>
          <t>Levis 2</t>
        </is>
      </c>
      <c r="D1494" s="17" t="inlineStr">
        <is>
          <t>Jeans femme</t>
        </is>
      </c>
      <c r="E1494" s="18" t="inlineStr">
        <is>
          <t>Jean 726™ Taille Haute Flare - Délavage Clair | Levi's® FR</t>
        </is>
      </c>
      <c r="F1494" s="17" t="inlineStr">
        <is>
          <t>Notre jean 726 taille haute Flares, au fit slim au niveau des hanches et des cuisses, s’évase au niveau des genoux. Le jean fait partie de notre Lot 700 signature, conçu pour</t>
        </is>
      </c>
      <c r="G1494" s="19" t="inlineStr">
        <is>
          <t>https://click.linksynergy.com/deeplink?id=9i20SERoF44&amp;mid=53154&amp;murl=https%3A%2F%2Fwww.levi.com%2FFR%2Ffr_FR%2Fvetements%2Ffemme%2Fjeans%2Ftaille-haute%2Fjean726-taille-haute-flare%2Fp%2FA34100027</t>
        </is>
      </c>
      <c r="H1494" s="20" t="n">
        <v>3349</v>
      </c>
      <c r="I1494" s="20" t="n">
        <v>13</v>
      </c>
      <c r="J1494" s="21">
        <f>IF(H1494=0,0,I1494/H1494)</f>
        <v/>
      </c>
    </row>
    <row r="1495">
      <c r="A1495" s="17" t="inlineStr">
        <is>
          <t>Levi's</t>
        </is>
      </c>
      <c r="B1495" s="17" t="inlineStr">
        <is>
          <t>Live</t>
        </is>
      </c>
      <c r="C1495" s="17" t="inlineStr">
        <is>
          <t>Levis 2</t>
        </is>
      </c>
      <c r="D1495" s="17" t="inlineStr">
        <is>
          <t>Hauts et T-shirts femme</t>
        </is>
      </c>
      <c r="E1495" s="18" t="inlineStr">
        <is>
          <t>T-shirt Perfect (grandes Tailles) - Noir | Levi's® FR</t>
        </is>
      </c>
      <c r="F1495" s="17" t="inlineStr">
        <is>
          <t>Les modèles décontractés comme notre t-shirt Perfect à logo ont été conçus pour aller avec un jean. Ce t-shirt est aussi confortable que bien taillé. Nous le qualifions de «</t>
        </is>
      </c>
      <c r="G1495" s="19" t="inlineStr">
        <is>
          <t>https://click.linksynergy.com/deeplink?id=9i20SERoF44&amp;mid=53154&amp;murl=https%3A%2F%2Fwww.levi.com%2FFR%2Ffr_FR%2Fshop-all%2Fperfect-tee-plus-size%2Fp%2FA24350085</t>
        </is>
      </c>
      <c r="H1495" s="20" t="n">
        <v>3348</v>
      </c>
      <c r="I1495" s="20" t="n">
        <v>18</v>
      </c>
      <c r="J1495" s="21">
        <f>IF(H1495=0,0,I1495/H1495)</f>
        <v/>
      </c>
    </row>
    <row r="1496">
      <c r="A1496" s="17" t="inlineStr">
        <is>
          <t>Levi's</t>
        </is>
      </c>
      <c r="B1496" s="17" t="inlineStr">
        <is>
          <t>Live</t>
        </is>
      </c>
      <c r="C1496" s="17" t="inlineStr">
        <is>
          <t>Levis 2</t>
        </is>
      </c>
      <c r="D1496" s="17" t="inlineStr">
        <is>
          <t>Clothing and Accessories</t>
        </is>
      </c>
      <c r="E1496" s="18" t="inlineStr">
        <is>
          <t>Jean Coupe Courte 501® - Délavage Foncé | Levi's® FR</t>
        </is>
      </c>
      <c r="F1496" s="17" t="inlineStr">
        <is>
          <t>Fermez vos yeux. Pensez « jean ». Maintenant ouvrez-les. Vous pensiez à un 501®, n’est-ce pas ? Il est littéralement le modèle par excellence de tous les jeans : une référence</t>
        </is>
      </c>
      <c r="G1496" s="19" t="inlineStr">
        <is>
          <t>https://click.linksynergy.com/deeplink?id=9i20SERoF44&amp;mid=53154&amp;murl=https%3A%2F%2Fwww.levi.com%2FFR%2Ffr_FR%2Fvetements%2Ffemme%2Fjeans%2Ftaille-haute%2Fjean-coupe-courte501%2Fp%2F362000179</t>
        </is>
      </c>
      <c r="H1496" s="20" t="n">
        <v>3327</v>
      </c>
      <c r="I1496" s="20" t="n">
        <v>15</v>
      </c>
      <c r="J1496" s="21">
        <f>IF(H1496=0,0,I1496/H1496)</f>
        <v/>
      </c>
    </row>
    <row r="1497">
      <c r="A1497" s="17" t="inlineStr">
        <is>
          <t>Levi's</t>
        </is>
      </c>
      <c r="B1497" s="17" t="inlineStr">
        <is>
          <t>Live</t>
        </is>
      </c>
      <c r="C1497" s="17" t="inlineStr">
        <is>
          <t>Levis 2</t>
        </is>
      </c>
      <c r="D1497" s="17" t="inlineStr">
        <is>
          <t>Jeans femme</t>
        </is>
      </c>
      <c r="E1497" s="18" t="inlineStr">
        <is>
          <t>Jean Ribcage Wide Leg | Levi's® FR</t>
        </is>
      </c>
      <c r="F1497" s="17" t="inlineStr">
        <is>
          <t>Le jean Ribcage Wide Leg associe une taille très haute et une jambe large pour une silhouette années 90 affirmée.</t>
        </is>
      </c>
      <c r="G1497" s="19" t="inlineStr">
        <is>
          <t>https://click.linksynergy.com/deeplink?id=9i20SERoF44&amp;mid=53154&amp;murl=https%3A%2F%2Fwww.levi.com%2FFR%2Ffr_FR%2Fvetements%2Ffemme%2Fjeans%2Floose%2Fjean-ribcage-wide-leg%2Fp%2FA60810020</t>
        </is>
      </c>
      <c r="H1497" s="20" t="n">
        <v>3323</v>
      </c>
      <c r="I1497" s="20" t="n">
        <v>11</v>
      </c>
      <c r="J1497" s="21">
        <f>IF(H1497=0,0,I1497/H1497)</f>
        <v/>
      </c>
    </row>
    <row r="1498">
      <c r="A1498" s="17" t="inlineStr">
        <is>
          <t>Levi's</t>
        </is>
      </c>
      <c r="B1498" s="17" t="inlineStr">
        <is>
          <t>Live</t>
        </is>
      </c>
      <c r="C1498" s="17" t="inlineStr">
        <is>
          <t>Levis 2</t>
        </is>
      </c>
      <c r="D1498" s="17" t="inlineStr">
        <is>
          <t>Jeans femme</t>
        </is>
      </c>
      <c r="E1498" s="18" t="inlineStr">
        <is>
          <t>Jean 726™ Taille Haute Flare - Noir | Levi's® FR</t>
        </is>
      </c>
      <c r="F1498" s="17" t="inlineStr">
        <is>
          <t>Notre jean 726 taille haute Flares, au fit slim au niveau des hanches et des cuisses, s’évase au niveau des genoux. Le jean fait partie de notre Lot 700 signature, conçu pour</t>
        </is>
      </c>
      <c r="G1498" s="19" t="inlineStr">
        <is>
          <t>https://click.linksynergy.com/deeplink?id=9i20SERoF44&amp;mid=53154&amp;murl=https%3A%2F%2Fwww.levi.com%2FFR%2Ffr_FR%2Fvetements%2Ffemme%2Fjeans%2Fserie-700%2Fjean726-taille-haute-flare%2Fp%2FA34100070</t>
        </is>
      </c>
      <c r="H1498" s="20" t="n">
        <v>3219</v>
      </c>
      <c r="I1498" s="20" t="n">
        <v>22</v>
      </c>
      <c r="J1498" s="21">
        <f>IF(H1498=0,0,I1498/H1498)</f>
        <v/>
      </c>
    </row>
    <row r="1499">
      <c r="A1499" s="17" t="inlineStr">
        <is>
          <t>Levi's</t>
        </is>
      </c>
      <c r="B1499" s="17" t="inlineStr">
        <is>
          <t>Live</t>
        </is>
      </c>
      <c r="C1499" s="17" t="inlineStr">
        <is>
          <t>Levis 2</t>
        </is>
      </c>
      <c r="D1499" s="17" t="inlineStr">
        <is>
          <t>Jeans homme</t>
        </is>
      </c>
      <c r="E1499" s="18" t="inlineStr">
        <is>
          <t>Jean 578™ Baggy - Noir | Levi's® FR</t>
        </is>
      </c>
      <c r="F1499" s="17" t="inlineStr">
        <is>
          <t>Notre Jean 578™ Baggy nous ramène à l’audace des années 90. Comme son nom l’indique, ce jean confortable et souple est vraiment baggy jusqu’au bas de jambe retombant, ce qui lui</t>
        </is>
      </c>
      <c r="G1499" s="19" t="inlineStr">
        <is>
          <t>https://click.linksynergy.com/deeplink?id=9i20SERoF44&amp;mid=53154&amp;murl=https%3A%2F%2Fwww.levi.com%2FFR%2Ffr_FR%2Fvetements%2Fvetements-homme-levis%2Fjeans%2Floose-jeans%2Fjean578-baggy%2Fp%2FA47500020</t>
        </is>
      </c>
      <c r="H1499" s="20" t="n">
        <v>3218</v>
      </c>
      <c r="I1499" s="20" t="n">
        <v>12</v>
      </c>
      <c r="J1499" s="21">
        <f>IF(H1499=0,0,I1499/H1499)</f>
        <v/>
      </c>
    </row>
    <row r="1500">
      <c r="A1500" s="17" t="inlineStr">
        <is>
          <t>Levi's</t>
        </is>
      </c>
      <c r="B1500" s="17" t="inlineStr">
        <is>
          <t>Live</t>
        </is>
      </c>
      <c r="C1500" s="17" t="inlineStr">
        <is>
          <t>Levis 2</t>
        </is>
      </c>
      <c r="D1500" s="17" t="inlineStr">
        <is>
          <t>Clothing and Accessories</t>
        </is>
      </c>
      <c r="E1500" s="18" t="inlineStr">
        <is>
          <t>Levi’s - Mode homme et femme</t>
        </is>
      </c>
      <c r="F1500" s="17" t="inlineStr">
        <is>
          <t>Le XX Chino standard fuselé est plus doux qu’un khaki, avec juste ce qu’il faut de stretch et une coupe un peu plus ample que le Slim Taper.</t>
        </is>
      </c>
      <c r="G1500" s="19" t="inlineStr">
        <is>
          <t>https://click.linksynergy.com/deeplink?id=9i20SERoF44&amp;mid=53154&amp;murl=https%3A%2F%2Fwww.levi.com%2FFR%2Ffr_FR%2Fvetements%2Fvetements-homme-levis%2Fpantalons%2Fchino%2Fpantalon-xx-chino-standard-fusele-grandes-tailles%2Fp%2F394470000</t>
        </is>
      </c>
      <c r="H1500" s="20" t="n">
        <v>3197</v>
      </c>
      <c r="I1500" s="20" t="n">
        <v>9</v>
      </c>
      <c r="J1500" s="21">
        <f>IF(H1500=0,0,I1500/H1500)</f>
        <v/>
      </c>
    </row>
    <row r="1501">
      <c r="A1501" s="17" t="inlineStr">
        <is>
          <t>Levi's</t>
        </is>
      </c>
      <c r="B1501" s="17" t="inlineStr">
        <is>
          <t>Live</t>
        </is>
      </c>
      <c r="C1501" s="17" t="inlineStr">
        <is>
          <t>Levis 2</t>
        </is>
      </c>
      <c r="D1501" s="17" t="inlineStr">
        <is>
          <t>Jeans femme</t>
        </is>
      </c>
      <c r="E1501" s="18" t="inlineStr">
        <is>
          <t>Jean 501® original - Délavage Foncé | Levi's® FR</t>
        </is>
      </c>
      <c r="F1501" s="17" t="inlineStr">
        <is>
          <t>Fermez vos yeux. Pensez « jean ». Maintenant ouvrez-les. C’était un 501 Original®, exact ? Avec une jambe droite classique et un style emblématique, il est littéralement le modèle</t>
        </is>
      </c>
      <c r="G1501" s="19" t="inlineStr">
        <is>
          <t>https://click.linksynergy.com/deeplink?id=9i20SERoF44&amp;mid=53154&amp;murl=https%3A%2F%2Fwww.levi.com%2FFR%2Ffr_FR%2Fvetements%2Ffemme%2Fjeans%2Ftaille-haute%2Fjean-501original%2Fp%2F125010554</t>
        </is>
      </c>
      <c r="H1501" s="20" t="n">
        <v>3182</v>
      </c>
      <c r="I1501" s="20" t="n">
        <v>17</v>
      </c>
      <c r="J1501" s="21">
        <f>IF(H1501=0,0,I1501/H1501)</f>
        <v/>
      </c>
    </row>
    <row r="1502">
      <c r="A1502" s="17" t="inlineStr">
        <is>
          <t>Levi's</t>
        </is>
      </c>
      <c r="B1502" s="17" t="inlineStr">
        <is>
          <t>Live</t>
        </is>
      </c>
      <c r="C1502" s="17" t="inlineStr">
        <is>
          <t>Levis 2</t>
        </is>
      </c>
      <c r="D1502" s="17" t="inlineStr">
        <is>
          <t>Jeans homme</t>
        </is>
      </c>
      <c r="E1502" s="18" t="inlineStr">
        <is>
          <t>Jean 502™ Fuselé - Gris | Levi's® FR</t>
        </is>
      </c>
      <c r="F1502" s="17" t="inlineStr">
        <is>
          <t>Notre coupe la plus facile à porter : le jean 502™ fuselé. Coupe plus ajustée (mais assez ample pour être confortable) et jambe fuselée, c’est une alternative plus raffinée et</t>
        </is>
      </c>
      <c r="G1502" s="19" t="inlineStr">
        <is>
          <t>https://click.linksynergy.com/deeplink?id=9i20SERoF44&amp;mid=53154&amp;murl=https%3A%2F%2Fwww.levi.com%2FFR%2Ffr_FR%2Fvetements%2Fvetements-homme-levis%2Fjeans%2Ffuseles%2Fjean502-fusele%2Fp%2F295071420</t>
        </is>
      </c>
      <c r="H1502" s="20" t="n">
        <v>3170</v>
      </c>
      <c r="I1502" s="20" t="n">
        <v>16</v>
      </c>
      <c r="J1502" s="21">
        <f>IF(H1502=0,0,I1502/H1502)</f>
        <v/>
      </c>
    </row>
    <row r="1503">
      <c r="A1503" s="17" t="inlineStr">
        <is>
          <t>Levi's</t>
        </is>
      </c>
      <c r="B1503" s="17" t="inlineStr">
        <is>
          <t>Live</t>
        </is>
      </c>
      <c r="C1503" s="17" t="inlineStr">
        <is>
          <t>Levis 2</t>
        </is>
      </c>
      <c r="D1503" s="17" t="inlineStr">
        <is>
          <t>Clothing and Accessories</t>
        </is>
      </c>
      <c r="E1503" s="18" t="inlineStr">
        <is>
          <t>Jean 726™ Taille Haute Flare - Délavage Clair | Levi's® FR</t>
        </is>
      </c>
      <c r="F1503" s="17" t="inlineStr">
        <is>
          <t>Notre jean 726 taille haute Flares, au fit slim au niveau des hanches et des cuisses, s’évase au niveau des genoux. Le jean fait partie de notre Lot 700 signature, conçu pour</t>
        </is>
      </c>
      <c r="G1503" s="19" t="inlineStr">
        <is>
          <t>https://click.linksynergy.com/deeplink?id=9i20SERoF44&amp;mid=53154&amp;murl=https%3A%2F%2Fwww.levi.com%2FFR%2Ffr_FR%2Fvetements%2Ffemme%2Fjeans%2Ftaille-haute%2Fjean726-taille-haute-flare%2Fp%2FA34100027</t>
        </is>
      </c>
      <c r="H1503" s="20" t="n">
        <v>3168</v>
      </c>
      <c r="I1503" s="20" t="n">
        <v>14</v>
      </c>
      <c r="J1503" s="21">
        <f>IF(H1503=0,0,I1503/H1503)</f>
        <v/>
      </c>
    </row>
    <row r="1504">
      <c r="A1504" s="17" t="inlineStr">
        <is>
          <t>Levi's</t>
        </is>
      </c>
      <c r="B1504" s="17" t="inlineStr">
        <is>
          <t>Live</t>
        </is>
      </c>
      <c r="C1504" s="17" t="inlineStr">
        <is>
          <t>Levis 2</t>
        </is>
      </c>
      <c r="D1504" s="17" t="inlineStr">
        <is>
          <t>Jeans homme</t>
        </is>
      </c>
      <c r="E1504" s="18" t="inlineStr">
        <is>
          <t>Jean 511™ Slim - Délavage Moyen | Levi's® FR</t>
        </is>
      </c>
      <c r="F1504" s="17" t="inlineStr">
        <is>
          <t>Ce jean slim moderne a l’allure d’un jean skinny sans être aussi moulant. (Si vous voulez le style, mais pas la sensation, c’est une excellente alternative.) Avec sa coupe qui</t>
        </is>
      </c>
      <c r="G1504" s="19" t="inlineStr">
        <is>
          <t>https://click.linksynergy.com/deeplink?id=9i20SERoF44&amp;mid=53154&amp;murl=https%3A%2F%2Fwww.levi.com%2FFR%2Ffr_FR%2Fvetements%2Fvetements-homme-levis%2Fjeans%2F511%2Fjean511-slim%2Fp%2F045115815</t>
        </is>
      </c>
      <c r="H1504" s="20" t="n">
        <v>3153</v>
      </c>
      <c r="I1504" s="20" t="n">
        <v>25</v>
      </c>
      <c r="J1504" s="21">
        <f>IF(H1504=0,0,I1504/H1504)</f>
        <v/>
      </c>
    </row>
    <row r="1505">
      <c r="A1505" s="17" t="inlineStr">
        <is>
          <t>Levi's</t>
        </is>
      </c>
      <c r="B1505" s="17" t="inlineStr">
        <is>
          <t>Live</t>
        </is>
      </c>
      <c r="C1505" s="17" t="inlineStr">
        <is>
          <t>Levis 2</t>
        </is>
      </c>
      <c r="D1505" s="17" t="inlineStr">
        <is>
          <t>Jeans homme</t>
        </is>
      </c>
      <c r="E1505" s="18" t="inlineStr">
        <is>
          <t>Jean 501® Original - Délavage Foncé | Levi's® FR</t>
        </is>
      </c>
      <c r="F1505" s="17" t="inlineStr">
        <is>
          <t>Fermez vos yeux. Pensez « jean ». Maintenant ouvrez-les. C’était un 501® Original, n’est-ce pas ? Avec une jambe droite classique et un style emblématique, il est littéralement le</t>
        </is>
      </c>
      <c r="G1505" s="19" t="inlineStr">
        <is>
          <t>https://click.linksynergy.com/deeplink?id=9i20SERoF44&amp;mid=53154&amp;murl=https%3A%2F%2Fwww.levi.com%2FFR%2Ffr_FR%2Fvetements%2Fvetements-homme-levis%2Fjeans%2F501-original%2Fjean-501-original%2Fp%2F005013895</t>
        </is>
      </c>
      <c r="H1505" s="20" t="n">
        <v>3096</v>
      </c>
      <c r="I1505" s="20" t="n">
        <v>17</v>
      </c>
      <c r="J1505" s="21">
        <f>IF(H1505=0,0,I1505/H1505)</f>
        <v/>
      </c>
    </row>
    <row r="1506">
      <c r="A1506" s="17" t="inlineStr">
        <is>
          <t>Levi's</t>
        </is>
      </c>
      <c r="B1506" s="17" t="inlineStr">
        <is>
          <t>Live</t>
        </is>
      </c>
      <c r="C1506" s="17" t="inlineStr">
        <is>
          <t>Levis 2</t>
        </is>
      </c>
      <c r="D1506" s="17" t="inlineStr">
        <is>
          <t>Jeans femme</t>
        </is>
      </c>
      <c r="E1506" s="18" t="inlineStr">
        <is>
          <t>Short 501® original - Gris | Levi's® FR</t>
        </is>
      </c>
      <c r="F1506" s="17" t="inlineStr">
        <is>
          <t>Nous n’avons pas seulement introduit le blue-jean—nous avons aussi inventé le tout premier short en jean. Un style emblématique et longiligne qui souligne votre taille et vous</t>
        </is>
      </c>
      <c r="G1506" s="19" t="inlineStr">
        <is>
          <t>https://click.linksynergy.com/deeplink?id=9i20SERoF44&amp;mid=53154&amp;murl=https%3A%2F%2Fwww.levi.com%2FFR%2Ffr_FR%2Fvetements%2Ffemme%2Fshorts%2F501-shorts%2Fshort501original%2Fp%2F563270405</t>
        </is>
      </c>
      <c r="H1506" s="20" t="n">
        <v>3086</v>
      </c>
      <c r="I1506" s="20" t="n">
        <v>14</v>
      </c>
      <c r="J1506" s="21">
        <f>IF(H1506=0,0,I1506/H1506)</f>
        <v/>
      </c>
    </row>
    <row r="1507">
      <c r="A1507" s="17" t="inlineStr">
        <is>
          <t>Levi's</t>
        </is>
      </c>
      <c r="B1507" s="17" t="inlineStr">
        <is>
          <t>Live</t>
        </is>
      </c>
      <c r="C1507" s="17" t="inlineStr">
        <is>
          <t>Levis 2</t>
        </is>
      </c>
      <c r="D1507" s="17" t="inlineStr">
        <is>
          <t>Jeans homme</t>
        </is>
      </c>
      <c r="E1507" s="18" t="inlineStr">
        <is>
          <t>Jean 568™ Loose Straight - Délavage Foncé | Levi's® FR</t>
        </is>
      </c>
      <c r="F1507" s="17" t="inlineStr">
        <is>
          <t>Notre Jean 568™ Stay Loose nous ramène à l’audace des années 90. Comme son nom l’indique, ce jean confortable à la coupe de jambe souple et Loose jusqu’à la cheville, offre juste</t>
        </is>
      </c>
      <c r="G1507" s="19" t="inlineStr">
        <is>
          <t>https://click.linksynergy.com/deeplink?id=9i20SERoF44&amp;mid=53154&amp;murl=https%3A%2F%2Fwww.levi.com%2FFR%2Ffr_FR%2Fvetements%2Fvetements-homme-levis%2Fjeans%2Floose-jeans%2Fjean-568-loose-straight%2Fp%2F290370078</t>
        </is>
      </c>
      <c r="H1507" s="20" t="n">
        <v>3080</v>
      </c>
      <c r="I1507" s="20" t="n">
        <v>12</v>
      </c>
      <c r="J1507" s="21">
        <f>IF(H1507=0,0,I1507/H1507)</f>
        <v/>
      </c>
    </row>
    <row r="1508">
      <c r="A1508" s="17" t="inlineStr">
        <is>
          <t>Levi's</t>
        </is>
      </c>
      <c r="B1508" s="17" t="inlineStr">
        <is>
          <t>Live</t>
        </is>
      </c>
      <c r="C1508" s="17" t="inlineStr">
        <is>
          <t>Levis 2</t>
        </is>
      </c>
      <c r="D1508" s="17" t="inlineStr">
        <is>
          <t>Clothing and Accessories</t>
        </is>
      </c>
      <c r="E1508" s="18" t="inlineStr">
        <is>
          <t>Levi’s - Mode homme et femme</t>
        </is>
      </c>
      <c r="F1508" s="17" t="inlineStr">
        <is>
          <t>Col rond classique, maille très douce et logo emblématique : ce T-shirt noir se porte avec tout, et son coton vient de la Better Cotton Initiative.</t>
        </is>
      </c>
      <c r="G1508" s="19" t="inlineStr">
        <is>
          <t>https://click.linksynergy.com/deeplink?id=9i20SERoF44&amp;mid=53154&amp;murl=https%3A%2F%2Fwww.levi.com%2FFR%2Ffr_FR%2Fwomen%2Ft-shirt%2Fp%2F173690201</t>
        </is>
      </c>
      <c r="H1508" s="20" t="n">
        <v>3040</v>
      </c>
      <c r="I1508" s="20" t="n">
        <v>21</v>
      </c>
      <c r="J1508" s="21">
        <f>IF(H1508=0,0,I1508/H1508)</f>
        <v/>
      </c>
    </row>
    <row r="1509">
      <c r="A1509" s="17" t="inlineStr">
        <is>
          <t>Levi's</t>
        </is>
      </c>
      <c r="B1509" s="17" t="inlineStr">
        <is>
          <t>Live</t>
        </is>
      </c>
      <c r="C1509" s="17" t="inlineStr">
        <is>
          <t>Levis 2</t>
        </is>
      </c>
      <c r="D1509" s="17" t="inlineStr">
        <is>
          <t>Jeans homme</t>
        </is>
      </c>
      <c r="E1509" s="18" t="inlineStr">
        <is>
          <t>Levi's® Jean 501® Original - Gris | Levi's® FR</t>
        </is>
      </c>
      <c r="F1509" s="17" t="inlineStr">
        <is>
          <t>Fermez vos yeux. Pensez « jean ». Maintenant ouvrez-les. C’était un 501® Original, n’est-ce pas ? Avec une jambe droite classique et un style emblématique, il est littéralement le</t>
        </is>
      </c>
      <c r="G1509" s="19" t="inlineStr">
        <is>
          <t>https://click.linksynergy.com/deeplink?id=9i20SERoF44&amp;mid=53154&amp;murl=https%3A%2F%2Fwww.levi.com%2FFR%2Ffr_FR%2Fvetements%2Fvetements-homme-levis%2Fjeans%2Fdroits%2Flevis-jean501-original%2Fp%2F005013496</t>
        </is>
      </c>
      <c r="H1509" s="20" t="n">
        <v>3017</v>
      </c>
      <c r="I1509" s="20" t="n">
        <v>16</v>
      </c>
      <c r="J1509" s="21">
        <f>IF(H1509=0,0,I1509/H1509)</f>
        <v/>
      </c>
    </row>
    <row r="1510">
      <c r="A1510" s="17" t="inlineStr">
        <is>
          <t>Levi's</t>
        </is>
      </c>
      <c r="B1510" s="17" t="inlineStr">
        <is>
          <t>Live</t>
        </is>
      </c>
      <c r="C1510" s="17" t="inlineStr">
        <is>
          <t>Levis 2</t>
        </is>
      </c>
      <c r="D1510" s="17" t="inlineStr">
        <is>
          <t>Jeans homme</t>
        </is>
      </c>
      <c r="E1510" s="18" t="inlineStr">
        <is>
          <t>Jean Anchor Relaxed | Levi's® FR</t>
        </is>
      </c>
      <c r="F1510" s="17" t="inlineStr">
        <is>
          <t>Le jean Anchor Relaxed offre une coupe ample et décontractée dans la pure tradition denim Levi's, pour un confort au quotidien.</t>
        </is>
      </c>
      <c r="G1510" s="19" t="inlineStr">
        <is>
          <t>https://click.linksynergy.com/deeplink?id=9i20SERoF44&amp;mid=53154&amp;murl=https%3A%2F%2Fwww.levi.com%2FFR%2Ffr_FR%2Fvetements%2Fvetements-homme-levis%2Fjeans%2Floose-jeans%2Fjean-anchor-relaxed%2Fp%2F0033V0001</t>
        </is>
      </c>
      <c r="H1510" s="20" t="n">
        <v>3015</v>
      </c>
      <c r="I1510" s="20" t="n">
        <v>14</v>
      </c>
      <c r="J1510" s="21">
        <f>IF(H1510=0,0,I1510/H1510)</f>
        <v/>
      </c>
    </row>
    <row r="1511">
      <c r="A1511" s="17" t="inlineStr">
        <is>
          <t>Levi's</t>
        </is>
      </c>
      <c r="B1511" s="17" t="inlineStr">
        <is>
          <t>Live</t>
        </is>
      </c>
      <c r="C1511" s="17" t="inlineStr">
        <is>
          <t>Levis 2</t>
        </is>
      </c>
      <c r="D1511" s="17" t="inlineStr">
        <is>
          <t>Clothing and Accessories</t>
        </is>
      </c>
      <c r="E1511" s="18" t="inlineStr">
        <is>
          <t>Jean 568™ Loose Straight - Délavage Foncé | Levi's® FR</t>
        </is>
      </c>
      <c r="F1511" s="17" t="inlineStr">
        <is>
          <t>Notre Jean 568™ Stay Loose nous ramène à l’audace des années 90. Comme son nom l’indique, ce jean confortable à la coupe de jambe souple et Loose jusqu’à la cheville, offre juste</t>
        </is>
      </c>
      <c r="G1511" s="19" t="inlineStr">
        <is>
          <t>https://click.linksynergy.com/deeplink?id=9i20SERoF44&amp;mid=53154&amp;murl=https%3A%2F%2Fwww.levi.com%2FFR%2Ffr_FR%2Fvetements%2Fvetements-homme-levis%2Fjeans%2Floose-jeans%2Fjean-568-loose-straight%2Fp%2F290370078</t>
        </is>
      </c>
      <c r="H1511" s="20" t="n">
        <v>2982</v>
      </c>
      <c r="I1511" s="20" t="n">
        <v>9</v>
      </c>
      <c r="J1511" s="21">
        <f>IF(H1511=0,0,I1511/H1511)</f>
        <v/>
      </c>
    </row>
    <row r="1512">
      <c r="A1512" s="17" t="inlineStr">
        <is>
          <t>Levi's</t>
        </is>
      </c>
      <c r="B1512" s="17" t="inlineStr">
        <is>
          <t>Live</t>
        </is>
      </c>
      <c r="C1512" s="17" t="inlineStr">
        <is>
          <t>Levis 2</t>
        </is>
      </c>
      <c r="D1512" s="17" t="inlineStr">
        <is>
          <t>Clothing and Accessories</t>
        </is>
      </c>
      <c r="E1512" s="18" t="inlineStr">
        <is>
          <t>Jean 578™ Baggy - Noir | Levi's® FR</t>
        </is>
      </c>
      <c r="F1512" s="17" t="inlineStr">
        <is>
          <t>Notre Jean 578™ Baggy nous ramène à l’audace des années 90. Comme son nom l’indique, ce jean confortable et souple est vraiment baggy jusqu’au bas de jambe retombant, ce qui lui</t>
        </is>
      </c>
      <c r="G1512" s="19" t="inlineStr">
        <is>
          <t>https://click.linksynergy.com/deeplink?id=9i20SERoF44&amp;mid=53154&amp;murl=https%3A%2F%2Fwww.levi.com%2FFR%2Ffr_FR%2Fvetements%2Fvetements-homme-levis%2Fjeans%2Floose-jeans%2Fjean578-baggy%2Fp%2FA47500020</t>
        </is>
      </c>
      <c r="H1512" s="20" t="n">
        <v>2968</v>
      </c>
      <c r="I1512" s="20" t="n">
        <v>15</v>
      </c>
      <c r="J1512" s="21">
        <f>IF(H1512=0,0,I1512/H1512)</f>
        <v/>
      </c>
    </row>
    <row r="1513">
      <c r="A1513" s="17" t="inlineStr">
        <is>
          <t>Levi's</t>
        </is>
      </c>
      <c r="B1513" s="17" t="inlineStr">
        <is>
          <t>Live</t>
        </is>
      </c>
      <c r="C1513" s="17" t="inlineStr">
        <is>
          <t>Levis 2</t>
        </is>
      </c>
      <c r="D1513" s="17" t="inlineStr">
        <is>
          <t>Women's Clothing</t>
        </is>
      </c>
      <c r="E1513" s="18" t="inlineStr">
        <is>
          <t>Levi’s - Vêtements femme</t>
        </is>
      </c>
      <c r="F1513" s="17" t="inlineStr">
        <is>
          <t>Le 501 Original femme garde la jambe droite classique et le délavage foncé qui ont fait de ce modèle la référence de tous les jeans.</t>
        </is>
      </c>
      <c r="G1513" s="19" t="inlineStr">
        <is>
          <t>https://click.linksynergy.com/deeplink?id=9i20SERoF44&amp;mid=53154&amp;murl=https%3A%2F%2Fwww.levi.com%2FFR%2Ffr_FR%2Fvetements%2Ffemme%2Fjeans%2Ftaille-haute%2Fjean-501original%2Fp%2F125010554</t>
        </is>
      </c>
      <c r="H1513" s="20" t="n">
        <v>2958</v>
      </c>
      <c r="I1513" s="20" t="n">
        <v>11</v>
      </c>
      <c r="J1513" s="21">
        <f>IF(H1513=0,0,I1513/H1513)</f>
        <v/>
      </c>
    </row>
    <row r="1514">
      <c r="A1514" s="17" t="inlineStr">
        <is>
          <t>Levi's</t>
        </is>
      </c>
      <c r="B1514" s="17" t="inlineStr">
        <is>
          <t>Live</t>
        </is>
      </c>
      <c r="C1514" s="17" t="inlineStr">
        <is>
          <t>Levis 2</t>
        </is>
      </c>
      <c r="D1514" s="17" t="inlineStr">
        <is>
          <t>Clothing and Accessories</t>
        </is>
      </c>
      <c r="E1514" s="18" t="inlineStr">
        <is>
          <t>Jean 721™ Taille Haute Skinny | Levi's® FR</t>
        </is>
      </c>
      <c r="F1514" s="17" t="inlineStr">
        <is>
          <t>Le jean 721™ skinny taille haute allonge la jambe avec un denim stretch ajusté du bassin à la cheville.</t>
        </is>
      </c>
      <c r="G1514" s="19" t="inlineStr">
        <is>
          <t>https://click.linksynergy.com/deeplink?id=9i20SERoF44&amp;mid=53154&amp;murl=https%3A%2F%2Fwww.levi.com%2FFR%2Ffr_FR%2Fvetements%2Ffemme%2Fjeans%2Fserie-700%2Fjean-721-taille-haute-skinny%2Fp%2F188820594</t>
        </is>
      </c>
      <c r="H1514" s="20" t="n">
        <v>2939</v>
      </c>
      <c r="I1514" s="20" t="n">
        <v>16</v>
      </c>
      <c r="J1514" s="21">
        <f>IF(H1514=0,0,I1514/H1514)</f>
        <v/>
      </c>
    </row>
    <row r="1515">
      <c r="A1515" s="17" t="inlineStr">
        <is>
          <t>Levi's</t>
        </is>
      </c>
      <c r="B1515" s="17" t="inlineStr">
        <is>
          <t>Live</t>
        </is>
      </c>
      <c r="C1515" s="17" t="inlineStr">
        <is>
          <t>Levis 2</t>
        </is>
      </c>
      <c r="D1515" s="17" t="inlineStr">
        <is>
          <t>Clothing and Accessories</t>
        </is>
      </c>
      <c r="E1515" s="18" t="inlineStr">
        <is>
          <t>T-shirt Relaxed - Bleu | Levi's® FR</t>
        </is>
      </c>
      <c r="F1515" s="17" t="inlineStr">
        <is>
          <t>Un jean et un t-shirt—citez-nous un duo plus emblématique, on risque d’attendre longtemps. Confortable, ce t-shirt graphique manche courte Relaxed est rehaussé d’un graphique</t>
        </is>
      </c>
      <c r="G1515" s="19" t="inlineStr">
        <is>
          <t>https://click.linksynergy.com/deeplink?id=9i20SERoF44&amp;mid=53154&amp;murl=https%3A%2F%2Fwww.levi.com%2FFR%2Ffr_FR%2Fshop-all%2Ft-shirt-relaxed%2Fp%2FA20820409</t>
        </is>
      </c>
      <c r="H1515" s="20" t="n">
        <v>2894</v>
      </c>
      <c r="I1515" s="20" t="n">
        <v>6</v>
      </c>
      <c r="J1515" s="21">
        <f>IF(H1515=0,0,I1515/H1515)</f>
        <v/>
      </c>
    </row>
    <row r="1516">
      <c r="A1516" s="17" t="inlineStr">
        <is>
          <t>Levi's</t>
        </is>
      </c>
      <c r="B1516" s="17" t="inlineStr">
        <is>
          <t>Live</t>
        </is>
      </c>
      <c r="C1516" s="17" t="inlineStr">
        <is>
          <t>Levis 2</t>
        </is>
      </c>
      <c r="D1516" s="17" t="inlineStr">
        <is>
          <t>Clothing and Accessories</t>
        </is>
      </c>
      <c r="E1516" s="18" t="inlineStr">
        <is>
          <t>Jean 311™ Galbant Skinny - Taille Mi-Haute | Levi's® FR</t>
        </is>
      </c>
      <c r="F1516" s="17" t="inlineStr">
        <is>
          <t>Le jean 311™ Galbant Skinny sculpte la silhouette : taille mi-haute et denim extensible qui garde sa forme toute la journée.</t>
        </is>
      </c>
      <c r="G1516" s="19" t="inlineStr">
        <is>
          <t>https://click.linksynergy.com/deeplink?id=9i20SERoF44&amp;mid=53154&amp;murl=https%3A%2F%2Fwww.levi.com%2FFR%2Ffr_FR%2Fvetements%2Ffemme%2Fjeans%2Ftaille-mi-haute%2Fjean-311-galbant-skinny%2Fp%2F196260262</t>
        </is>
      </c>
      <c r="H1516" s="20" t="n">
        <v>2875</v>
      </c>
      <c r="I1516" s="20" t="n">
        <v>12</v>
      </c>
      <c r="J1516" s="21">
        <f>IF(H1516=0,0,I1516/H1516)</f>
        <v/>
      </c>
    </row>
    <row r="1517">
      <c r="A1517" s="17" t="inlineStr">
        <is>
          <t>Levi's</t>
        </is>
      </c>
      <c r="B1517" s="17" t="inlineStr">
        <is>
          <t>Live</t>
        </is>
      </c>
      <c r="C1517" s="17" t="inlineStr">
        <is>
          <t>Levis 2</t>
        </is>
      </c>
      <c r="D1517" s="17" t="inlineStr">
        <is>
          <t>Clothing and Accessories</t>
        </is>
      </c>
      <c r="E1517" s="18" t="inlineStr">
        <is>
          <t>Jean 511™ Slim - Délavage Moyen | Levi's® FR</t>
        </is>
      </c>
      <c r="F1517" s="17" t="inlineStr">
        <is>
          <t>Ce jean slim moderne a l’allure d’un jean skinny sans être aussi moulant. (Si vous voulez le style, mais pas la sensation, c’est une excellente alternative.) Avec sa coupe qui</t>
        </is>
      </c>
      <c r="G1517" s="19" t="inlineStr">
        <is>
          <t>https://click.linksynergy.com/deeplink?id=9i20SERoF44&amp;mid=53154&amp;murl=https%3A%2F%2Fwww.levi.com%2FFR%2Ffr_FR%2Fvetements%2Fvetements-homme-levis%2Fjeans%2F511%2Fjean511-slim%2Fp%2F045115815</t>
        </is>
      </c>
      <c r="H1517" s="20" t="n">
        <v>2822</v>
      </c>
      <c r="I1517" s="20" t="n">
        <v>12</v>
      </c>
      <c r="J1517" s="21">
        <f>IF(H1517=0,0,I1517/H1517)</f>
        <v/>
      </c>
    </row>
    <row r="1518">
      <c r="A1518" s="17" t="inlineStr">
        <is>
          <t>Levi's</t>
        </is>
      </c>
      <c r="B1518" s="17" t="inlineStr">
        <is>
          <t>Live</t>
        </is>
      </c>
      <c r="C1518" s="17" t="inlineStr">
        <is>
          <t>Levis 2</t>
        </is>
      </c>
      <c r="D1518" s="17" t="inlineStr">
        <is>
          <t>Clothing and Accessories</t>
        </is>
      </c>
      <c r="E1518" s="18" t="inlineStr">
        <is>
          <t>Levi's Short 501® Original - Femme - Gris / Hit The Road Bb</t>
        </is>
      </c>
      <c r="F1518" s="17" t="inlineStr">
        <is>
          <t>Nous n’avons pas seulement introduit le blue-jean—nous avons aussi inventé le tout premier short en jean. Un style emblématique et longiligne qui souligne votre taille et vous</t>
        </is>
      </c>
      <c r="G1518" s="19" t="inlineStr">
        <is>
          <t>https://www.levi.com/FR/fr_FR/vetements/femme/shorts/shorts-en-denim/short501original/p/563270405</t>
        </is>
      </c>
      <c r="H1518" s="20" t="n">
        <v>2729</v>
      </c>
      <c r="I1518" s="20" t="n">
        <v>15</v>
      </c>
      <c r="J1518" s="21">
        <f>IF(H1518=0,0,I1518/H1518)</f>
        <v/>
      </c>
    </row>
    <row r="1519">
      <c r="A1519" s="17" t="inlineStr">
        <is>
          <t>Levi's</t>
        </is>
      </c>
      <c r="B1519" s="17" t="inlineStr">
        <is>
          <t>Live</t>
        </is>
      </c>
      <c r="C1519" s="17" t="inlineStr">
        <is>
          <t>Levis 2</t>
        </is>
      </c>
      <c r="D1519" s="17" t="inlineStr">
        <is>
          <t>Clothing and Accessories</t>
        </is>
      </c>
      <c r="E1519" s="18" t="inlineStr">
        <is>
          <t>Jean 501® Original - Délavage Foncé | Levi's® FR</t>
        </is>
      </c>
      <c r="F1519" s="17" t="inlineStr">
        <is>
          <t>Fermez vos yeux. Pensez « jean ». Maintenant ouvrez-les. C’était un 501® Original, n’est-ce pas ? Avec une jambe droite classique et un style emblématique, il est littéralement le</t>
        </is>
      </c>
      <c r="G1519" s="19" t="inlineStr">
        <is>
          <t>https://click.linksynergy.com/deeplink?id=9i20SERoF44&amp;mid=53154&amp;murl=https%3A%2F%2Fwww.levi.com%2FFR%2Ffr_FR%2Fvetements%2Fvetements-homme-levis%2Fjeans%2F501-original%2Fjean-501-original%2Fp%2F005013895</t>
        </is>
      </c>
      <c r="H1519" s="20" t="n">
        <v>2727</v>
      </c>
      <c r="I1519" s="20" t="n">
        <v>19</v>
      </c>
      <c r="J1519" s="21">
        <f>IF(H1519=0,0,I1519/H1519)</f>
        <v/>
      </c>
    </row>
    <row r="1520">
      <c r="A1520" s="17" t="inlineStr">
        <is>
          <t>Levi's</t>
        </is>
      </c>
      <c r="B1520" s="17" t="inlineStr">
        <is>
          <t>Live</t>
        </is>
      </c>
      <c r="C1520" s="17" t="inlineStr">
        <is>
          <t>Levis 2</t>
        </is>
      </c>
      <c r="D1520" s="17" t="inlineStr">
        <is>
          <t>Clothing and Accessories</t>
        </is>
      </c>
      <c r="E1520" s="18" t="inlineStr">
        <is>
          <t>Levi’s - Mode homme et femme</t>
        </is>
      </c>
      <c r="F1520" s="17" t="inlineStr">
        <is>
          <t>La chemise Authentic à col américain se porte dans un fit relaxed et casual, en beige : elle s’accorde naturellement avec vos denims Levi’s.</t>
        </is>
      </c>
      <c r="G1520" s="19" t="inlineStr">
        <is>
          <t>https://www.levi.com/FR/fr_FR/vetements/vetements-homme-levis/chemise-col-boutonne-authentic/p/A72100060</t>
        </is>
      </c>
      <c r="H1520" s="20" t="n">
        <v>2702</v>
      </c>
      <c r="I1520" s="20" t="n">
        <v>13</v>
      </c>
      <c r="J1520" s="21">
        <f>IF(H1520=0,0,I1520/H1520)</f>
        <v/>
      </c>
    </row>
    <row r="1521">
      <c r="A1521" s="17" t="inlineStr">
        <is>
          <t>Levi's</t>
        </is>
      </c>
      <c r="B1521" s="17" t="inlineStr">
        <is>
          <t>Live</t>
        </is>
      </c>
      <c r="C1521" s="17" t="inlineStr">
        <is>
          <t>Levis 2</t>
        </is>
      </c>
      <c r="D1521" s="17" t="inlineStr">
        <is>
          <t>Clothing and Accessories</t>
        </is>
      </c>
      <c r="E1521" s="18" t="inlineStr">
        <is>
          <t>Levi's® Vintage Clothing Chemise Shorthorn Sawtooth - Homme</t>
        </is>
      </c>
      <c r="F1521" s="17" t="inlineStr">
        <is>
          <t>La collection Levi's® Vintage Clothing reproduit les fits, les matières et les détails d’une époque révolue. Notre inspiration provient de nos propres archives et des</t>
        </is>
      </c>
      <c r="G1521" s="19" t="inlineStr">
        <is>
          <t>https://www.levi.com/FR/fr_FR/tops-t-shirts/levis-vintage-clothing-chemise-shorthorn-sawtooth/p/001L70002</t>
        </is>
      </c>
      <c r="H1521" s="20" t="n">
        <v>2701</v>
      </c>
      <c r="I1521" s="20" t="n">
        <v>13</v>
      </c>
      <c r="J1521" s="21">
        <f>IF(H1521=0,0,I1521/H1521)</f>
        <v/>
      </c>
    </row>
    <row r="1522">
      <c r="A1522" s="17" t="inlineStr">
        <is>
          <t>Levi's</t>
        </is>
      </c>
      <c r="B1522" s="17" t="inlineStr">
        <is>
          <t>Live</t>
        </is>
      </c>
      <c r="C1522" s="17" t="inlineStr">
        <is>
          <t>Levis 2</t>
        </is>
      </c>
      <c r="D1522" s="17" t="inlineStr">
        <is>
          <t>Clothing and Accessories</t>
        </is>
      </c>
      <c r="E1522" s="18" t="inlineStr">
        <is>
          <t>Jean 502™ Fuselé - Gris | Levi's® FR</t>
        </is>
      </c>
      <c r="F1522" s="17" t="inlineStr">
        <is>
          <t>Notre coupe la plus facile à porter : le jean 502™ fuselé. Coupe plus ajustée (mais assez ample pour être confortable) et jambe fuselée, c’est une alternative plus raffinée et</t>
        </is>
      </c>
      <c r="G1522" s="19" t="inlineStr">
        <is>
          <t>https://click.linksynergy.com/deeplink?id=9i20SERoF44&amp;mid=53154&amp;murl=https%3A%2F%2Fwww.levi.com%2FFR%2Ffr_FR%2Fvetements%2Fvetements-homme-levis%2Fjeans%2Ffuseles%2Fjean502-fusele%2Fp%2F295071420</t>
        </is>
      </c>
      <c r="H1522" s="20" t="n">
        <v>2685</v>
      </c>
      <c r="I1522" s="20" t="n">
        <v>11</v>
      </c>
      <c r="J1522" s="21">
        <f>IF(H1522=0,0,I1522/H1522)</f>
        <v/>
      </c>
    </row>
    <row r="1523">
      <c r="A1523" s="17" t="inlineStr">
        <is>
          <t>Levi's</t>
        </is>
      </c>
      <c r="B1523" s="17" t="inlineStr">
        <is>
          <t>Live</t>
        </is>
      </c>
      <c r="C1523" s="17" t="inlineStr">
        <is>
          <t>Levis 2</t>
        </is>
      </c>
      <c r="D1523" s="17" t="inlineStr">
        <is>
          <t>Clothing and Accessories</t>
        </is>
      </c>
      <c r="E1523" s="18" t="inlineStr">
        <is>
          <t>Jean Ribcage Wide Leg | Levi's® FR</t>
        </is>
      </c>
      <c r="F1523" s="17" t="inlineStr">
        <is>
          <t>Le jean Ribcage Wide Leg associe une taille très haute et une jambe large pour une silhouette années 90 affirmée.</t>
        </is>
      </c>
      <c r="G1523" s="19" t="inlineStr">
        <is>
          <t>https://click.linksynergy.com/deeplink?id=9i20SERoF44&amp;mid=53154&amp;murl=https%3A%2F%2Fwww.levi.com%2FFR%2Ffr_FR%2Fvetements%2Ffemme%2Fjeans%2Floose%2Fjean-ribcage-wide-leg%2Fp%2FA60810020</t>
        </is>
      </c>
      <c r="H1523" s="20" t="n">
        <v>2666</v>
      </c>
      <c r="I1523" s="20" t="n">
        <v>10</v>
      </c>
      <c r="J1523" s="21">
        <f>IF(H1523=0,0,I1523/H1523)</f>
        <v/>
      </c>
    </row>
    <row r="1524">
      <c r="A1524" s="17" t="inlineStr">
        <is>
          <t>Levi's</t>
        </is>
      </c>
      <c r="B1524" s="17" t="inlineStr">
        <is>
          <t>Live</t>
        </is>
      </c>
      <c r="C1524" s="17" t="inlineStr">
        <is>
          <t>Levis 2</t>
        </is>
      </c>
      <c r="D1524" s="17" t="inlineStr">
        <is>
          <t>Clothing and Accessories</t>
        </is>
      </c>
      <c r="E1524" s="18" t="inlineStr">
        <is>
          <t>Levi’s - Mode homme, femme et enfant</t>
        </is>
      </c>
      <c r="F1524" s="17" t="inlineStr">
        <is>
          <t>La veste Trucker Original reste la veste en jean qui a résisté à l’épreuve du temps, une pièce polyvalente qui se glisse sur toutes vos tenues.</t>
        </is>
      </c>
      <c r="G1524" s="19" t="inlineStr">
        <is>
          <t>https://www.levi.com/FR/fr_FR/vetements/unisexe/vetements-dexterieur/blousons-en-denim-et-camionneurs/veste-trucker-original/p/299450036</t>
        </is>
      </c>
      <c r="H1524" s="20" t="n">
        <v>2580</v>
      </c>
      <c r="I1524" s="20" t="n">
        <v>14</v>
      </c>
      <c r="J1524" s="21">
        <f>IF(H1524=0,0,I1524/H1524)</f>
        <v/>
      </c>
    </row>
    <row r="1525">
      <c r="A1525" s="17" t="inlineStr">
        <is>
          <t>Levi's</t>
        </is>
      </c>
      <c r="B1525" s="17" t="inlineStr">
        <is>
          <t>Live</t>
        </is>
      </c>
      <c r="C1525" s="17" t="inlineStr">
        <is>
          <t>Levis 2</t>
        </is>
      </c>
      <c r="D1525" s="17" t="inlineStr">
        <is>
          <t>Clothing and Accessories</t>
        </is>
      </c>
      <c r="E1525" s="18" t="inlineStr">
        <is>
          <t>Levi’s - Mode homme, femme et enfant</t>
        </is>
      </c>
      <c r="F1525" s="17" t="inlineStr">
        <is>
          <t>Le 501 Original garde la jambe droite classique et le style emblématique qui ont fait de ce jean le modèle de référence de tous les autres, ici en gris.</t>
        </is>
      </c>
      <c r="G1525" s="19" t="inlineStr">
        <is>
          <t>https://click.linksynergy.com/deeplink?id=9i20SERoF44&amp;mid=53154&amp;murl=https%3A%2F%2Fwww.levi.com%2FFR%2Ffr_FR%2Fvetements%2Fvetements-homme-levis%2Fjeans%2Fdroits%2Flevis-jean501-original%2Fp%2F005013496</t>
        </is>
      </c>
      <c r="H1525" s="20" t="n">
        <v>2548</v>
      </c>
      <c r="I1525" s="20" t="n">
        <v>11</v>
      </c>
      <c r="J1525" s="21">
        <f>IF(H1525=0,0,I1525/H1525)</f>
        <v/>
      </c>
    </row>
    <row r="1526">
      <c r="A1526" s="17" t="inlineStr">
        <is>
          <t>Levi's</t>
        </is>
      </c>
      <c r="B1526" s="17" t="inlineStr">
        <is>
          <t>Live</t>
        </is>
      </c>
      <c r="C1526" s="17" t="inlineStr">
        <is>
          <t>Levis 2</t>
        </is>
      </c>
      <c r="D1526" s="17" t="inlineStr">
        <is>
          <t>Jeans homme</t>
        </is>
      </c>
      <c r="E1526" s="18" t="inlineStr">
        <is>
          <t>Pantalon Xx Chino Standard Fuselé (grandes Tailles)</t>
        </is>
      </c>
      <c r="F1526" s="17" t="inlineStr">
        <is>
          <t>C’est un Levi's® XX Chino : pas un khaki. Ce pantalon XX Chino standard fuselé est plus doux et possède juste ce qu’il faut de stretch. Légèrement plus ample que notre Slim Taper</t>
        </is>
      </c>
      <c r="G1526" s="19" t="inlineStr">
        <is>
          <t>https://click.linksynergy.com/deeplink?id=9i20SERoF44&amp;mid=53154&amp;murl=https%3A%2F%2Fwww.levi.com%2FFR%2Ffr_FR%2Fvetements%2Fvetements-homme-levis%2Fpantalons%2Fchino%2Fpantalon-xx-chino-standard-fusele-grandes-tailles%2Fp%2F394470000</t>
        </is>
      </c>
      <c r="H1526" s="20" t="n">
        <v>2545</v>
      </c>
      <c r="I1526" s="20" t="n">
        <v>6</v>
      </c>
      <c r="J1526" s="21">
        <f>IF(H1526=0,0,I1526/H1526)</f>
        <v/>
      </c>
    </row>
    <row r="1527">
      <c r="A1527" s="17" t="inlineStr">
        <is>
          <t>Levi's</t>
        </is>
      </c>
      <c r="B1527" s="17" t="inlineStr">
        <is>
          <t>Live</t>
        </is>
      </c>
      <c r="C1527" s="17" t="inlineStr">
        <is>
          <t>Levis 2</t>
        </is>
      </c>
      <c r="D1527" s="17" t="inlineStr">
        <is>
          <t>Clothing and Accessories</t>
        </is>
      </c>
      <c r="E1527" s="18" t="inlineStr">
        <is>
          <t>Jean Skinny 510™ Pour Enfant - Bleu | Levi's® FR</t>
        </is>
      </c>
      <c r="F1527" s="17" t="inlineStr">
        <is>
          <t>La coupe moulante que vous adorez, avec une touche de stretch pour bouger et jouer en toute liberté Design traditionnel à 5 poches Ceinture réglable Braguette zippée Fermeture à</t>
        </is>
      </c>
      <c r="G1527" s="19" t="inlineStr">
        <is>
          <t>https://click.linksynergy.com/deeplink?id=9i20SERoF44&amp;mid=53154&amp;murl=https%3A%2F%2Fwww.levi.com%2FFR%2Ffr_FR%2Fvetements%2Fenfants%2Fgarcon%2Fjeans-garcon%2Fjean-skinny510-pour-enfant%2Fp%2F864900009</t>
        </is>
      </c>
      <c r="H1527" s="20" t="n">
        <v>2535</v>
      </c>
      <c r="I1527" s="20" t="n">
        <v>12</v>
      </c>
      <c r="J1527" s="21">
        <f>IF(H1527=0,0,I1527/H1527)</f>
        <v/>
      </c>
    </row>
    <row r="1528">
      <c r="A1528" s="17" t="inlineStr">
        <is>
          <t>Levi's</t>
        </is>
      </c>
      <c r="B1528" s="17" t="inlineStr">
        <is>
          <t>Live</t>
        </is>
      </c>
      <c r="C1528" s="17" t="inlineStr">
        <is>
          <t>Levis 2</t>
        </is>
      </c>
      <c r="D1528" s="17" t="inlineStr">
        <is>
          <t>Jeans femme</t>
        </is>
      </c>
      <c r="E1528" s="18" t="inlineStr">
        <is>
          <t>Levi's Short 501® Original - Femme - Gris / Hit The Road Bb</t>
        </is>
      </c>
      <c r="F1528" s="17" t="inlineStr">
        <is>
          <t>Nous n’avons pas seulement introduit le blue-jean—nous avons aussi inventé le tout premier short en jean. Un style emblématique et longiligne qui souligne votre taille et vous</t>
        </is>
      </c>
      <c r="G1528" s="19" t="inlineStr">
        <is>
          <t>https://www.levi.com/FR/fr_FR/vetements/femme/shorts/shorts-en-denim/short501original/p/563270405</t>
        </is>
      </c>
      <c r="H1528" s="20" t="n">
        <v>2530</v>
      </c>
      <c r="I1528" s="20" t="n">
        <v>16</v>
      </c>
      <c r="J1528" s="21">
        <f>IF(H1528=0,0,I1528/H1528)</f>
        <v/>
      </c>
    </row>
    <row r="1529">
      <c r="A1529" s="17" t="inlineStr">
        <is>
          <t>Levi's</t>
        </is>
      </c>
      <c r="B1529" s="17" t="inlineStr">
        <is>
          <t>Live</t>
        </is>
      </c>
      <c r="C1529" s="17" t="inlineStr">
        <is>
          <t>Levis 2</t>
        </is>
      </c>
      <c r="D1529" s="17" t="inlineStr">
        <is>
          <t>Clothing and Accessories</t>
        </is>
      </c>
      <c r="E1529" s="18" t="inlineStr">
        <is>
          <t>Levi's Short 478™ Baggy - Homme - Délavage Clair /</t>
        </is>
      </c>
      <c r="F1529" s="17" t="inlineStr">
        <is>
          <t>Notre tout dernier clin d’œil aux années 90 : Le short 478 Baggy. Nous avons opté pour une taille basse, une coupe ultra-baggy et rétro et une longueur moyenne. Short baggy rétro</t>
        </is>
      </c>
      <c r="G1529" s="19" t="inlineStr">
        <is>
          <t>https://www.levi.com/FR/fr_FR/vetements/vetements-homme-levis/shorts/entrejambe-de-25cm/short478-baggy/p/001JM0013</t>
        </is>
      </c>
      <c r="H1529" s="20" t="n">
        <v>2494</v>
      </c>
      <c r="I1529" s="20" t="n">
        <v>14</v>
      </c>
      <c r="J1529" s="21">
        <f>IF(H1529=0,0,I1529/H1529)</f>
        <v/>
      </c>
    </row>
    <row r="1530">
      <c r="A1530" s="17" t="inlineStr">
        <is>
          <t>Levi's</t>
        </is>
      </c>
      <c r="B1530" s="17" t="inlineStr">
        <is>
          <t>Live</t>
        </is>
      </c>
      <c r="C1530" s="17" t="inlineStr">
        <is>
          <t>Levis 2</t>
        </is>
      </c>
      <c r="D1530" s="17" t="inlineStr">
        <is>
          <t>Clothing and Accessories</t>
        </is>
      </c>
      <c r="E1530" s="18" t="inlineStr">
        <is>
          <t>Jean Anchor Relaxed | Levi's® FR</t>
        </is>
      </c>
      <c r="F1530" s="17" t="inlineStr">
        <is>
          <t>Le jean Anchor Relaxed offre une coupe ample et décontractée dans la pure tradition denim Levi's, pour un confort au quotidien.</t>
        </is>
      </c>
      <c r="G1530" s="19" t="inlineStr">
        <is>
          <t>https://click.linksynergy.com/deeplink?id=9i20SERoF44&amp;mid=53154&amp;murl=https%3A%2F%2Fwww.levi.com%2FFR%2Ffr_FR%2Fvetements%2Fvetements-homme-levis%2Fjeans%2Floose-jeans%2Fjean-anchor-relaxed%2Fp%2F0033V0001</t>
        </is>
      </c>
      <c r="H1530" s="20" t="n">
        <v>2485</v>
      </c>
      <c r="I1530" s="20" t="n">
        <v>12</v>
      </c>
      <c r="J1530" s="21">
        <f>IF(H1530=0,0,I1530/H1530)</f>
        <v/>
      </c>
    </row>
    <row r="1531">
      <c r="A1531" s="17" t="inlineStr">
        <is>
          <t>Levi's</t>
        </is>
      </c>
      <c r="B1531" s="17" t="inlineStr">
        <is>
          <t>Live</t>
        </is>
      </c>
      <c r="C1531" s="17" t="inlineStr">
        <is>
          <t>Levis 2</t>
        </is>
      </c>
      <c r="D1531" s="17" t="inlineStr">
        <is>
          <t>Clothing and Accessories</t>
        </is>
      </c>
      <c r="E1531" s="18" t="inlineStr">
        <is>
          <t>Xx Cargo Straight Pants - Green | Levi's® FR</t>
        </is>
      </c>
      <c r="F1531" s="17" t="inlineStr">
        <is>
          <t>Ce n’est pas votre cargo habituel. Fonctionnel, notre XX Cargo Straight, reprend les codes de notre XX Chino auxquels nous avons ajouté ceux du cargo : des poches de style</t>
        </is>
      </c>
      <c r="G1531" s="19" t="inlineStr">
        <is>
          <t>https://click.linksynergy.com/deeplink?id=9i20SERoF44&amp;mid=53154&amp;murl=https%3A%2F%2Fwww.levi.com%2FFR%2Ffr_FR%2Fshop-all%2Fxx-cargo-straight-pants%2Fp%2FA73640047</t>
        </is>
      </c>
      <c r="H1531" s="20" t="n">
        <v>2414</v>
      </c>
      <c r="I1531" s="20" t="n">
        <v>13</v>
      </c>
      <c r="J1531" s="21">
        <f>IF(H1531=0,0,I1531/H1531)</f>
        <v/>
      </c>
    </row>
    <row r="1532">
      <c r="A1532" s="17" t="inlineStr">
        <is>
          <t>Levi's</t>
        </is>
      </c>
      <c r="B1532" s="17" t="inlineStr">
        <is>
          <t>Live</t>
        </is>
      </c>
      <c r="C1532" s="17" t="inlineStr">
        <is>
          <t>Levis 2</t>
        </is>
      </c>
      <c r="D1532" s="17" t="inlineStr">
        <is>
          <t>Clothing and Accessories</t>
        </is>
      </c>
      <c r="E1532" s="18" t="inlineStr">
        <is>
          <t>Levi’s - Mode homme, femme et enfant</t>
        </is>
      </c>
      <c r="F1532" s="17" t="inlineStr">
        <is>
          <t>La ceinture Ashland est taillée dans du cuir véritable de la meilleure qualité et conçue pour résister longtemps à l’usure, comme le jean qu’elle tient.</t>
        </is>
      </c>
      <c r="G1532" s="19" t="inlineStr">
        <is>
          <t>https://click.linksynergy.com/deeplink?id=9i20SERoF44&amp;mid=53154&amp;murl=https%3A%2F%2Fwww.levi.com%2FFR%2Ffr_FR%2Funidays-nl%2Fceinture-ashland%2Fp%2F380160117</t>
        </is>
      </c>
      <c r="H1532" s="20" t="n">
        <v>2402</v>
      </c>
      <c r="I1532" s="20" t="n">
        <v>10</v>
      </c>
      <c r="J1532" s="21">
        <f>IF(H1532=0,0,I1532/H1532)</f>
        <v/>
      </c>
    </row>
    <row r="1533">
      <c r="A1533" s="17" t="inlineStr">
        <is>
          <t>Levi's</t>
        </is>
      </c>
      <c r="B1533" s="17" t="inlineStr">
        <is>
          <t>Live</t>
        </is>
      </c>
      <c r="C1533" s="17" t="inlineStr">
        <is>
          <t>Levis 2</t>
        </is>
      </c>
      <c r="D1533" s="17" t="inlineStr">
        <is>
          <t>Clothing and Accessories</t>
        </is>
      </c>
      <c r="E1533" s="18" t="inlineStr">
        <is>
          <t>Short 501® original - Gris | Levi's® FR</t>
        </is>
      </c>
      <c r="F1533" s="17" t="inlineStr">
        <is>
          <t>Nous n’avons pas seulement introduit le blue-jean—nous avons aussi inventé le tout premier short en jean. Un style emblématique et longiligne qui souligne votre taille et vous</t>
        </is>
      </c>
      <c r="G1533" s="19" t="inlineStr">
        <is>
          <t>https://click.linksynergy.com/deeplink?id=9i20SERoF44&amp;mid=53154&amp;murl=https%3A%2F%2Fwww.levi.com%2FFR%2Ffr_FR%2Fvetements%2Ffemme%2Fshorts%2F501-shorts%2Fshort501original%2Fp%2F563270405</t>
        </is>
      </c>
      <c r="H1533" s="20" t="n">
        <v>2398</v>
      </c>
      <c r="I1533" s="20" t="n">
        <v>17</v>
      </c>
      <c r="J1533" s="21">
        <f>IF(H1533=0,0,I1533/H1533)</f>
        <v/>
      </c>
    </row>
    <row r="1534">
      <c r="A1534" s="17" t="inlineStr">
        <is>
          <t>Levi's</t>
        </is>
      </c>
      <c r="B1534" s="17" t="inlineStr">
        <is>
          <t>Live</t>
        </is>
      </c>
      <c r="C1534" s="17" t="inlineStr">
        <is>
          <t>Levis 2</t>
        </is>
      </c>
      <c r="D1534" s="17" t="inlineStr">
        <is>
          <t>Clothing and Accessories</t>
        </is>
      </c>
      <c r="E1534" s="18" t="inlineStr">
        <is>
          <t>Jean Xl Straight - Noir | Levi's® FR</t>
        </is>
      </c>
      <c r="F1534" s="17" t="inlineStr">
        <is>
          <t>Nous avons opté pour une coupe baggy oversize, une jambe droite plus large et une taille réglable pour créer ce pantalon XL Straight. Enfin, nous avons ajouté une ceinture</t>
        </is>
      </c>
      <c r="G1534" s="19" t="inlineStr">
        <is>
          <t>https://click.linksynergy.com/deeplink?id=9i20SERoF44&amp;mid=53154&amp;murl=https%3A%2F%2Fwww.levi.com%2FFR%2Ffr_FR%2Fvetements%2Ffemme%2Fjeans%2Floose%2Fjean-xl-straight%2Fp%2FA87010003</t>
        </is>
      </c>
      <c r="H1534" s="20" t="n">
        <v>2391</v>
      </c>
      <c r="I1534" s="20" t="n">
        <v>17</v>
      </c>
      <c r="J1534" s="21">
        <f>IF(H1534=0,0,I1534/H1534)</f>
        <v/>
      </c>
    </row>
    <row r="1535">
      <c r="A1535" s="17" t="inlineStr">
        <is>
          <t>Levi's</t>
        </is>
      </c>
      <c r="B1535" s="17" t="inlineStr">
        <is>
          <t>Live</t>
        </is>
      </c>
      <c r="C1535" s="17" t="inlineStr">
        <is>
          <t>Levis 2</t>
        </is>
      </c>
      <c r="D1535" s="17" t="inlineStr">
        <is>
          <t>Clothing and Accessories</t>
        </is>
      </c>
      <c r="E1535" s="18" t="inlineStr">
        <is>
          <t>Levi’s - Mode homme, femme et enfant</t>
        </is>
      </c>
      <c r="F1535" s="17" t="inlineStr">
        <is>
          <t>Le 501 Original femme garde la jambe droite classique et le délavage foncé qui ont fait de ce modèle la référence de tous les jeans.</t>
        </is>
      </c>
      <c r="G1535" s="19" t="inlineStr">
        <is>
          <t>https://click.linksynergy.com/deeplink?id=9i20SERoF44&amp;mid=53154&amp;murl=https%3A%2F%2Fwww.levi.com%2FFR%2Ffr_FR%2Fvetements%2Ffemme%2Fjeans%2Ftaille-haute%2Fjean-501original%2Fp%2F125010554</t>
        </is>
      </c>
      <c r="H1535" s="20" t="n">
        <v>2308</v>
      </c>
      <c r="I1535" s="20" t="n">
        <v>5</v>
      </c>
      <c r="J1535" s="21">
        <f>IF(H1535=0,0,I1535/H1535)</f>
        <v/>
      </c>
    </row>
    <row r="1536">
      <c r="A1536" s="17" t="inlineStr">
        <is>
          <t>Levi's</t>
        </is>
      </c>
      <c r="B1536" s="17" t="inlineStr">
        <is>
          <t>Live</t>
        </is>
      </c>
      <c r="C1536" s="17" t="inlineStr">
        <is>
          <t>Levis 2</t>
        </is>
      </c>
      <c r="D1536" s="17" t="inlineStr">
        <is>
          <t>Clothing and Accessories</t>
        </is>
      </c>
      <c r="E1536" s="18" t="inlineStr">
        <is>
          <t>T-shirt Perfect (grandes Tailles) - Noir | Levi's® FR</t>
        </is>
      </c>
      <c r="F1536" s="17" t="inlineStr">
        <is>
          <t>Les modèles décontractés comme notre t-shirt Perfect à logo ont été conçus pour aller avec un jean. Ce t-shirt est aussi confortable que bien taillé. Nous le qualifions de «</t>
        </is>
      </c>
      <c r="G1536" s="19" t="inlineStr">
        <is>
          <t>https://click.linksynergy.com/deeplink?id=9i20SERoF44&amp;mid=53154&amp;murl=https%3A%2F%2Fwww.levi.com%2FFR%2Ffr_FR%2Fshop-all%2Fperfect-tee-plus-size%2Fp%2FA24350085</t>
        </is>
      </c>
      <c r="H1536" s="20" t="n">
        <v>2277</v>
      </c>
      <c r="I1536" s="20" t="n">
        <v>13</v>
      </c>
      <c r="J1536" s="21">
        <f>IF(H1536=0,0,I1536/H1536)</f>
        <v/>
      </c>
    </row>
    <row r="1537">
      <c r="A1537" s="17" t="inlineStr">
        <is>
          <t>Levi's</t>
        </is>
      </c>
      <c r="B1537" s="17" t="inlineStr">
        <is>
          <t>Live</t>
        </is>
      </c>
      <c r="C1537" s="17" t="inlineStr">
        <is>
          <t>Levis 2</t>
        </is>
      </c>
      <c r="D1537" s="17" t="inlineStr">
        <is>
          <t>Jeans homme</t>
        </is>
      </c>
      <c r="E1537" s="18" t="inlineStr">
        <is>
          <t>Levi's Short Carrier Cargo - Homme - Vert / Olive Night</t>
        </is>
      </c>
      <c r="F1537" s="17" t="inlineStr">
        <is>
          <t>Confortable et de style utilitaire, notre short Carrier Cargo possède des poches pour ranger vos affaires. Ce short au fit relaxed qui tombe sur la taille a tout pour être en haut</t>
        </is>
      </c>
      <c r="G1537" s="19" t="inlineStr">
        <is>
          <t>https://www.levi.com/FR/fr_FR/shop-all/short-carrier-cargo/p/001KG0013</t>
        </is>
      </c>
      <c r="H1537" s="20" t="n">
        <v>2277</v>
      </c>
      <c r="I1537" s="20" t="n">
        <v>11</v>
      </c>
      <c r="J1537" s="21">
        <f>IF(H1537=0,0,I1537/H1537)</f>
        <v/>
      </c>
    </row>
    <row r="1538">
      <c r="A1538" s="17" t="inlineStr">
        <is>
          <t>Levi's</t>
        </is>
      </c>
      <c r="B1538" s="17" t="inlineStr">
        <is>
          <t>Live</t>
        </is>
      </c>
      <c r="C1538" s="17" t="inlineStr">
        <is>
          <t>Levis 2</t>
        </is>
      </c>
      <c r="D1538" s="17" t="inlineStr">
        <is>
          <t>Jeans homme</t>
        </is>
      </c>
      <c r="E1538" s="18" t="inlineStr">
        <is>
          <t>Xx Cargo Straight Pants - Green | Levi's® FR</t>
        </is>
      </c>
      <c r="F1538" s="17" t="inlineStr">
        <is>
          <t>Ce n’est pas votre cargo habituel. Fonctionnel, notre XX Cargo Straight, reprend les codes de notre XX Chino auxquels nous avons ajouté ceux du cargo : des poches de style</t>
        </is>
      </c>
      <c r="G1538" s="19" t="inlineStr">
        <is>
          <t>https://click.linksynergy.com/deeplink?id=9i20SERoF44&amp;mid=53154&amp;murl=https%3A%2F%2Fwww.levi.com%2FFR%2Ffr_FR%2Fshop-all%2Fxx-cargo-straight-pants%2Fp%2FA73640047</t>
        </is>
      </c>
      <c r="H1538" s="20" t="n">
        <v>2239</v>
      </c>
      <c r="I1538" s="20" t="n">
        <v>11</v>
      </c>
      <c r="J1538" s="21">
        <f>IF(H1538=0,0,I1538/H1538)</f>
        <v/>
      </c>
    </row>
    <row r="1539">
      <c r="A1539" s="17" t="inlineStr">
        <is>
          <t>Levi's</t>
        </is>
      </c>
      <c r="B1539" s="17" t="inlineStr">
        <is>
          <t>Live</t>
        </is>
      </c>
      <c r="C1539" s="17" t="inlineStr">
        <is>
          <t>Levis 2</t>
        </is>
      </c>
      <c r="D1539" s="17" t="inlineStr">
        <is>
          <t>Jeans homme</t>
        </is>
      </c>
      <c r="E1539" s="18" t="inlineStr">
        <is>
          <t>Levi's Short 478™ Baggy - Homme - Délavage Clair /</t>
        </is>
      </c>
      <c r="F1539" s="17" t="inlineStr">
        <is>
          <t>Notre tout dernier clin d’œil aux années 90 : Le short 478 Baggy. Nous avons opté pour une taille basse, une coupe ultra-baggy et rétro et une longueur moyenne. Short baggy rétro</t>
        </is>
      </c>
      <c r="G1539" s="19" t="inlineStr">
        <is>
          <t>https://www.levi.com/FR/fr_FR/vetements/vetements-homme-levis/shorts/entrejambe-de-25cm/short478-baggy/p/001JM0013</t>
        </is>
      </c>
      <c r="H1539" s="20" t="n">
        <v>2222</v>
      </c>
      <c r="I1539" s="20" t="n">
        <v>15</v>
      </c>
      <c r="J1539" s="21">
        <f>IF(H1539=0,0,I1539/H1539)</f>
        <v/>
      </c>
    </row>
    <row r="1540">
      <c r="A1540" s="17" t="inlineStr">
        <is>
          <t>Levi's</t>
        </is>
      </c>
      <c r="B1540" s="17" t="inlineStr">
        <is>
          <t>Live</t>
        </is>
      </c>
      <c r="C1540" s="17" t="inlineStr">
        <is>
          <t>Levis 2</t>
        </is>
      </c>
      <c r="D1540" s="17" t="inlineStr">
        <is>
          <t>Pantalons et chinos homme</t>
        </is>
      </c>
      <c r="E1540" s="18" t="inlineStr">
        <is>
          <t>Pantalon Xx Chino Standard Fuselé (grandes Tailles)</t>
        </is>
      </c>
      <c r="F1540" s="17" t="inlineStr">
        <is>
          <t>C’est un Levi's® XX Chino : pas un khaki. Ce pantalon XX Chino standard fuselé est plus doux et possède juste ce qu’il faut de stretch. Légèrement plus ample que notre Slim Taper</t>
        </is>
      </c>
      <c r="G1540" s="19" t="inlineStr">
        <is>
          <t>https://click.linksynergy.com/deeplink?id=9i20SERoF44&amp;mid=53154&amp;murl=https%3A%2F%2Fwww.levi.com%2FFR%2Ffr_FR%2Fvetements%2Fvetements-homme-levis%2Fpantalons%2Fchino%2Fpantalon-xx-chino-standard-fusele-grandes-tailles%2Fp%2F394470000</t>
        </is>
      </c>
      <c r="H1540" s="20" t="n">
        <v>887</v>
      </c>
      <c r="I1540" s="20" t="n">
        <v>8</v>
      </c>
      <c r="J1540" s="21">
        <f>IF(H1540=0,0,I1540/H1540)</f>
        <v/>
      </c>
    </row>
    <row r="1541">
      <c r="A1541" s="17" t="inlineStr">
        <is>
          <t>Levi's</t>
        </is>
      </c>
      <c r="B1541" s="17" t="inlineStr">
        <is>
          <t>Live</t>
        </is>
      </c>
      <c r="C1541" s="17" t="inlineStr">
        <is>
          <t>Levis 2</t>
        </is>
      </c>
      <c r="D1541" s="17" t="inlineStr">
        <is>
          <t>Shorts homme et femme</t>
        </is>
      </c>
      <c r="E1541" s="18" t="inlineStr">
        <is>
          <t>Levi's Short Carrier Cargo - Homme - Vert / Olive Night</t>
        </is>
      </c>
      <c r="F1541" s="17" t="inlineStr">
        <is>
          <t>Confortable et de style utilitaire, notre short Carrier Cargo possède des poches pour ranger vos affaires. Ce short au fit relaxed qui tombe sur la taille a tout pour être en haut</t>
        </is>
      </c>
      <c r="G1541" s="19" t="inlineStr">
        <is>
          <t>https://www.levi.com/FR/fr_FR/shop-all/short-carrier-cargo/p/001KG0013</t>
        </is>
      </c>
      <c r="H1541" s="20" t="n">
        <v>810</v>
      </c>
      <c r="I1541" s="20" t="n">
        <v>8</v>
      </c>
      <c r="J1541" s="21">
        <f>IF(H1541=0,0,I1541/H1541)</f>
        <v/>
      </c>
    </row>
    <row r="1542">
      <c r="A1542" s="17" t="inlineStr">
        <is>
          <t>Levi's</t>
        </is>
      </c>
      <c r="B1542" s="17" t="inlineStr">
        <is>
          <t>Live</t>
        </is>
      </c>
      <c r="C1542" s="17" t="inlineStr">
        <is>
          <t>Levis 2</t>
        </is>
      </c>
      <c r="D1542" s="17" t="inlineStr">
        <is>
          <t>Pantalons et chinos homme</t>
        </is>
      </c>
      <c r="E1542" s="18" t="inlineStr">
        <is>
          <t>Xx Cargo Straight Pants - Green | Levi's® FR</t>
        </is>
      </c>
      <c r="F1542" s="17" t="inlineStr">
        <is>
          <t>Ce n’est pas votre cargo habituel. Fonctionnel, notre XX Cargo Straight, reprend les codes de notre XX Chino auxquels nous avons ajouté ceux du cargo : des poches de style</t>
        </is>
      </c>
      <c r="G1542" s="19" t="inlineStr">
        <is>
          <t>https://click.linksynergy.com/deeplink?id=9i20SERoF44&amp;mid=53154&amp;murl=https%3A%2F%2Fwww.levi.com%2FFR%2Ffr_FR%2Fshop-all%2Fxx-cargo-straight-pants%2Fp%2FA73640047</t>
        </is>
      </c>
      <c r="H1542" s="20" t="n">
        <v>802</v>
      </c>
      <c r="I1542" s="20" t="n">
        <v>1</v>
      </c>
      <c r="J1542" s="21">
        <f>IF(H1542=0,0,I1542/H1542)</f>
        <v/>
      </c>
    </row>
    <row r="1543">
      <c r="A1543" s="17" t="inlineStr">
        <is>
          <t>Levi's</t>
        </is>
      </c>
      <c r="B1543" s="17" t="inlineStr">
        <is>
          <t>Live</t>
        </is>
      </c>
      <c r="C1543" s="17" t="inlineStr">
        <is>
          <t>Levis 2</t>
        </is>
      </c>
      <c r="D1543" s="17" t="inlineStr">
        <is>
          <t>Shorts homme et femme</t>
        </is>
      </c>
      <c r="E1543" s="18" t="inlineStr">
        <is>
          <t>Levi's Short 478™ Baggy - Homme - Délavage Clair /</t>
        </is>
      </c>
      <c r="F1543" s="17" t="inlineStr">
        <is>
          <t>Notre tout dernier clin d’œil aux années 90 : Le short 478 Baggy. Nous avons opté pour une taille basse, une coupe ultra-baggy et rétro et une longueur moyenne. Short baggy rétro</t>
        </is>
      </c>
      <c r="G1543" s="19" t="inlineStr">
        <is>
          <t>https://www.levi.com/FR/fr_FR/vetements/vetements-homme-levis/shorts/entrejambe-de-25cm/short478-baggy/p/001JM0013</t>
        </is>
      </c>
      <c r="H1543" s="20" t="n">
        <v>782</v>
      </c>
      <c r="I1543" s="20" t="n">
        <v>7</v>
      </c>
      <c r="J1543" s="21">
        <f>IF(H1543=0,0,I1543/H1543)</f>
        <v/>
      </c>
    </row>
    <row r="1544">
      <c r="A1544" s="17" t="inlineStr">
        <is>
          <t>Levi's</t>
        </is>
      </c>
      <c r="B1544" s="17" t="inlineStr">
        <is>
          <t>Live</t>
        </is>
      </c>
      <c r="C1544" s="17" t="inlineStr">
        <is>
          <t>Levis 2</t>
        </is>
      </c>
      <c r="D1544" s="17" t="inlineStr">
        <is>
          <t>Shorts homme et femme</t>
        </is>
      </c>
      <c r="E1544" s="18" t="inlineStr">
        <is>
          <t>Levi's Short 501® Original - Femme - Gris / Hit The Road Bb</t>
        </is>
      </c>
      <c r="F1544" s="17" t="inlineStr">
        <is>
          <t>Nous n’avons pas seulement introduit le blue-jean—nous avons aussi inventé le tout premier short en jean. Un style emblématique et longiligne qui souligne votre taille et vous</t>
        </is>
      </c>
      <c r="G1544" s="19" t="inlineStr">
        <is>
          <t>https://www.levi.com/FR/fr_FR/vetements/femme/shorts/shorts-en-denim/short501original/p/563270405</t>
        </is>
      </c>
      <c r="H1544" s="20" t="n">
        <v>774</v>
      </c>
      <c r="I1544" s="20" t="n">
        <v>3</v>
      </c>
      <c r="J1544" s="21">
        <f>IF(H1544=0,0,I1544/H1544)</f>
        <v/>
      </c>
    </row>
    <row r="1545">
      <c r="A1545" s="17" t="inlineStr">
        <is>
          <t>DSR</t>
        </is>
      </c>
      <c r="B1545" s="17" t="inlineStr">
        <is>
          <t>Live</t>
        </is>
      </c>
      <c r="C1545" s="17" t="inlineStr">
        <is>
          <t>Conduite accompagnée</t>
        </is>
      </c>
      <c r="D1545" s="17" t="inlineStr">
        <is>
          <t>Conduite accompagnée</t>
        </is>
      </c>
      <c r="E1545" s="18" t="inlineStr">
        <is>
          <t>Conduite accompagnée : 15 ans, c'est le bon moment</t>
        </is>
      </c>
      <c r="F1545" s="17" t="inlineStr">
        <is>
          <t>Une formation en auto-école, 3000 km au volant, de meilleurs résultats au permis, moins d'accident après et au final c'est moins cher</t>
        </is>
      </c>
      <c r="G1545" s="19" t="inlineStr">
        <is>
          <t>https://server.adform.net/C/?bn=89997184;gdpr=${GDPR};gdpr_consent=${GDPR_CONSENT_50}</t>
        </is>
      </c>
      <c r="H1545" s="20" t="n">
        <v>374206</v>
      </c>
      <c r="I1545" s="20" t="n">
        <v>1591</v>
      </c>
      <c r="J1545" s="21">
        <f>IF(H1545=0,0,I1545/H1545)</f>
        <v/>
      </c>
    </row>
    <row r="1546">
      <c r="A1546" s="17" t="inlineStr">
        <is>
          <t>Bosch</t>
        </is>
      </c>
      <c r="B1546" s="17" t="inlineStr">
        <is>
          <t>Live</t>
        </is>
      </c>
      <c r="C1546" s="17" t="inlineStr">
        <is>
          <t>BOSCH</t>
        </is>
      </c>
      <c r="D1546" s="17" t="inlineStr">
        <is>
          <t>Lave-vaisselle pose libre</t>
        </is>
      </c>
      <c r="E1546" s="18" t="inlineStr">
        <is>
          <t>Lave-vaisselle pose libre BOSCH SMS26AI01F SER2 - 12</t>
        </is>
      </c>
      <c r="F1546" s="17" t="inlineStr">
        <is>
          <t>Cdiscount Electroménager - Découvrez notre offre Lave-vaisselle pose libre BOSCH SMS26AI01F SER2 - 12 couverts - Induction - L60cm - 48 dB - Acier brossé anti-traces. Livraison</t>
        </is>
      </c>
      <c r="G1546" s="19" t="inlineStr">
        <is>
          <t>https://www.cdiscount.com/electromenager/lave-vaisselle/lave-vaisselle-pose-libre-bosch-sms26ai01f-ser2/f-11025-bos4242005484331.html?cid=lemwork&amp;cm_mmc=BSH13</t>
        </is>
      </c>
      <c r="H1546" s="20" t="n">
        <v>10376</v>
      </c>
      <c r="I1546" s="20" t="n">
        <v>64</v>
      </c>
      <c r="J1546" s="21">
        <f>IF(H1546=0,0,I1546/H1546)</f>
        <v/>
      </c>
    </row>
    <row r="1547">
      <c r="A1547" s="17" t="inlineStr">
        <is>
          <t>Bosch</t>
        </is>
      </c>
      <c r="B1547" s="17" t="inlineStr">
        <is>
          <t>Live</t>
        </is>
      </c>
      <c r="C1547" s="17" t="inlineStr">
        <is>
          <t>BOSCH</t>
        </is>
      </c>
      <c r="D1547" s="17" t="inlineStr">
        <is>
          <t>Electronics and Appliance Stores</t>
        </is>
      </c>
      <c r="E1547" s="18" t="inlineStr">
        <is>
          <t>Lave-vaisselle tout encastrable BOSCH SBH4HVX14E SER4 - 14</t>
        </is>
      </c>
      <c r="F1547" s="17" t="inlineStr">
        <is>
          <t>Cdiscount Electroménager - Découvrez notre offre Lave-vaisselle tout encastrable BOSCH SBH4HVX14E SER4 - 14 couverts - L60 cm XXL (grande hauteur) - 46 dB - Porte à glissières.</t>
        </is>
      </c>
      <c r="G1547" s="19" t="inlineStr">
        <is>
          <t>https://www.cdiscount.com/electromenager/lave-vaisselle/lave-vaisselle-tout-encastrable-bosch-sbh4hvx14e-s/f-11025-aabtv44359.html?cid=lemwork&amp;cm_mmc=BSH3</t>
        </is>
      </c>
      <c r="H1547" s="20" t="n">
        <v>10080</v>
      </c>
      <c r="I1547" s="20" t="n">
        <v>41</v>
      </c>
      <c r="J1547" s="21">
        <f>IF(H1547=0,0,I1547/H1547)</f>
        <v/>
      </c>
    </row>
    <row r="1548">
      <c r="A1548" s="17" t="inlineStr">
        <is>
          <t>Bosch</t>
        </is>
      </c>
      <c r="B1548" s="17" t="inlineStr">
        <is>
          <t>Live</t>
        </is>
      </c>
      <c r="C1548" s="17" t="inlineStr">
        <is>
          <t>BOSCH</t>
        </is>
      </c>
      <c r="D1548" s="17" t="inlineStr">
        <is>
          <t>Lave-vaisselle pose libre</t>
        </is>
      </c>
      <c r="E1548" s="18" t="inlineStr">
        <is>
          <t>Lave-vaisselle pose libre BOSCH SMS2HTW02E SER2 - 13</t>
        </is>
      </c>
      <c r="F1548" s="17" t="inlineStr">
        <is>
          <t>Cdiscount Electroménager - Découvrez notre offre Lave-vaisselle pose libre BOSCH SMS2HTW02E SER2 - 13 couverts - Induction - L60cm - 43 dB - Classe D - Blanc. Livraison gratuite à</t>
        </is>
      </c>
      <c r="G1548" s="19" t="inlineStr">
        <is>
          <t>https://www.cdiscount.com/electromenager/lave-vaisselle/lave-vaisselle-pose-libre-bosch-sms2htw02e-ser2/f-11025-bos4242005437351.html?cid=lemwork&amp;cm_mmc=BSH16</t>
        </is>
      </c>
      <c r="H1548" s="20" t="n">
        <v>9485</v>
      </c>
      <c r="I1548" s="20" t="n">
        <v>51</v>
      </c>
      <c r="J1548" s="21">
        <f>IF(H1548=0,0,I1548/H1548)</f>
        <v/>
      </c>
    </row>
    <row r="1549">
      <c r="A1549" s="17" t="inlineStr">
        <is>
          <t>Bosch</t>
        </is>
      </c>
      <c r="B1549" s="17" t="inlineStr">
        <is>
          <t>Live</t>
        </is>
      </c>
      <c r="C1549" s="17" t="inlineStr">
        <is>
          <t>BOSCH</t>
        </is>
      </c>
      <c r="D1549" s="17" t="inlineStr">
        <is>
          <t>Lave-vaisselle pose libre</t>
        </is>
      </c>
      <c r="E1549" s="18" t="inlineStr">
        <is>
          <t>Lave-vaisselle pose libre BOSCH SSMS6ZCW12F SER6 - 14</t>
        </is>
      </c>
      <c r="F1549" s="17" t="inlineStr">
        <is>
          <t>Cdiscount Electroménager - Découvrez notre offre Lave-vaisselle pose libre BOSCH SSMS6ZCW12F SER6 - 14 couverts - Induction - L60cm - 38 dB - tiroir à couverts - Blanc. Livraison</t>
        </is>
      </c>
      <c r="G1549" s="19" t="inlineStr">
        <is>
          <t>https://www.cdiscount.com/electromenager/lave-vaisselle/lave-vaisselle-pose-libre-bosch-ssms6zcw12f-ser6/f-11025-bos4242005463459.html?cid=lemwork&amp;cm_mmc=BSH11</t>
        </is>
      </c>
      <c r="H1549" s="20" t="n">
        <v>9473</v>
      </c>
      <c r="I1549" s="20" t="n">
        <v>61</v>
      </c>
      <c r="J1549" s="21">
        <f>IF(H1549=0,0,I1549/H1549)</f>
        <v/>
      </c>
    </row>
    <row r="1550">
      <c r="A1550" s="17" t="inlineStr">
        <is>
          <t>Bosch</t>
        </is>
      </c>
      <c r="B1550" s="17" t="inlineStr">
        <is>
          <t>Live</t>
        </is>
      </c>
      <c r="C1550" s="17" t="inlineStr">
        <is>
          <t>BOSCH</t>
        </is>
      </c>
      <c r="D1550" s="17" t="inlineStr">
        <is>
          <t>Lave-vaisselle pose libre</t>
        </is>
      </c>
      <c r="E1550" s="18" t="inlineStr">
        <is>
          <t>Lave-vaisselle pose libre BOSCH SMS4HMW08E SER4 - 14</t>
        </is>
      </c>
      <c r="F1550" s="17" t="inlineStr">
        <is>
          <t>Cdiscount Electroménager - Découvrez notre offre Lave-vaisselle pose libre BOSCH SMS4HMW08E SER4 - 14 couverts - EcoSilence Drive - L60cm - 44dB - tiroir à couverts - Blanc.</t>
        </is>
      </c>
      <c r="G1550" s="19" t="inlineStr">
        <is>
          <t>https://www.cdiscount.com/electromenager/lave-vaisselle/lave-vaisselle-pose-libre-bosch-sms4hmw08e-ser4/f-11025-bos4242005542109.html?cid=lemwork&amp;cm_mmc=BSH4</t>
        </is>
      </c>
      <c r="H1550" s="20" t="n">
        <v>9271</v>
      </c>
      <c r="I1550" s="20" t="n">
        <v>42</v>
      </c>
      <c r="J1550" s="21">
        <f>IF(H1550=0,0,I1550/H1550)</f>
        <v/>
      </c>
    </row>
    <row r="1551">
      <c r="A1551" s="17" t="inlineStr">
        <is>
          <t>Bosch</t>
        </is>
      </c>
      <c r="B1551" s="17" t="inlineStr">
        <is>
          <t>Live</t>
        </is>
      </c>
      <c r="C1551" s="17" t="inlineStr">
        <is>
          <t>BOSCH</t>
        </is>
      </c>
      <c r="D1551" s="17" t="inlineStr">
        <is>
          <t>Lave-vaisselle pose libre</t>
        </is>
      </c>
      <c r="E1551" s="18" t="inlineStr">
        <is>
          <t>Lave-vaisselle pose-libre BOSCH SMS4ECI26E SER4 - 13</t>
        </is>
      </c>
      <c r="F1551" s="17" t="inlineStr">
        <is>
          <t>Cdiscount Electroménager - Découvrez notre offre Lave-vaisselle pose-libre BOSCH SMS4ECI26E SER4 - 13 couverts - Induction - L60cm - 44 dB - tiroir à couverts - Acier brossé.</t>
        </is>
      </c>
      <c r="G1551" s="19" t="inlineStr">
        <is>
          <t>https://www.cdiscount.com/electromenager/lave-vaisselle/lave-vaisselle-pose-libre-bosch-sms4eci26e-ser4/f-11025-aaauj74747.html?cid=lemwork&amp;cm_mmc=BSH15</t>
        </is>
      </c>
      <c r="H1551" s="20" t="n">
        <v>9084</v>
      </c>
      <c r="I1551" s="20" t="n">
        <v>40</v>
      </c>
      <c r="J1551" s="21">
        <f>IF(H1551=0,0,I1551/H1551)</f>
        <v/>
      </c>
    </row>
    <row r="1552">
      <c r="A1552" s="17" t="inlineStr">
        <is>
          <t>Bosch</t>
        </is>
      </c>
      <c r="B1552" s="17" t="inlineStr">
        <is>
          <t>Live</t>
        </is>
      </c>
      <c r="C1552" s="17" t="inlineStr">
        <is>
          <t>BOSCH</t>
        </is>
      </c>
      <c r="D1552" s="17" t="inlineStr">
        <is>
          <t>Lave-vaisselle pose libre</t>
        </is>
      </c>
      <c r="E1552" s="18" t="inlineStr">
        <is>
          <t>Lave-vaisselle pose libre BOSCH SMS26AW01F SER2 - 12</t>
        </is>
      </c>
      <c r="F1552" s="17" t="inlineStr">
        <is>
          <t>Cdiscount Electroménager - Découvrez notre offre Lave-vaisselle pose libre BOSCH SMS26AW01F SER2 - 12 couverts - Induction - L60cm - 48 dB - Blanc. Livraison gratuite à partir de</t>
        </is>
      </c>
      <c r="G1552" s="19" t="inlineStr">
        <is>
          <t>https://www.cdiscount.com/electromenager/lave-vaisselle/lave-vaisselle-pose-libre-bosch-sms26aw01f-ser2/f-11025-bos4242005484348.html?cid=lemwork&amp;cm_mmc=BSH10</t>
        </is>
      </c>
      <c r="H1552" s="20" t="n">
        <v>9009</v>
      </c>
      <c r="I1552" s="20" t="n">
        <v>46</v>
      </c>
      <c r="J1552" s="21">
        <f>IF(H1552=0,0,I1552/H1552)</f>
        <v/>
      </c>
    </row>
    <row r="1553">
      <c r="A1553" s="17" t="inlineStr">
        <is>
          <t>Bosch</t>
        </is>
      </c>
      <c r="B1553" s="17" t="inlineStr">
        <is>
          <t>Live</t>
        </is>
      </c>
      <c r="C1553" s="17" t="inlineStr">
        <is>
          <t>BOSCH</t>
        </is>
      </c>
      <c r="D1553" s="17" t="inlineStr">
        <is>
          <t>Lave-vaisselle pose libre</t>
        </is>
      </c>
      <c r="E1553" s="18" t="inlineStr">
        <is>
          <t>Lave-vaisselle pose libre BOSCH SMS2HVI02E SER2 - 14</t>
        </is>
      </c>
      <c r="F1553" s="17" t="inlineStr">
        <is>
          <t>Cdiscount Electroménager - Découvrez notre offre Lave-vaisselle pose libre BOSCH SMS2HVI02E SER2 - 14 couverts - Induction - L60cm - 46 dB - tiroir à couverts - Acier brossé.</t>
        </is>
      </c>
      <c r="G1553" s="19" t="inlineStr">
        <is>
          <t>https://www.cdiscount.com/electromenager/lave-vaisselle/lave-vaisselle-pose-libre-bosch-sms2hvi02e-ser2/f-11025-bos4242005437047.html?cid=lemwork&amp;cm_mmc=BSH6</t>
        </is>
      </c>
      <c r="H1553" s="20" t="n">
        <v>8950</v>
      </c>
      <c r="I1553" s="20" t="n">
        <v>54</v>
      </c>
      <c r="J1553" s="21">
        <f>IF(H1553=0,0,I1553/H1553)</f>
        <v/>
      </c>
    </row>
    <row r="1554">
      <c r="A1554" s="17" t="inlineStr">
        <is>
          <t>Bosch</t>
        </is>
      </c>
      <c r="B1554" s="17" t="inlineStr">
        <is>
          <t>Live</t>
        </is>
      </c>
      <c r="C1554" s="17" t="inlineStr">
        <is>
          <t>BOSCH</t>
        </is>
      </c>
      <c r="D1554" s="17" t="inlineStr">
        <is>
          <t>Electronics and Appliance Stores</t>
        </is>
      </c>
      <c r="E1554" s="18" t="inlineStr">
        <is>
          <t>Lave-vaisselle semi-encastrable BOSCH SMI2HTS02E SER2 - 13</t>
        </is>
      </c>
      <c r="F1554" s="17" t="inlineStr">
        <is>
          <t>Cdiscount Electroménager - Découvrez notre offre Lave-vaisselle semi-encastrable BOSCH SMI2HTS02E SER2 - 13 couverts - Induction - L60cm - 46 dB - Acier Brossé. Livraison gratuite</t>
        </is>
      </c>
      <c r="G1554" s="19" t="inlineStr">
        <is>
          <t>https://www.cdiscount.com/electromenager/lave-vaisselle/lave-vaisselle-semi-encastrable-bosch-smi2hts02e-s/f-11025-bos4242005437368.html?cid=lemwork&amp;cm_mmc=BSH14</t>
        </is>
      </c>
      <c r="H1554" s="20" t="n">
        <v>8883</v>
      </c>
      <c r="I1554" s="20" t="n">
        <v>33</v>
      </c>
      <c r="J1554" s="21">
        <f>IF(H1554=0,0,I1554/H1554)</f>
        <v/>
      </c>
    </row>
    <row r="1555">
      <c r="A1555" s="17" t="inlineStr">
        <is>
          <t>Bosch</t>
        </is>
      </c>
      <c r="B1555" s="17" t="inlineStr">
        <is>
          <t>Live</t>
        </is>
      </c>
      <c r="C1555" s="17" t="inlineStr">
        <is>
          <t>BOSCH</t>
        </is>
      </c>
      <c r="D1555" s="17" t="inlineStr">
        <is>
          <t>Electronics and Appliance Stores</t>
        </is>
      </c>
      <c r="E1555" s="18" t="inlineStr">
        <is>
          <t>Lave-vaisselle tout encastrable BOSCH SMV4HCX07E SER4 - 14</t>
        </is>
      </c>
      <c r="F1555" s="17" t="inlineStr">
        <is>
          <t>Cdiscount Electroménager - Découvrez notre offre Lave-vaisselle tout encastrable BOSCH SMV4HCX07E SER4 - 14 couverts - L60cm - 42 dB - 6 programmes - Tiroir à couverts. Livraison</t>
        </is>
      </c>
      <c r="G1555" s="19" t="inlineStr">
        <is>
          <t>https://www.cdiscount.com/electromenager/lave-vaisselle/lave-vaisselle-tout-encastrable-bosch-smv4hcx07e-s/f-11025-aabtz57506.html?cid=lemwork&amp;cm_mmc=BSH12</t>
        </is>
      </c>
      <c r="H1555" s="20" t="n">
        <v>8874</v>
      </c>
      <c r="I1555" s="20" t="n">
        <v>39</v>
      </c>
      <c r="J1555" s="21">
        <f>IF(H1555=0,0,I1555/H1555)</f>
        <v/>
      </c>
    </row>
    <row r="1556">
      <c r="A1556" s="17" t="inlineStr">
        <is>
          <t>Bosch</t>
        </is>
      </c>
      <c r="B1556" s="17" t="inlineStr">
        <is>
          <t>Live</t>
        </is>
      </c>
      <c r="C1556" s="17" t="inlineStr">
        <is>
          <t>BOSCH</t>
        </is>
      </c>
      <c r="D1556" s="17" t="inlineStr">
        <is>
          <t>Lave-vaisselle pose libre</t>
        </is>
      </c>
      <c r="E1556" s="18" t="inlineStr">
        <is>
          <t>Lave-vaisselle pose libre BOSCH SMS6ZCI11F SER6 - 14</t>
        </is>
      </c>
      <c r="F1556" s="17" t="inlineStr">
        <is>
          <t>Cdiscount Electroménager - Découvrez notre offre Lave-vaisselle pose libre BOSCH SMS6ZCI11F SER6 - 14 couverts - Induction - L60cm - 40 dB - Classe B - tiroir à couverts - Acier.</t>
        </is>
      </c>
      <c r="G1556" s="19" t="inlineStr">
        <is>
          <t>https://www.cdiscount.com/electromenager/lave-vaisselle/lave-vaisselle-pose-libre-bosch-sms6zci11f-ser6/f-11025-bos4242005477630.html?cid=lemwork&amp;cm_mmc=BSH8</t>
        </is>
      </c>
      <c r="H1556" s="20" t="n">
        <v>8776</v>
      </c>
      <c r="I1556" s="20" t="n">
        <v>35</v>
      </c>
      <c r="J1556" s="21">
        <f>IF(H1556=0,0,I1556/H1556)</f>
        <v/>
      </c>
    </row>
    <row r="1557">
      <c r="A1557" s="17" t="inlineStr">
        <is>
          <t>Bosch</t>
        </is>
      </c>
      <c r="B1557" s="17" t="inlineStr">
        <is>
          <t>Live</t>
        </is>
      </c>
      <c r="C1557" s="17" t="inlineStr">
        <is>
          <t>BOSCH</t>
        </is>
      </c>
      <c r="D1557" s="17" t="inlineStr">
        <is>
          <t>Electronics and Appliance Stores</t>
        </is>
      </c>
      <c r="E1557" s="18" t="inlineStr">
        <is>
          <t>Lave-vaisselle tout encastrable BOSCH SBV4HCX07E SER4 - 14</t>
        </is>
      </c>
      <c r="F1557" s="17" t="inlineStr">
        <is>
          <t>Cdiscount Electroménager - Découvrez notre offre Lave-vaisselle tout encastrable BOSCH SBV4HCX07E SER4 - 14 couverts - Induction - L60cm - grande hauteur - 42dB - Classe C.</t>
        </is>
      </c>
      <c r="G1557" s="19" t="inlineStr">
        <is>
          <t>https://www.cdiscount.com/electromenager/lave-vaisselle/lave-vaisselle-tout-encastrable-bosch-sbv4hcx07e-s/f-11025-aabtz57546.html?cid=lemwork&amp;cm_mmc=BSH19</t>
        </is>
      </c>
      <c r="H1557" s="20" t="n">
        <v>8695</v>
      </c>
      <c r="I1557" s="20" t="n">
        <v>26</v>
      </c>
      <c r="J1557" s="21">
        <f>IF(H1557=0,0,I1557/H1557)</f>
        <v/>
      </c>
    </row>
    <row r="1558">
      <c r="A1558" s="17" t="inlineStr">
        <is>
          <t>Bosch</t>
        </is>
      </c>
      <c r="B1558" s="17" t="inlineStr">
        <is>
          <t>Live</t>
        </is>
      </c>
      <c r="C1558" s="17" t="inlineStr">
        <is>
          <t>BOSCH</t>
        </is>
      </c>
      <c r="D1558" s="17" t="inlineStr">
        <is>
          <t>Electronics and Appliance Stores</t>
        </is>
      </c>
      <c r="E1558" s="18" t="inlineStr">
        <is>
          <t>Lave-vaisselle semi-encastrable BOSCH SMI6ZCS10E SER6 - 14</t>
        </is>
      </c>
      <c r="F1558" s="17" t="inlineStr">
        <is>
          <t>Cdiscount Electroménager - Découvrez notre offre Lave-vaisselle semi-encastrable BOSCH SMI6ZCS10E SER6 - 14 couverts - Induction - L60cm - 40 dB - Classe B - tiroir - Acier</t>
        </is>
      </c>
      <c r="G1558" s="19" t="inlineStr">
        <is>
          <t>https://www.cdiscount.com/electromenager/lave-vaisselle/lave-vaisselle-semi-encastrable-bosch-smi6zcs10e-s/f-11025-bos4242005498642.html?cid=lemwork&amp;cm_mmc=BSH7</t>
        </is>
      </c>
      <c r="H1558" s="20" t="n">
        <v>8566</v>
      </c>
      <c r="I1558" s="20" t="n">
        <v>35</v>
      </c>
      <c r="J1558" s="21">
        <f>IF(H1558=0,0,I1558/H1558)</f>
        <v/>
      </c>
    </row>
    <row r="1559">
      <c r="A1559" s="17" t="inlineStr">
        <is>
          <t>Bosch</t>
        </is>
      </c>
      <c r="B1559" s="17" t="inlineStr">
        <is>
          <t>Live</t>
        </is>
      </c>
      <c r="C1559" s="17" t="inlineStr">
        <is>
          <t>BOSCH</t>
        </is>
      </c>
      <c r="D1559" s="17" t="inlineStr">
        <is>
          <t>Lave-vaisselle pose libre</t>
        </is>
      </c>
      <c r="E1559" s="18" t="inlineStr">
        <is>
          <t>Lave-vaisselle tout encastrable BOSCH SMV2HTX02E SER2 - 13</t>
        </is>
      </c>
      <c r="F1559" s="17" t="inlineStr">
        <is>
          <t>Cdiscount Electroménager - Découvrez notre offre Lave-vaisselle tout encastrable BOSCH SMV2HTX02E SER2 - 13 couverts - EcoSilence Drive - 46dB - 5 programmes. Livraison gratuite à</t>
        </is>
      </c>
      <c r="G1559" s="19" t="inlineStr">
        <is>
          <t>https://www.cdiscount.com/electromenager/lave-vaisselle/lave-vaisselle-tout-encastrable-bosch-smv2htx02e-s/f-11025-bos1696642971804.html?cid=lemwork&amp;cm_mmc=BSH2</t>
        </is>
      </c>
      <c r="H1559" s="20" t="n">
        <v>8470</v>
      </c>
      <c r="I1559" s="20" t="n">
        <v>59</v>
      </c>
      <c r="J1559" s="21">
        <f>IF(H1559=0,0,I1559/H1559)</f>
        <v/>
      </c>
    </row>
    <row r="1560">
      <c r="A1560" s="17" t="inlineStr">
        <is>
          <t>Bosch</t>
        </is>
      </c>
      <c r="B1560" s="17" t="inlineStr">
        <is>
          <t>Live</t>
        </is>
      </c>
      <c r="C1560" s="17" t="inlineStr">
        <is>
          <t>BOSCH</t>
        </is>
      </c>
      <c r="D1560" s="17" t="inlineStr">
        <is>
          <t>Electronics and Appliance Stores</t>
        </is>
      </c>
      <c r="E1560" s="18" t="inlineStr">
        <is>
          <t>Lave-vaisselle semi-encastrable BOSCH SPI4HMS13E SER4 - 10</t>
        </is>
      </c>
      <c r="F1560" s="17" t="inlineStr">
        <is>
          <t>Cdiscount Electroménager - Découvrez notre offre Lave-vaisselle semi-encastrable BOSCH SPI4HMS13E SER4 - 10 couverts - EcoSilence Drive - L45cm - 44 dB - tiroir à couverts.</t>
        </is>
      </c>
      <c r="G1560" s="19" t="inlineStr">
        <is>
          <t>https://www.cdiscount.com/electromenager/lave-vaisselle/lave-vaisselle-semi-encastrable-bosch-spi4hms13e-s/f-11025-bos4242005551095.html?cid=lemwork&amp;cm_mmc=BSH17</t>
        </is>
      </c>
      <c r="H1560" s="20" t="n">
        <v>8463</v>
      </c>
      <c r="I1560" s="20" t="n">
        <v>43</v>
      </c>
      <c r="J1560" s="21">
        <f>IF(H1560=0,0,I1560/H1560)</f>
        <v/>
      </c>
    </row>
    <row r="1561">
      <c r="A1561" s="17" t="inlineStr">
        <is>
          <t>Bosch</t>
        </is>
      </c>
      <c r="B1561" s="17" t="inlineStr">
        <is>
          <t>Live</t>
        </is>
      </c>
      <c r="C1561" s="17" t="inlineStr">
        <is>
          <t>BOSCH</t>
        </is>
      </c>
      <c r="D1561" s="17" t="inlineStr">
        <is>
          <t>Electronics and Appliance Stores</t>
        </is>
      </c>
      <c r="E1561" s="18" t="inlineStr">
        <is>
          <t>Lave-vaisselle pose libre BOSCH SMS26AI01F SER2 - 12</t>
        </is>
      </c>
      <c r="F1561" s="17" t="inlineStr">
        <is>
          <t>Cdiscount Electroménager - Découvrez notre offre Lave-vaisselle pose libre BOSCH SMS26AI01F SER2 - 12 couverts - Induction - L60cm - 48 dB - Acier brossé anti-traces. Livraison</t>
        </is>
      </c>
      <c r="G1561" s="19" t="inlineStr">
        <is>
          <t>https://www.cdiscount.com/electromenager/lave-vaisselle/lave-vaisselle-pose-libre-bosch-sms26ai01f-ser2/f-11025-bos4242005484331.html?cid=lemwork&amp;cm_mmc=BSH13</t>
        </is>
      </c>
      <c r="H1561" s="20" t="n">
        <v>8303</v>
      </c>
      <c r="I1561" s="20" t="n">
        <v>50</v>
      </c>
      <c r="J1561" s="21">
        <f>IF(H1561=0,0,I1561/H1561)</f>
        <v/>
      </c>
    </row>
    <row r="1562">
      <c r="A1562" s="17" t="inlineStr">
        <is>
          <t>Bosch</t>
        </is>
      </c>
      <c r="B1562" s="17" t="inlineStr">
        <is>
          <t>Live</t>
        </is>
      </c>
      <c r="C1562" s="17" t="inlineStr">
        <is>
          <t>BOSCH</t>
        </is>
      </c>
      <c r="D1562" s="17" t="inlineStr">
        <is>
          <t>Lave-vaisselle pose libre</t>
        </is>
      </c>
      <c r="E1562" s="18" t="inlineStr">
        <is>
          <t>Lave-vaisselle semi-encastrable BOSCH SMI6ZCS10E SER6 - 14</t>
        </is>
      </c>
      <c r="F1562" s="17" t="inlineStr">
        <is>
          <t>Cdiscount Electroménager - Découvrez notre offre Lave-vaisselle semi-encastrable BOSCH SMI6ZCS10E SER6 - 14 couverts - Induction - L60cm - 40 dB - Classe B - tiroir - Acier</t>
        </is>
      </c>
      <c r="G1562" s="19" t="inlineStr">
        <is>
          <t>https://www.cdiscount.com/electromenager/lave-vaisselle/lave-vaisselle-semi-encastrable-bosch-smi6zcs10e-s/f-11025-bos4242005498642.html?cid=lemwork&amp;cm_mmc=BSH7</t>
        </is>
      </c>
      <c r="H1562" s="20" t="n">
        <v>8235</v>
      </c>
      <c r="I1562" s="20" t="n">
        <v>40</v>
      </c>
      <c r="J1562" s="21">
        <f>IF(H1562=0,0,I1562/H1562)</f>
        <v/>
      </c>
    </row>
    <row r="1563">
      <c r="A1563" s="17" t="inlineStr">
        <is>
          <t>Bosch</t>
        </is>
      </c>
      <c r="B1563" s="17" t="inlineStr">
        <is>
          <t>Live</t>
        </is>
      </c>
      <c r="C1563" s="17" t="inlineStr">
        <is>
          <t>BOSCH</t>
        </is>
      </c>
      <c r="D1563" s="17" t="inlineStr">
        <is>
          <t>Electronics and Appliance Stores</t>
        </is>
      </c>
      <c r="E1563" s="18" t="inlineStr">
        <is>
          <t>Lave-vaisselle pose libre BOSCH SMS2HTW02E SER2 - 13</t>
        </is>
      </c>
      <c r="F1563" s="17" t="inlineStr">
        <is>
          <t>Cdiscount Electroménager - Découvrez notre offre Lave-vaisselle pose libre BOSCH SMS2HTW02E SER2 - 13 couverts - Induction - L60cm - 43 dB - Classe D - Blanc. Livraison gratuite à</t>
        </is>
      </c>
      <c r="G1563" s="19" t="inlineStr">
        <is>
          <t>https://www.cdiscount.com/electromenager/lave-vaisselle/lave-vaisselle-pose-libre-bosch-sms2htw02e-ser2/f-11025-bos4242005437351.html?cid=lemwork&amp;cm_mmc=BSH16</t>
        </is>
      </c>
      <c r="H1563" s="20" t="n">
        <v>8214</v>
      </c>
      <c r="I1563" s="20" t="n">
        <v>26</v>
      </c>
      <c r="J1563" s="21">
        <f>IF(H1563=0,0,I1563/H1563)</f>
        <v/>
      </c>
    </row>
    <row r="1564">
      <c r="A1564" s="17" t="inlineStr">
        <is>
          <t>Bosch</t>
        </is>
      </c>
      <c r="B1564" s="17" t="inlineStr">
        <is>
          <t>Live</t>
        </is>
      </c>
      <c r="C1564" s="17" t="inlineStr">
        <is>
          <t>BOSCH</t>
        </is>
      </c>
      <c r="D1564" s="17" t="inlineStr">
        <is>
          <t>Electronics and Appliance Stores</t>
        </is>
      </c>
      <c r="E1564" s="18" t="inlineStr">
        <is>
          <t>Lave-vaisselle tout encastrable BOSCH SPV4EMX17E SER4 - 10</t>
        </is>
      </c>
      <c r="F1564" s="17" t="inlineStr">
        <is>
          <t>Cdiscount Electroménager - Découvrez notre offre Lave-vaisselle tout encastrable BOSCH SPV4EMX17E SER4 - 10 couverts - L45cm - 44 dB - 6 programmes - Tiroir à couverts - Classe B.</t>
        </is>
      </c>
      <c r="G1564" s="19" t="inlineStr">
        <is>
          <t>https://www.cdiscount.com/electromenager/lave-vaisselle/lave-vaisselle-tout-encastrable-bosch-spv4emx17e-s/f-11025-aabto28950.html?cid=lemwork&amp;cm_mmc=BSH9</t>
        </is>
      </c>
      <c r="H1564" s="20" t="n">
        <v>8189</v>
      </c>
      <c r="I1564" s="20" t="n">
        <v>31</v>
      </c>
      <c r="J1564" s="21">
        <f>IF(H1564=0,0,I1564/H1564)</f>
        <v/>
      </c>
    </row>
    <row r="1565">
      <c r="A1565" s="17" t="inlineStr">
        <is>
          <t>Bosch</t>
        </is>
      </c>
      <c r="B1565" s="17" t="inlineStr">
        <is>
          <t>Live</t>
        </is>
      </c>
      <c r="C1565" s="17" t="inlineStr">
        <is>
          <t>BOSCH</t>
        </is>
      </c>
      <c r="D1565" s="17" t="inlineStr">
        <is>
          <t>Lave-vaisselle pose libre</t>
        </is>
      </c>
      <c r="E1565" s="18" t="inlineStr">
        <is>
          <t>Lave-vaisselle tout encastrable BOSCH SBH4HVX14E SER4 - 14</t>
        </is>
      </c>
      <c r="F1565" s="17" t="inlineStr">
        <is>
          <t>Cdiscount Electroménager - Découvrez notre offre Lave-vaisselle tout encastrable BOSCH SBH4HVX14E SER4 - 14 couverts - L60 cm XXL (grande hauteur) - 46 dB - Porte à glissières.</t>
        </is>
      </c>
      <c r="G1565" s="19" t="inlineStr">
        <is>
          <t>https://www.cdiscount.com/electromenager/lave-vaisselle/lave-vaisselle-tout-encastrable-bosch-sbh4hvx14e-s/f-11025-aabtv44359.html?cid=lemwork&amp;cm_mmc=BSH3</t>
        </is>
      </c>
      <c r="H1565" s="20" t="n">
        <v>8122</v>
      </c>
      <c r="I1565" s="20" t="n">
        <v>44</v>
      </c>
      <c r="J1565" s="21">
        <f>IF(H1565=0,0,I1565/H1565)</f>
        <v/>
      </c>
    </row>
    <row r="1566">
      <c r="A1566" s="17" t="inlineStr">
        <is>
          <t>Bosch</t>
        </is>
      </c>
      <c r="B1566" s="17" t="inlineStr">
        <is>
          <t>Live</t>
        </is>
      </c>
      <c r="C1566" s="17" t="inlineStr">
        <is>
          <t>BOSCH</t>
        </is>
      </c>
      <c r="D1566" s="17" t="inlineStr">
        <is>
          <t>Electronics and Appliance Stores</t>
        </is>
      </c>
      <c r="E1566" s="18" t="inlineStr">
        <is>
          <t>Lave-vaisselle tout encastrable BOSCH SMV6ZCX10E SER6 - 14</t>
        </is>
      </c>
      <c r="F1566" s="17" t="inlineStr">
        <is>
          <t>Cdiscount Electroménager - Découvrez notre offre Lave-vaisselle tout encastrable BOSCH SMV6ZCX10E SER6 - 14 couverts - Induction - L60cm - 40dB - Classe B. Livraison gratuite à</t>
        </is>
      </c>
      <c r="G1566" s="19" t="inlineStr">
        <is>
          <t>https://www.cdiscount.com/electromenager/lave-vaisselle/lave-vaisselle-tout-encastrable-bosch-smv6zcx10e-s/f-11025-bos1750171741742.html?cid=lemwork&amp;cm_mmc=BSH5</t>
        </is>
      </c>
      <c r="H1566" s="20" t="n">
        <v>7831</v>
      </c>
      <c r="I1566" s="20" t="n">
        <v>37</v>
      </c>
      <c r="J1566" s="21">
        <f>IF(H1566=0,0,I1566/H1566)</f>
        <v/>
      </c>
    </row>
    <row r="1567">
      <c r="A1567" s="17" t="inlineStr">
        <is>
          <t>Bosch</t>
        </is>
      </c>
      <c r="B1567" s="17" t="inlineStr">
        <is>
          <t>Live</t>
        </is>
      </c>
      <c r="C1567" s="17" t="inlineStr">
        <is>
          <t>BOSCH</t>
        </is>
      </c>
      <c r="D1567" s="17" t="inlineStr">
        <is>
          <t>Electronics and Appliance Stores</t>
        </is>
      </c>
      <c r="E1567" s="18" t="inlineStr">
        <is>
          <t>Lave-vaisselle tout encastrable BOSCH SMV2HTX02E SER2 - 13</t>
        </is>
      </c>
      <c r="F1567" s="17" t="inlineStr">
        <is>
          <t>Cdiscount Electroménager - Découvrez notre offre Lave-vaisselle tout encastrable BOSCH SMV2HTX02E SER2 - 13 couverts - EcoSilence Drive - 46dB - 5 programmes. Livraison gratuite à</t>
        </is>
      </c>
      <c r="G1567" s="19" t="inlineStr">
        <is>
          <t>https://www.cdiscount.com/electromenager/lave-vaisselle/lave-vaisselle-tout-encastrable-bosch-smv2htx02e-s/f-11025-bos1696642971804.html?cid=lemwork&amp;cm_mmc=BSH2</t>
        </is>
      </c>
      <c r="H1567" s="20" t="n">
        <v>7789</v>
      </c>
      <c r="I1567" s="20" t="n">
        <v>41</v>
      </c>
      <c r="J1567" s="21">
        <f>IF(H1567=0,0,I1567/H1567)</f>
        <v/>
      </c>
    </row>
    <row r="1568">
      <c r="A1568" s="17" t="inlineStr">
        <is>
          <t>Bosch</t>
        </is>
      </c>
      <c r="B1568" s="17" t="inlineStr">
        <is>
          <t>Live</t>
        </is>
      </c>
      <c r="C1568" s="17" t="inlineStr">
        <is>
          <t>BOSCH</t>
        </is>
      </c>
      <c r="D1568" s="17" t="inlineStr">
        <is>
          <t>Electronics and Appliance Stores</t>
        </is>
      </c>
      <c r="E1568" s="18" t="inlineStr">
        <is>
          <t>Lave-vaisselle pose libre BOSCH SSMS6ZCW12F SER6 - 14</t>
        </is>
      </c>
      <c r="F1568" s="17" t="inlineStr">
        <is>
          <t>Cdiscount Electroménager - Découvrez notre offre Lave-vaisselle pose libre BOSCH SSMS6ZCW12F SER6 - 14 couverts - Induction - L60cm - 38 dB - tiroir à couverts - Blanc. Livraison</t>
        </is>
      </c>
      <c r="G1568" s="19" t="inlineStr">
        <is>
          <t>https://www.cdiscount.com/electromenager/lave-vaisselle/lave-vaisselle-pose-libre-bosch-ssms6zcw12f-ser6/f-11025-bos4242005463459.html?cid=lemwork&amp;cm_mmc=BSH11</t>
        </is>
      </c>
      <c r="H1568" s="20" t="n">
        <v>7783</v>
      </c>
      <c r="I1568" s="20" t="n">
        <v>39</v>
      </c>
      <c r="J1568" s="21">
        <f>IF(H1568=0,0,I1568/H1568)</f>
        <v/>
      </c>
    </row>
    <row r="1569">
      <c r="A1569" s="17" t="inlineStr">
        <is>
          <t>Bosch</t>
        </is>
      </c>
      <c r="B1569" s="17" t="inlineStr">
        <is>
          <t>Live</t>
        </is>
      </c>
      <c r="C1569" s="17" t="inlineStr">
        <is>
          <t>BOSCH</t>
        </is>
      </c>
      <c r="D1569" s="17" t="inlineStr">
        <is>
          <t>Electronics and Appliance Stores</t>
        </is>
      </c>
      <c r="E1569" s="18" t="inlineStr">
        <is>
          <t>Lave-vaisselle tout encastrable BOSCH SPV2HMX02E SER2 - 10</t>
        </is>
      </c>
      <c r="F1569" s="17" t="inlineStr">
        <is>
          <t>Cdiscount Electroménager - Découvrez notre offre Lave-vaisselle tout encastrable BOSCH SPV2HMX02E SER2 - 10 couverts - Induction - L45cm - 46 dB - tiroir à couverts - Inox.</t>
        </is>
      </c>
      <c r="G1569" s="19" t="inlineStr">
        <is>
          <t>https://www.cdiscount.com/electromenager/lave-vaisselle/lave-vaisselle-tout-encastrable-bosch-spv2hmx02e-s/f-11025-aacyd09267.html?cid=lemwork&amp;cm_mmc=BSH20</t>
        </is>
      </c>
      <c r="H1569" s="20" t="n">
        <v>7627</v>
      </c>
      <c r="I1569" s="20" t="n">
        <v>48</v>
      </c>
      <c r="J1569" s="21">
        <f>IF(H1569=0,0,I1569/H1569)</f>
        <v/>
      </c>
    </row>
    <row r="1570">
      <c r="A1570" s="17" t="inlineStr">
        <is>
          <t>Bosch</t>
        </is>
      </c>
      <c r="B1570" s="17" t="inlineStr">
        <is>
          <t>Live</t>
        </is>
      </c>
      <c r="C1570" s="17" t="inlineStr">
        <is>
          <t>BOSCH</t>
        </is>
      </c>
      <c r="D1570" s="17" t="inlineStr">
        <is>
          <t>Electronics and Appliance Stores</t>
        </is>
      </c>
      <c r="E1570" s="18" t="inlineStr">
        <is>
          <t>Lave-vaisselle pose libre BOSCH SMS4HMW08E SER4 - 14</t>
        </is>
      </c>
      <c r="F1570" s="17" t="inlineStr">
        <is>
          <t>Cdiscount Electroménager - Découvrez notre offre Lave-vaisselle pose libre BOSCH SMS4HMW08E SER4 - 14 couverts - EcoSilence Drive - L60cm - 44dB - tiroir à couverts - Blanc.</t>
        </is>
      </c>
      <c r="G1570" s="19" t="inlineStr">
        <is>
          <t>https://www.cdiscount.com/electromenager/lave-vaisselle/lave-vaisselle-pose-libre-bosch-sms4hmw08e-ser4/f-11025-bos4242005542109.html?cid=lemwork&amp;cm_mmc=BSH4</t>
        </is>
      </c>
      <c r="H1570" s="20" t="n">
        <v>7610</v>
      </c>
      <c r="I1570" s="20" t="n">
        <v>25</v>
      </c>
      <c r="J1570" s="21">
        <f>IF(H1570=0,0,I1570/H1570)</f>
        <v/>
      </c>
    </row>
    <row r="1571">
      <c r="A1571" s="17" t="inlineStr">
        <is>
          <t>Bosch</t>
        </is>
      </c>
      <c r="B1571" s="17" t="inlineStr">
        <is>
          <t>Live</t>
        </is>
      </c>
      <c r="C1571" s="17" t="inlineStr">
        <is>
          <t>BOSCH</t>
        </is>
      </c>
      <c r="D1571" s="17" t="inlineStr">
        <is>
          <t>Lave-vaisselle pose libre</t>
        </is>
      </c>
      <c r="E1571" s="18" t="inlineStr">
        <is>
          <t>Lave-vaisselle tout encastrable BOSCH SPV2HMX02E SER2 - 10</t>
        </is>
      </c>
      <c r="F1571" s="17" t="inlineStr">
        <is>
          <t>Cdiscount Electroménager - Découvrez notre offre Lave-vaisselle tout encastrable BOSCH SPV2HMX02E SER2 - 10 couverts - Induction - L45cm - 46 dB - tiroir à couverts - Inox.</t>
        </is>
      </c>
      <c r="G1571" s="19" t="inlineStr">
        <is>
          <t>https://www.cdiscount.com/electromenager/lave-vaisselle/lave-vaisselle-tout-encastrable-bosch-spv2hmx02e-s/f-11025-aacyd09267.html?cid=lemwork&amp;cm_mmc=BSH20</t>
        </is>
      </c>
      <c r="H1571" s="20" t="n">
        <v>7584</v>
      </c>
      <c r="I1571" s="20" t="n">
        <v>38</v>
      </c>
      <c r="J1571" s="21">
        <f>IF(H1571=0,0,I1571/H1571)</f>
        <v/>
      </c>
    </row>
    <row r="1572">
      <c r="A1572" s="17" t="inlineStr">
        <is>
          <t>Bosch</t>
        </is>
      </c>
      <c r="B1572" s="17" t="inlineStr">
        <is>
          <t>Live</t>
        </is>
      </c>
      <c r="C1572" s="17" t="inlineStr">
        <is>
          <t>BOSCH</t>
        </is>
      </c>
      <c r="D1572" s="17" t="inlineStr">
        <is>
          <t>Electronics and Appliance Stores</t>
        </is>
      </c>
      <c r="E1572" s="18" t="inlineStr">
        <is>
          <t>Lave-vaisselle tout encastrable BOSCH SBV4HVX14E SER4 - 14</t>
        </is>
      </c>
      <c r="F1572" s="17" t="inlineStr">
        <is>
          <t>Cdiscount Electroménager - Découvrez notre offre Lave-vaisselle tout encastrable BOSCH SBV4HVX14E SER4 - 14 couverts - Induction - L60cm - Grande hauteur - 46dB - Classe C.</t>
        </is>
      </c>
      <c r="G1572" s="19" t="inlineStr">
        <is>
          <t>https://www.cdiscount.com/electromenager/lave-vaisselle/lave-vaisselle-tout-encastrable-bosch-sbv4hvx14e-s/f-11025-aabtv44302.html?cid=lemwork&amp;cm_mmc=BSH18</t>
        </is>
      </c>
      <c r="H1572" s="20" t="n">
        <v>7580</v>
      </c>
      <c r="I1572" s="20" t="n">
        <v>38</v>
      </c>
      <c r="J1572" s="21">
        <f>IF(H1572=0,0,I1572/H1572)</f>
        <v/>
      </c>
    </row>
    <row r="1573">
      <c r="A1573" s="17" t="inlineStr">
        <is>
          <t>Bosch</t>
        </is>
      </c>
      <c r="B1573" s="17" t="inlineStr">
        <is>
          <t>Live</t>
        </is>
      </c>
      <c r="C1573" s="17" t="inlineStr">
        <is>
          <t>BOSCH</t>
        </is>
      </c>
      <c r="D1573" s="17" t="inlineStr">
        <is>
          <t>Lave-vaisselle pose libre</t>
        </is>
      </c>
      <c r="E1573" s="18" t="inlineStr">
        <is>
          <t>Lave-vaisselle semi-encastrable BOSCH SMI2HTS02E SER2 - 13</t>
        </is>
      </c>
      <c r="F1573" s="17" t="inlineStr">
        <is>
          <t>Cdiscount Electroménager - Découvrez notre offre Lave-vaisselle semi-encastrable BOSCH SMI2HTS02E SER2 - 13 couverts - Induction - L60cm - 46 dB - Acier Brossé. Livraison gratuite</t>
        </is>
      </c>
      <c r="G1573" s="19" t="inlineStr">
        <is>
          <t>https://www.cdiscount.com/electromenager/lave-vaisselle/lave-vaisselle-semi-encastrable-bosch-smi2hts02e-s/f-11025-bos4242005437368.html?cid=lemwork&amp;cm_mmc=BSH14</t>
        </is>
      </c>
      <c r="H1573" s="20" t="n">
        <v>7553</v>
      </c>
      <c r="I1573" s="20" t="n">
        <v>36</v>
      </c>
      <c r="J1573" s="21">
        <f>IF(H1573=0,0,I1573/H1573)</f>
        <v/>
      </c>
    </row>
    <row r="1574">
      <c r="A1574" s="17" t="inlineStr">
        <is>
          <t>Bosch</t>
        </is>
      </c>
      <c r="B1574" s="17" t="inlineStr">
        <is>
          <t>Live</t>
        </is>
      </c>
      <c r="C1574" s="17" t="inlineStr">
        <is>
          <t>BOSCH</t>
        </is>
      </c>
      <c r="D1574" s="17" t="inlineStr">
        <is>
          <t>Electronics and Appliance Stores</t>
        </is>
      </c>
      <c r="E1574" s="18" t="inlineStr">
        <is>
          <t>Lave-vaisselle pose-libre BOSCH SMS4ECI26E SER4 - 13</t>
        </is>
      </c>
      <c r="F1574" s="17" t="inlineStr">
        <is>
          <t>Cdiscount Electroménager - Découvrez notre offre Lave-vaisselle pose-libre BOSCH SMS4ECI26E SER4 - 13 couverts - Induction - L60cm - 44 dB - tiroir à couverts - Acier brossé.</t>
        </is>
      </c>
      <c r="G1574" s="19" t="inlineStr">
        <is>
          <t>https://www.cdiscount.com/electromenager/lave-vaisselle/lave-vaisselle-pose-libre-bosch-sms4eci26e-ser4/f-11025-aaauj74747.html?cid=lemwork&amp;cm_mmc=BSH15</t>
        </is>
      </c>
      <c r="H1574" s="20" t="n">
        <v>7543</v>
      </c>
      <c r="I1574" s="20" t="n">
        <v>36</v>
      </c>
      <c r="J1574" s="21">
        <f>IF(H1574=0,0,I1574/H1574)</f>
        <v/>
      </c>
    </row>
    <row r="1575">
      <c r="A1575" s="17" t="inlineStr">
        <is>
          <t>Bosch</t>
        </is>
      </c>
      <c r="B1575" s="17" t="inlineStr">
        <is>
          <t>Live</t>
        </is>
      </c>
      <c r="C1575" s="17" t="inlineStr">
        <is>
          <t>BOSCH</t>
        </is>
      </c>
      <c r="D1575" s="17" t="inlineStr">
        <is>
          <t>Lave-vaisselle pose libre</t>
        </is>
      </c>
      <c r="E1575" s="18" t="inlineStr">
        <is>
          <t>Lave-vaisselle tout encastrable BOSCH SMV4HCX07E SER4 - 14</t>
        </is>
      </c>
      <c r="F1575" s="17" t="inlineStr">
        <is>
          <t>Cdiscount Electroménager - Découvrez notre offre Lave-vaisselle tout encastrable BOSCH SMV4HCX07E SER4 - 14 couverts - L60cm - 42 dB - 6 programmes - Tiroir à couverts. Livraison</t>
        </is>
      </c>
      <c r="G1575" s="19" t="inlineStr">
        <is>
          <t>https://www.cdiscount.com/electromenager/lave-vaisselle/lave-vaisselle-tout-encastrable-bosch-smv4hcx07e-s/f-11025-aabtz57506.html?cid=lemwork&amp;cm_mmc=BSH12</t>
        </is>
      </c>
      <c r="H1575" s="20" t="n">
        <v>7533</v>
      </c>
      <c r="I1575" s="20" t="n">
        <v>32</v>
      </c>
      <c r="J1575" s="21">
        <f>IF(H1575=0,0,I1575/H1575)</f>
        <v/>
      </c>
    </row>
    <row r="1576">
      <c r="A1576" s="17" t="inlineStr">
        <is>
          <t>Bosch</t>
        </is>
      </c>
      <c r="B1576" s="17" t="inlineStr">
        <is>
          <t>Live</t>
        </is>
      </c>
      <c r="C1576" s="17" t="inlineStr">
        <is>
          <t>BOSCH</t>
        </is>
      </c>
      <c r="D1576" s="17" t="inlineStr">
        <is>
          <t>Electronics and Appliance Stores</t>
        </is>
      </c>
      <c r="E1576" s="18" t="inlineStr">
        <is>
          <t>Lave-vaisselle pose libre BOSCH SMS26AW01F SER2 - 12</t>
        </is>
      </c>
      <c r="F1576" s="17" t="inlineStr">
        <is>
          <t>Cdiscount Electroménager - Découvrez notre offre Lave-vaisselle pose libre BOSCH SMS26AW01F SER2 - 12 couverts - Induction - L60cm - 48 dB - Blanc. Livraison gratuite à partir de</t>
        </is>
      </c>
      <c r="G1576" s="19" t="inlineStr">
        <is>
          <t>https://www.cdiscount.com/electromenager/lave-vaisselle/lave-vaisselle-pose-libre-bosch-sms26aw01f-ser2/f-11025-bos4242005484348.html?cid=lemwork&amp;cm_mmc=BSH10</t>
        </is>
      </c>
      <c r="H1576" s="20" t="n">
        <v>7529</v>
      </c>
      <c r="I1576" s="20" t="n">
        <v>30</v>
      </c>
      <c r="J1576" s="21">
        <f>IF(H1576=0,0,I1576/H1576)</f>
        <v/>
      </c>
    </row>
    <row r="1577">
      <c r="A1577" s="17" t="inlineStr">
        <is>
          <t>Bosch</t>
        </is>
      </c>
      <c r="B1577" s="17" t="inlineStr">
        <is>
          <t>Live</t>
        </is>
      </c>
      <c r="C1577" s="17" t="inlineStr">
        <is>
          <t>BOSCH</t>
        </is>
      </c>
      <c r="D1577" s="17" t="inlineStr">
        <is>
          <t>Electronics and Appliance Stores</t>
        </is>
      </c>
      <c r="E1577" s="18" t="inlineStr">
        <is>
          <t>Lave-vaisselle pose libre BOSCH SMS2HVI02E SER2 - 14</t>
        </is>
      </c>
      <c r="F1577" s="17" t="inlineStr">
        <is>
          <t>Cdiscount Electroménager - Découvrez notre offre Lave-vaisselle pose libre BOSCH SMS2HVI02E SER2 - 14 couverts - Induction - L60cm - 46 dB - tiroir à couverts - Acier brossé.</t>
        </is>
      </c>
      <c r="G1577" s="19" t="inlineStr">
        <is>
          <t>https://www.cdiscount.com/electromenager/lave-vaisselle/lave-vaisselle-pose-libre-bosch-sms2hvi02e-ser2/f-11025-bos4242005437047.html?cid=lemwork&amp;cm_mmc=BSH6</t>
        </is>
      </c>
      <c r="H1577" s="20" t="n">
        <v>7413</v>
      </c>
      <c r="I1577" s="20" t="n">
        <v>43</v>
      </c>
      <c r="J1577" s="21">
        <f>IF(H1577=0,0,I1577/H1577)</f>
        <v/>
      </c>
    </row>
    <row r="1578">
      <c r="A1578" s="17" t="inlineStr">
        <is>
          <t>Bosch</t>
        </is>
      </c>
      <c r="B1578" s="17" t="inlineStr">
        <is>
          <t>Live</t>
        </is>
      </c>
      <c r="C1578" s="17" t="inlineStr">
        <is>
          <t>BOSCH</t>
        </is>
      </c>
      <c r="D1578" s="17" t="inlineStr">
        <is>
          <t>Electronics and Appliance Stores</t>
        </is>
      </c>
      <c r="E1578" s="18" t="inlineStr">
        <is>
          <t>Lave-vaisselle pose libre BOSCH SMS6ZCI11F SER6 - 14</t>
        </is>
      </c>
      <c r="F1578" s="17" t="inlineStr">
        <is>
          <t>Cdiscount Electroménager - Découvrez notre offre Lave-vaisselle pose libre BOSCH SMS6ZCI11F SER6 - 14 couverts - Induction - L60cm - 40 dB - Classe B - tiroir à couverts - Acier.</t>
        </is>
      </c>
      <c r="G1578" s="19" t="inlineStr">
        <is>
          <t>https://www.cdiscount.com/electromenager/lave-vaisselle/lave-vaisselle-pose-libre-bosch-sms6zci11f-ser6/f-11025-bos4242005477630.html?cid=lemwork&amp;cm_mmc=BSH8</t>
        </is>
      </c>
      <c r="H1578" s="20" t="n">
        <v>7347</v>
      </c>
      <c r="I1578" s="20" t="n">
        <v>36</v>
      </c>
      <c r="J1578" s="21">
        <f>IF(H1578=0,0,I1578/H1578)</f>
        <v/>
      </c>
    </row>
    <row r="1579">
      <c r="A1579" s="17" t="inlineStr">
        <is>
          <t>Bosch</t>
        </is>
      </c>
      <c r="B1579" s="17" t="inlineStr">
        <is>
          <t>Live</t>
        </is>
      </c>
      <c r="C1579" s="17" t="inlineStr">
        <is>
          <t>BOSCH</t>
        </is>
      </c>
      <c r="D1579" s="17" t="inlineStr">
        <is>
          <t>Lave-vaisselle pose libre</t>
        </is>
      </c>
      <c r="E1579" s="18" t="inlineStr">
        <is>
          <t>Lave-vaisselle semi-encastrable BOSCH SPI4HMS13E SER4 - 10</t>
        </is>
      </c>
      <c r="F1579" s="17" t="inlineStr">
        <is>
          <t>Cdiscount Electroménager - Découvrez notre offre Lave-vaisselle semi-encastrable BOSCH SPI4HMS13E SER4 - 10 couverts - EcoSilence Drive - L45cm - 44 dB - tiroir à couverts.</t>
        </is>
      </c>
      <c r="G1579" s="19" t="inlineStr">
        <is>
          <t>https://www.cdiscount.com/electromenager/lave-vaisselle/lave-vaisselle-semi-encastrable-bosch-spi4hms13e-s/f-11025-bos4242005551095.html?cid=lemwork&amp;cm_mmc=BSH17</t>
        </is>
      </c>
      <c r="H1579" s="20" t="n">
        <v>7317</v>
      </c>
      <c r="I1579" s="20" t="n">
        <v>39</v>
      </c>
      <c r="J1579" s="21">
        <f>IF(H1579=0,0,I1579/H1579)</f>
        <v/>
      </c>
    </row>
    <row r="1580">
      <c r="A1580" s="17" t="inlineStr">
        <is>
          <t>Bosch</t>
        </is>
      </c>
      <c r="B1580" s="17" t="inlineStr">
        <is>
          <t>Live</t>
        </is>
      </c>
      <c r="C1580" s="17" t="inlineStr">
        <is>
          <t>BOSCH</t>
        </is>
      </c>
      <c r="D1580" s="17" t="inlineStr">
        <is>
          <t>Lave-vaisselle pose libre</t>
        </is>
      </c>
      <c r="E1580" s="18" t="inlineStr">
        <is>
          <t>Lave-vaisselle tout encastrable BOSCH SMV6ZCX10E SER6 - 14</t>
        </is>
      </c>
      <c r="F1580" s="17" t="inlineStr">
        <is>
          <t>Cdiscount Electroménager - Découvrez notre offre Lave-vaisselle tout encastrable BOSCH SMV6ZCX10E SER6 - 14 couverts - Induction - L60cm - 40dB - Classe B. Livraison gratuite à</t>
        </is>
      </c>
      <c r="G1580" s="19" t="inlineStr">
        <is>
          <t>https://www.cdiscount.com/electromenager/lave-vaisselle/lave-vaisselle-tout-encastrable-bosch-smv6zcx10e-s/f-11025-bos1750171741742.html?cid=lemwork&amp;cm_mmc=BSH5</t>
        </is>
      </c>
      <c r="H1580" s="20" t="n">
        <v>7312</v>
      </c>
      <c r="I1580" s="20" t="n">
        <v>36</v>
      </c>
      <c r="J1580" s="21">
        <f>IF(H1580=0,0,I1580/H1580)</f>
        <v/>
      </c>
    </row>
    <row r="1581">
      <c r="A1581" s="17" t="inlineStr">
        <is>
          <t>Bosch</t>
        </is>
      </c>
      <c r="B1581" s="17" t="inlineStr">
        <is>
          <t>Live</t>
        </is>
      </c>
      <c r="C1581" s="17" t="inlineStr">
        <is>
          <t>BOSCH</t>
        </is>
      </c>
      <c r="D1581" s="17" t="inlineStr">
        <is>
          <t>Lave-vaisselle pose libre</t>
        </is>
      </c>
      <c r="E1581" s="18" t="inlineStr">
        <is>
          <t>Lave-vaisselle tout encastrable BOSCH SBV4HCX07E SER4 - 14</t>
        </is>
      </c>
      <c r="F1581" s="17" t="inlineStr">
        <is>
          <t>Cdiscount Electroménager - Découvrez notre offre Lave-vaisselle tout encastrable BOSCH SBV4HCX07E SER4 - 14 couverts - Induction - L60cm - grande hauteur - 42dB - Classe C.</t>
        </is>
      </c>
      <c r="G1581" s="19" t="inlineStr">
        <is>
          <t>https://www.cdiscount.com/electromenager/lave-vaisselle/lave-vaisselle-tout-encastrable-bosch-sbv4hcx07e-s/f-11025-aabtz57546.html?cid=lemwork&amp;cm_mmc=BSH19</t>
        </is>
      </c>
      <c r="H1581" s="20" t="n">
        <v>7268</v>
      </c>
      <c r="I1581" s="20" t="n">
        <v>40</v>
      </c>
      <c r="J1581" s="21">
        <f>IF(H1581=0,0,I1581/H1581)</f>
        <v/>
      </c>
    </row>
    <row r="1582">
      <c r="A1582" s="17" t="inlineStr">
        <is>
          <t>Bosch</t>
        </is>
      </c>
      <c r="B1582" s="17" t="inlineStr">
        <is>
          <t>Live</t>
        </is>
      </c>
      <c r="C1582" s="17" t="inlineStr">
        <is>
          <t>BOSCH</t>
        </is>
      </c>
      <c r="D1582" s="17" t="inlineStr">
        <is>
          <t>Lave-vaisselle pose libre</t>
        </is>
      </c>
      <c r="E1582" s="18" t="inlineStr">
        <is>
          <t>Lave-vaisselle tout encastrable BOSCH SPV4EMX17E SER4 - 10</t>
        </is>
      </c>
      <c r="F1582" s="17" t="inlineStr">
        <is>
          <t>Cdiscount Electroménager - Découvrez notre offre Lave-vaisselle tout encastrable BOSCH SPV4EMX17E SER4 - 10 couverts - L45cm - 44 dB - 6 programmes - Tiroir à couverts - Classe B.</t>
        </is>
      </c>
      <c r="G1582" s="19" t="inlineStr">
        <is>
          <t>https://www.cdiscount.com/electromenager/lave-vaisselle/lave-vaisselle-tout-encastrable-bosch-spv4emx17e-s/f-11025-aabto28950.html?cid=lemwork&amp;cm_mmc=BSH9</t>
        </is>
      </c>
      <c r="H1582" s="20" t="n">
        <v>7164</v>
      </c>
      <c r="I1582" s="20" t="n">
        <v>39</v>
      </c>
      <c r="J1582" s="21">
        <f>IF(H1582=0,0,I1582/H1582)</f>
        <v/>
      </c>
    </row>
    <row r="1583">
      <c r="A1583" s="17" t="inlineStr">
        <is>
          <t>Bosch</t>
        </is>
      </c>
      <c r="B1583" s="17" t="inlineStr">
        <is>
          <t>Live</t>
        </is>
      </c>
      <c r="C1583" s="17" t="inlineStr">
        <is>
          <t>BOSCH</t>
        </is>
      </c>
      <c r="D1583" s="17" t="inlineStr">
        <is>
          <t>Lave-vaisselle pose libre</t>
        </is>
      </c>
      <c r="E1583" s="18" t="inlineStr">
        <is>
          <t>Lave-vaisselle tout encastrable BOSCH SBV4HVX14E SER4 - 14</t>
        </is>
      </c>
      <c r="F1583" s="17" t="inlineStr">
        <is>
          <t>Cdiscount Electroménager - Découvrez notre offre Lave-vaisselle tout encastrable BOSCH SBV4HVX14E SER4 - 14 couverts - Induction - L60cm - Grande hauteur - 46dB - Classe C.</t>
        </is>
      </c>
      <c r="G1583" s="19" t="inlineStr">
        <is>
          <t>https://www.cdiscount.com/electromenager/lave-vaisselle/lave-vaisselle-tout-encastrable-bosch-sbv4hvx14e-s/f-11025-aabtv44302.html?cid=lemwork&amp;cm_mmc=BSH18</t>
        </is>
      </c>
      <c r="H1583" s="20" t="n">
        <v>7159</v>
      </c>
      <c r="I1583" s="20" t="n">
        <v>35</v>
      </c>
      <c r="J1583" s="21">
        <f>IF(H1583=0,0,I1583/H1583)</f>
        <v/>
      </c>
    </row>
    <row r="1584">
      <c r="A1584" s="17" t="inlineStr">
        <is>
          <t>Bosch</t>
        </is>
      </c>
      <c r="B1584" s="17" t="inlineStr">
        <is>
          <t>Live</t>
        </is>
      </c>
      <c r="C1584" s="17" t="inlineStr">
        <is>
          <t>BOSCH</t>
        </is>
      </c>
      <c r="D1584" s="17" t="inlineStr">
        <is>
          <t>Lave-vaisselle pose libre</t>
        </is>
      </c>
      <c r="E1584" s="18" t="inlineStr">
        <is>
          <t>Lave-vaisselle tout encastrable BOSCH SMV4HVX14E SER4 - 14</t>
        </is>
      </c>
      <c r="F1584" s="17" t="inlineStr">
        <is>
          <t>Cdiscount Electroménager - Découvrez notre offre Lave-vaisselle tout encastrable BOSCH SMV4HVX14E SER4 - 14 couverts - 46 dB - Classe C - tiroir à couverts - 6 programmes.</t>
        </is>
      </c>
      <c r="G1584" s="19" t="inlineStr">
        <is>
          <t>https://www.cdiscount.com/electromenager/lave-vaisselle/lave-vaisselle-tout-encastrable-bosch-smv4hvx14e-s/f-11025-bos4242005529308.html?cid=lemwork&amp;cm_mmc=BSH1</t>
        </is>
      </c>
      <c r="H1584" s="20" t="n">
        <v>7127</v>
      </c>
      <c r="I1584" s="20" t="n">
        <v>35</v>
      </c>
      <c r="J1584" s="21">
        <f>IF(H1584=0,0,I1584/H1584)</f>
        <v/>
      </c>
    </row>
    <row r="1585">
      <c r="A1585" s="17" t="inlineStr">
        <is>
          <t>Bosch</t>
        </is>
      </c>
      <c r="B1585" s="17" t="inlineStr">
        <is>
          <t>Live</t>
        </is>
      </c>
      <c r="C1585" s="17" t="inlineStr">
        <is>
          <t>BOSCH</t>
        </is>
      </c>
      <c r="D1585" s="17" t="inlineStr">
        <is>
          <t>Electronics and Appliance Stores</t>
        </is>
      </c>
      <c r="E1585" s="18" t="inlineStr">
        <is>
          <t>Lave-vaisselle tout encastrable BOSCH SMV4HVX14E SER4 - 14</t>
        </is>
      </c>
      <c r="F1585" s="17" t="inlineStr">
        <is>
          <t>Cdiscount Electroménager - Découvrez notre offre Lave-vaisselle tout encastrable BOSCH SMV4HVX14E SER4 - 14 couverts - 46 dB - Classe C - tiroir à couverts - 6 programmes.</t>
        </is>
      </c>
      <c r="G1585" s="19" t="inlineStr">
        <is>
          <t>https://www.cdiscount.com/electromenager/lave-vaisselle/lave-vaisselle-tout-encastrable-bosch-smv4hvx14e-s/f-11025-bos4242005529308.html?cid=lemwork&amp;cm_mmc=BSH1</t>
        </is>
      </c>
      <c r="H1585" s="20" t="n">
        <v>7106</v>
      </c>
      <c r="I1585" s="20" t="n">
        <v>25</v>
      </c>
      <c r="J1585" s="21">
        <f>IF(H1585=0,0,I1585/H1585)</f>
        <v/>
      </c>
    </row>
    <row r="1586">
      <c r="A1586" s="17" t="inlineStr">
        <is>
          <t>Bosch</t>
        </is>
      </c>
      <c r="B1586" s="17" t="inlineStr">
        <is>
          <t>Live</t>
        </is>
      </c>
      <c r="C1586" s="17" t="inlineStr">
        <is>
          <t>BOSCH</t>
        </is>
      </c>
      <c r="D1586" s="17" t="inlineStr">
        <is>
          <t>Lave-vaisselle encastrables – sélection</t>
        </is>
      </c>
      <c r="E1586" s="18" t="inlineStr">
        <is>
          <t>Lave-vaisselle tout encastrable prix bas | Bosch</t>
        </is>
      </c>
      <c r="F1586" s="17" t="inlineStr">
        <is>
          <t>Sélection de lave-vaisselle tout encastrables Bosch sur Cdiscount, à intégrer derrière une façade de cuisine, avec livraison gratuite et paiement en 4 fois possible.</t>
        </is>
      </c>
      <c r="G1586" s="19" t="inlineStr">
        <is>
          <t>https://www.cdiscount.com/electromenager/lave-vaisselle/l-11025.html?cid=lemwork&amp;cm_mmc=gen_bsh</t>
        </is>
      </c>
      <c r="H1586" s="20" t="n">
        <v>3161</v>
      </c>
      <c r="I1586" s="20" t="n">
        <v>17</v>
      </c>
      <c r="J1586" s="21">
        <f>IF(H1586=0,0,I1586/H1586)</f>
        <v/>
      </c>
    </row>
    <row r="1587">
      <c r="A1587" s="17" t="inlineStr">
        <is>
          <t>Bosch</t>
        </is>
      </c>
      <c r="B1587" s="17" t="inlineStr">
        <is>
          <t>Live</t>
        </is>
      </c>
      <c r="C1587" s="17" t="inlineStr">
        <is>
          <t>BOSCH</t>
        </is>
      </c>
      <c r="D1587" s="17" t="inlineStr">
        <is>
          <t>Lave-vaisselle tout encastrable</t>
        </is>
      </c>
      <c r="E1587" s="18" t="inlineStr">
        <is>
          <t>Lave-vaisselle tout encastrable BOSCH SMV2HTX02E SER2 - 13</t>
        </is>
      </c>
      <c r="F1587" s="17" t="inlineStr">
        <is>
          <t>Cdiscount Electroménager - Découvrez notre offre Lave-vaisselle tout encastrable BOSCH SMV2HTX02E SER2 - 13 couverts - EcoSilence Drive - 46dB - 5 programmes. Livraison gratuite à</t>
        </is>
      </c>
      <c r="G1587" s="19" t="inlineStr">
        <is>
          <t>https://www.cdiscount.com/electromenager/lave-vaisselle/lave-vaisselle-tout-encastrable-bosch-smv2htx02e-s/f-11025-bos1696642971804.html?cid=lemwork&amp;cm_mmc=BSH2</t>
        </is>
      </c>
      <c r="H1587" s="20" t="n">
        <v>1841</v>
      </c>
      <c r="I1587" s="20" t="n">
        <v>12</v>
      </c>
      <c r="J1587" s="21">
        <f>IF(H1587=0,0,I1587/H1587)</f>
        <v/>
      </c>
    </row>
    <row r="1588">
      <c r="A1588" s="17" t="inlineStr">
        <is>
          <t>Bosch</t>
        </is>
      </c>
      <c r="B1588" s="17" t="inlineStr">
        <is>
          <t>Live</t>
        </is>
      </c>
      <c r="C1588" s="17" t="inlineStr">
        <is>
          <t>BOSCH</t>
        </is>
      </c>
      <c r="D1588" s="17" t="inlineStr">
        <is>
          <t>Lave-vaisselle tout encastrable</t>
        </is>
      </c>
      <c r="E1588" s="18" t="inlineStr">
        <is>
          <t>Lave-vaisselle tout encastrable BOSCH SMV6ZCX10E SER6 - 14</t>
        </is>
      </c>
      <c r="F1588" s="17" t="inlineStr">
        <is>
          <t>Cdiscount Electroménager - Découvrez notre offre Lave-vaisselle tout encastrable BOSCH SMV6ZCX10E SER6 - 14 couverts - Induction - L60cm - 40dB - Classe B. Livraison gratuite à</t>
        </is>
      </c>
      <c r="G1588" s="19" t="inlineStr">
        <is>
          <t>https://www.cdiscount.com/electromenager/lave-vaisselle/lave-vaisselle-tout-encastrable-bosch-smv6zcx10e-s/f-11025-bos1750171741742.html?cid=lemwork&amp;cm_mmc=BSH5</t>
        </is>
      </c>
      <c r="H1588" s="20" t="n">
        <v>1817</v>
      </c>
      <c r="I1588" s="20" t="n">
        <v>8</v>
      </c>
      <c r="J1588" s="21">
        <f>IF(H1588=0,0,I1588/H1588)</f>
        <v/>
      </c>
    </row>
    <row r="1589">
      <c r="A1589" s="17" t="inlineStr">
        <is>
          <t>Bosch</t>
        </is>
      </c>
      <c r="B1589" s="17" t="inlineStr">
        <is>
          <t>Live</t>
        </is>
      </c>
      <c r="C1589" s="17" t="inlineStr">
        <is>
          <t>BOSCH</t>
        </is>
      </c>
      <c r="D1589" s="17" t="inlineStr">
        <is>
          <t>Lave-vaisselle semi-encastrable</t>
        </is>
      </c>
      <c r="E1589" s="18" t="inlineStr">
        <is>
          <t>Lave-vaisselle semi-encastrable BOSCH SMI6ZCS10E SER6 - 14</t>
        </is>
      </c>
      <c r="F1589" s="17" t="inlineStr">
        <is>
          <t>Cdiscount Electroménager - Découvrez notre offre Lave-vaisselle semi-encastrable BOSCH SMI6ZCS10E SER6 - 14 couverts - Induction - L60cm - 40 dB - Classe B - tiroir - Acier</t>
        </is>
      </c>
      <c r="G1589" s="19" t="inlineStr">
        <is>
          <t>https://www.cdiscount.com/electromenager/lave-vaisselle/lave-vaisselle-semi-encastrable-bosch-smi6zcs10e-s/f-11025-bos4242005498642.html?cid=lemwork&amp;cm_mmc=BSH7</t>
        </is>
      </c>
      <c r="H1589" s="20" t="n">
        <v>1816</v>
      </c>
      <c r="I1589" s="20" t="n">
        <v>14</v>
      </c>
      <c r="J1589" s="21">
        <f>IF(H1589=0,0,I1589/H1589)</f>
        <v/>
      </c>
    </row>
    <row r="1590">
      <c r="A1590" s="17" t="inlineStr">
        <is>
          <t>Bosch</t>
        </is>
      </c>
      <c r="B1590" s="17" t="inlineStr">
        <is>
          <t>Live</t>
        </is>
      </c>
      <c r="C1590" s="17" t="inlineStr">
        <is>
          <t>BOSCH</t>
        </is>
      </c>
      <c r="D1590" s="17" t="inlineStr">
        <is>
          <t>Lave-vaisselle tout encastrable</t>
        </is>
      </c>
      <c r="E1590" s="18" t="inlineStr">
        <is>
          <t>Lave-vaisselle tout encastrable BOSCH SMV4HCX07E SER4 - 14</t>
        </is>
      </c>
      <c r="F1590" s="17" t="inlineStr">
        <is>
          <t>Cdiscount Electroménager - Découvrez notre offre Lave-vaisselle tout encastrable BOSCH SMV4HCX07E SER4 - 14 couverts - L60cm - 42 dB - 6 programmes - Tiroir à couverts. Livraison</t>
        </is>
      </c>
      <c r="G1590" s="19" t="inlineStr">
        <is>
          <t>https://www.cdiscount.com/electromenager/lave-vaisselle/lave-vaisselle-tout-encastrable-bosch-smv4hcx07e-s/f-11025-aabtz57506.html?cid=lemwork&amp;cm_mmc=BSH12</t>
        </is>
      </c>
      <c r="H1590" s="20" t="n">
        <v>1802</v>
      </c>
      <c r="I1590" s="20" t="n">
        <v>18</v>
      </c>
      <c r="J1590" s="21">
        <f>IF(H1590=0,0,I1590/H1590)</f>
        <v/>
      </c>
    </row>
    <row r="1591">
      <c r="A1591" s="17" t="inlineStr">
        <is>
          <t>Bosch</t>
        </is>
      </c>
      <c r="B1591" s="17" t="inlineStr">
        <is>
          <t>Live</t>
        </is>
      </c>
      <c r="C1591" s="17" t="inlineStr">
        <is>
          <t>BOSCH</t>
        </is>
      </c>
      <c r="D1591" s="17" t="inlineStr">
        <is>
          <t>Lave-vaisselle tout encastrable</t>
        </is>
      </c>
      <c r="E1591" s="18" t="inlineStr">
        <is>
          <t>Lave-vaisselle tout encastrable BOSCH SBV4HCX07E SER4 - 14</t>
        </is>
      </c>
      <c r="F1591" s="17" t="inlineStr">
        <is>
          <t>Cdiscount Electroménager - Découvrez notre offre Lave-vaisselle tout encastrable BOSCH SBV4HCX07E SER4 - 14 couverts - Induction - L60cm - grande hauteur - 42dB - Classe C.</t>
        </is>
      </c>
      <c r="G1591" s="19" t="inlineStr">
        <is>
          <t>https://www.cdiscount.com/electromenager/lave-vaisselle/lave-vaisselle-tout-encastrable-bosch-sbv4hcx07e-s/f-11025-aabtz57546.html?cid=lemwork&amp;cm_mmc=BSH19</t>
        </is>
      </c>
      <c r="H1591" s="20" t="n">
        <v>1797</v>
      </c>
      <c r="I1591" s="20" t="n">
        <v>20</v>
      </c>
      <c r="J1591" s="21">
        <f>IF(H1591=0,0,I1591/H1591)</f>
        <v/>
      </c>
    </row>
    <row r="1592">
      <c r="A1592" s="17" t="inlineStr">
        <is>
          <t>Bosch</t>
        </is>
      </c>
      <c r="B1592" s="17" t="inlineStr">
        <is>
          <t>Live</t>
        </is>
      </c>
      <c r="C1592" s="17" t="inlineStr">
        <is>
          <t>BOSCH</t>
        </is>
      </c>
      <c r="D1592" s="17" t="inlineStr">
        <is>
          <t>Lave-vaisselle tout encastrable</t>
        </is>
      </c>
      <c r="E1592" s="18" t="inlineStr">
        <is>
          <t>Lave-vaisselle tout encastrable BOSCH SBH4HVX14E SER4 - 14</t>
        </is>
      </c>
      <c r="F1592" s="17" t="inlineStr">
        <is>
          <t>Cdiscount Electroménager - Découvrez notre offre Lave-vaisselle tout encastrable BOSCH SBH4HVX14E SER4 - 14 couverts - L60 cm XXL (grande hauteur) - 46 dB - Porte à glissières.</t>
        </is>
      </c>
      <c r="G1592" s="19" t="inlineStr">
        <is>
          <t>https://www.cdiscount.com/electromenager/lave-vaisselle/lave-vaisselle-tout-encastrable-bosch-sbh4hvx14e-s/f-11025-aabtv44359.html?cid=lemwork&amp;cm_mmc=BSH3</t>
        </is>
      </c>
      <c r="H1592" s="20" t="n">
        <v>1750</v>
      </c>
      <c r="I1592" s="20" t="n">
        <v>12</v>
      </c>
      <c r="J1592" s="21">
        <f>IF(H1592=0,0,I1592/H1592)</f>
        <v/>
      </c>
    </row>
    <row r="1593">
      <c r="A1593" s="17" t="inlineStr">
        <is>
          <t>Bosch</t>
        </is>
      </c>
      <c r="B1593" s="17" t="inlineStr">
        <is>
          <t>Live</t>
        </is>
      </c>
      <c r="C1593" s="17" t="inlineStr">
        <is>
          <t>BOSCH</t>
        </is>
      </c>
      <c r="D1593" s="17" t="inlineStr">
        <is>
          <t>Lave-vaisselle semi-encastrable</t>
        </is>
      </c>
      <c r="E1593" s="18" t="inlineStr">
        <is>
          <t>Lave-vaisselle semi-encastrable BOSCH SMI2HTS02E SER2 - 13</t>
        </is>
      </c>
      <c r="F1593" s="17" t="inlineStr">
        <is>
          <t>Cdiscount Electroménager - Découvrez notre offre Lave-vaisselle semi-encastrable BOSCH SMI2HTS02E SER2 - 13 couverts - Induction - L60cm - 46 dB - Acier Brossé. Livraison gratuite</t>
        </is>
      </c>
      <c r="G1593" s="19" t="inlineStr">
        <is>
          <t>https://www.cdiscount.com/electromenager/lave-vaisselle/lave-vaisselle-semi-encastrable-bosch-smi2hts02e-s/f-11025-bos4242005437368.html?cid=lemwork&amp;cm_mmc=BSH14</t>
        </is>
      </c>
      <c r="H1593" s="20" t="n">
        <v>1743</v>
      </c>
      <c r="I1593" s="20" t="n">
        <v>7</v>
      </c>
      <c r="J1593" s="21">
        <f>IF(H1593=0,0,I1593/H1593)</f>
        <v/>
      </c>
    </row>
    <row r="1594">
      <c r="A1594" s="17" t="inlineStr">
        <is>
          <t>Bosch</t>
        </is>
      </c>
      <c r="B1594" s="17" t="inlineStr">
        <is>
          <t>Live</t>
        </is>
      </c>
      <c r="C1594" s="17" t="inlineStr">
        <is>
          <t>BOSCH</t>
        </is>
      </c>
      <c r="D1594" s="17" t="inlineStr">
        <is>
          <t>Lave-vaisselle semi-encastrable</t>
        </is>
      </c>
      <c r="E1594" s="18" t="inlineStr">
        <is>
          <t>Lave-vaisselle semi-encastrable BOSCH SPI4HMS13E SER4 - 10</t>
        </is>
      </c>
      <c r="F1594" s="17" t="inlineStr">
        <is>
          <t>Cdiscount Electroménager - Découvrez notre offre Lave-vaisselle semi-encastrable BOSCH SPI4HMS13E SER4 - 10 couverts - EcoSilence Drive - L45cm - 44 dB - tiroir à couverts.</t>
        </is>
      </c>
      <c r="G1594" s="19" t="inlineStr">
        <is>
          <t>https://www.cdiscount.com/electromenager/lave-vaisselle/lave-vaisselle-semi-encastrable-bosch-spi4hms13e-s/f-11025-bos4242005551095.html?cid=lemwork&amp;cm_mmc=BSH17</t>
        </is>
      </c>
      <c r="H1594" s="20" t="n">
        <v>1740</v>
      </c>
      <c r="I1594" s="20" t="n">
        <v>13</v>
      </c>
      <c r="J1594" s="21">
        <f>IF(H1594=0,0,I1594/H1594)</f>
        <v/>
      </c>
    </row>
    <row r="1595">
      <c r="A1595" s="17" t="inlineStr">
        <is>
          <t>Bosch</t>
        </is>
      </c>
      <c r="B1595" s="17" t="inlineStr">
        <is>
          <t>Live</t>
        </is>
      </c>
      <c r="C1595" s="17" t="inlineStr">
        <is>
          <t>BOSCH</t>
        </is>
      </c>
      <c r="D1595" s="17" t="inlineStr">
        <is>
          <t>Lave-vaisselle tout encastrable</t>
        </is>
      </c>
      <c r="E1595" s="18" t="inlineStr">
        <is>
          <t>Lave-vaisselle tout encastrable BOSCH SPV2HMX02E SER2 - 10</t>
        </is>
      </c>
      <c r="F1595" s="17" t="inlineStr">
        <is>
          <t>Cdiscount Electroménager - Découvrez notre offre Lave-vaisselle tout encastrable BOSCH SPV2HMX02E SER2 - 10 couverts - Induction - L45cm - 46 dB - tiroir à couverts - Inox.</t>
        </is>
      </c>
      <c r="G1595" s="19" t="inlineStr">
        <is>
          <t>https://www.cdiscount.com/electromenager/lave-vaisselle/lave-vaisselle-tout-encastrable-bosch-spv2hmx02e-s/f-11025-aacyd09267.html?cid=lemwork&amp;cm_mmc=BSH20</t>
        </is>
      </c>
      <c r="H1595" s="20" t="n">
        <v>1726</v>
      </c>
      <c r="I1595" s="20" t="n">
        <v>6</v>
      </c>
      <c r="J1595" s="21">
        <f>IF(H1595=0,0,I1595/H1595)</f>
        <v/>
      </c>
    </row>
    <row r="1596">
      <c r="A1596" s="17" t="inlineStr">
        <is>
          <t>Bosch</t>
        </is>
      </c>
      <c r="B1596" s="17" t="inlineStr">
        <is>
          <t>Live</t>
        </is>
      </c>
      <c r="C1596" s="17" t="inlineStr">
        <is>
          <t>BOSCH</t>
        </is>
      </c>
      <c r="D1596" s="17" t="inlineStr">
        <is>
          <t>Lave-vaisselle tout encastrable</t>
        </is>
      </c>
      <c r="E1596" s="18" t="inlineStr">
        <is>
          <t>Lave-vaisselle tout encastrable BOSCH SPV4EMX17E SER4 - 10</t>
        </is>
      </c>
      <c r="F1596" s="17" t="inlineStr">
        <is>
          <t>Cdiscount Electroménager - Découvrez notre offre Lave-vaisselle tout encastrable BOSCH SPV4EMX17E SER4 - 10 couverts - L45cm - 44 dB - 6 programmes - Tiroir à couverts - Classe B.</t>
        </is>
      </c>
      <c r="G1596" s="19" t="inlineStr">
        <is>
          <t>https://www.cdiscount.com/electromenager/lave-vaisselle/lave-vaisselle-tout-encastrable-bosch-spv4emx17e-s/f-11025-aabto28950.html?cid=lemwork&amp;cm_mmc=BSH9</t>
        </is>
      </c>
      <c r="H1596" s="20" t="n">
        <v>1721</v>
      </c>
      <c r="I1596" s="20" t="n">
        <v>7</v>
      </c>
      <c r="J1596" s="21">
        <f>IF(H1596=0,0,I1596/H1596)</f>
        <v/>
      </c>
    </row>
    <row r="1597">
      <c r="A1597" s="17" t="inlineStr">
        <is>
          <t>Bosch</t>
        </is>
      </c>
      <c r="B1597" s="17" t="inlineStr">
        <is>
          <t>Live</t>
        </is>
      </c>
      <c r="C1597" s="17" t="inlineStr">
        <is>
          <t>BOSCH</t>
        </is>
      </c>
      <c r="D1597" s="17" t="inlineStr">
        <is>
          <t>Lave-vaisselle tout encastrable</t>
        </is>
      </c>
      <c r="E1597" s="18" t="inlineStr">
        <is>
          <t>Lave-vaisselle tout encastrable BOSCH SMV4HVX14E SER4 - 14</t>
        </is>
      </c>
      <c r="F1597" s="17" t="inlineStr">
        <is>
          <t>Cdiscount Electroménager - Découvrez notre offre Lave-vaisselle tout encastrable BOSCH SMV4HVX14E SER4 - 14 couverts - 46 dB - Classe C - tiroir à couverts - 6 programmes.</t>
        </is>
      </c>
      <c r="G1597" s="19" t="inlineStr">
        <is>
          <t>https://www.cdiscount.com/electromenager/lave-vaisselle/lave-vaisselle-tout-encastrable-bosch-smv4hvx14e-s/f-11025-bos4242005529308.html?cid=lemwork&amp;cm_mmc=BSH1</t>
        </is>
      </c>
      <c r="H1597" s="20" t="n">
        <v>1711</v>
      </c>
      <c r="I1597" s="20" t="n">
        <v>8</v>
      </c>
      <c r="J1597" s="21">
        <f>IF(H1597=0,0,I1597/H1597)</f>
        <v/>
      </c>
    </row>
    <row r="1598">
      <c r="A1598" s="17" t="inlineStr">
        <is>
          <t>Bosch</t>
        </is>
      </c>
      <c r="B1598" s="17" t="inlineStr">
        <is>
          <t>Live</t>
        </is>
      </c>
      <c r="C1598" s="17" t="inlineStr">
        <is>
          <t>BOSCH</t>
        </is>
      </c>
      <c r="D1598" s="17" t="inlineStr">
        <is>
          <t>Lave-vaisselle tout encastrable</t>
        </is>
      </c>
      <c r="E1598" s="18" t="inlineStr">
        <is>
          <t>Lave-vaisselle tout encastrable BOSCH SBV4HVX14E SER4 - 14</t>
        </is>
      </c>
      <c r="F1598" s="17" t="inlineStr">
        <is>
          <t>Cdiscount Electroménager - Découvrez notre offre Lave-vaisselle tout encastrable BOSCH SBV4HVX14E SER4 - 14 couverts - Induction - L60cm - Grande hauteur - 46dB - Classe C.</t>
        </is>
      </c>
      <c r="G1598" s="19" t="inlineStr">
        <is>
          <t>https://www.cdiscount.com/electromenager/lave-vaisselle/lave-vaisselle-tout-encastrable-bosch-sbv4hvx14e-s/f-11025-aabtv44302.html?cid=lemwork&amp;cm_mmc=BSH18</t>
        </is>
      </c>
      <c r="H1598" s="20" t="n">
        <v>1701</v>
      </c>
      <c r="I1598" s="20" t="n">
        <v>10</v>
      </c>
      <c r="J1598" s="21">
        <f>IF(H1598=0,0,I1598/H1598)</f>
        <v/>
      </c>
    </row>
    <row r="1599">
      <c r="A1599" s="17" t="inlineStr">
        <is>
          <t>Smartphone ID</t>
        </is>
      </c>
      <c r="B1599" s="17" t="inlineStr">
        <is>
          <t>Live</t>
        </is>
      </c>
      <c r="C1599" s="17" t="inlineStr">
        <is>
          <t>smartphone id</t>
        </is>
      </c>
      <c r="D1599" s="17" t="inlineStr">
        <is>
          <t>smartphone id</t>
        </is>
      </c>
      <c r="E1599" s="18" t="inlineStr">
        <is>
          <t>Photo d'identité en ligne en 2 minutes depuis votre</t>
        </is>
      </c>
      <c r="F1599" s="17" t="inlineStr">
        <is>
          <t>Faites votre photo d’identité officielle en ligne. Conforme, vérifiée et acceptée pour vos documents, rapidement et en toute simplicité.</t>
        </is>
      </c>
      <c r="G1599" s="19" t="inlineStr">
        <is>
          <t>https://smartphone-id.go.link/5m6td?utm_source=lemrock</t>
        </is>
      </c>
      <c r="H1599" s="20" t="n">
        <v>135840</v>
      </c>
      <c r="I1599" s="20" t="n">
        <v>713</v>
      </c>
      <c r="J1599" s="21">
        <f>IF(H1599=0,0,I1599/H1599)</f>
        <v/>
      </c>
    </row>
    <row r="1600">
      <c r="A1600" s="17" t="inlineStr">
        <is>
          <t>Smartphone ID</t>
        </is>
      </c>
      <c r="B1600" s="17" t="inlineStr">
        <is>
          <t>Live</t>
        </is>
      </c>
      <c r="C1600" s="17" t="inlineStr">
        <is>
          <t>smartphone id</t>
        </is>
      </c>
      <c r="D1600" s="17" t="inlineStr">
        <is>
          <t>Photo Applications</t>
        </is>
      </c>
      <c r="E1600" s="18" t="inlineStr">
        <is>
          <t>Photo d'identité en ligne en 2 minutes depuis votre</t>
        </is>
      </c>
      <c r="F1600" s="17" t="inlineStr">
        <is>
          <t>Faites votre photo d’identité officielle en ligne. Conforme, vérifiée et acceptée pour vos documents, rapidement et en toute simplicité.</t>
        </is>
      </c>
      <c r="G1600" s="19" t="inlineStr">
        <is>
          <t>https://smartphone-id.go.link/5m6td?utm_source=lemrock</t>
        </is>
      </c>
      <c r="H1600" s="20" t="n">
        <v>104384</v>
      </c>
      <c r="I1600" s="20" t="n">
        <v>527</v>
      </c>
      <c r="J1600" s="21">
        <f>IF(H1600=0,0,I1600/H1600)</f>
        <v/>
      </c>
    </row>
    <row r="1601">
      <c r="A1601" s="17" t="inlineStr">
        <is>
          <t>Archipel Kombucha</t>
        </is>
      </c>
      <c r="B1601" s="17" t="inlineStr">
        <is>
          <t>Live</t>
        </is>
      </c>
      <c r="C1601" s="17" t="inlineStr">
        <is>
          <t>Archipel</t>
        </is>
      </c>
      <c r="D1601" s="17" t="inlineStr">
        <is>
          <t>Kombucha bio</t>
        </is>
      </c>
      <c r="E1601" s="18" t="inlineStr">
        <is>
          <t>Kombucha Framboise - Canette 33cl (x24) – Archipel</t>
        </is>
      </c>
      <c r="F1601" s="17" t="inlineStr">
        <is>
          <t>La framboise dans tous ses états. L'infusion de feuilles de framboisier est complétée par la purée de fruits. Une richesse de saveurs soulignée par la fraîcheur du kombucha.</t>
        </is>
      </c>
      <c r="G1601" s="19" t="inlineStr">
        <is>
          <t>https://archipelkombucha.com/products/kombucha-framboise-canette-33cl-x24?UTM_source=lemrock</t>
        </is>
      </c>
      <c r="H1601" s="20" t="n">
        <v>11811</v>
      </c>
      <c r="I1601" s="20" t="n">
        <v>44</v>
      </c>
      <c r="J1601" s="21">
        <f>IF(H1601=0,0,I1601/H1601)</f>
        <v/>
      </c>
    </row>
    <row r="1602">
      <c r="A1602" s="17" t="inlineStr">
        <is>
          <t>Archipel Kombucha</t>
        </is>
      </c>
      <c r="B1602" s="17" t="inlineStr">
        <is>
          <t>Live</t>
        </is>
      </c>
      <c r="C1602" s="17" t="inlineStr">
        <is>
          <t>Archipel</t>
        </is>
      </c>
      <c r="D1602" s="17" t="inlineStr">
        <is>
          <t>Kombucha bio</t>
        </is>
      </c>
      <c r="E1602" s="18" t="inlineStr">
        <is>
          <t>Kombucha Cassis Bio -33cl (x12) – Archipel</t>
        </is>
      </c>
      <c r="F1602" s="17" t="inlineStr">
        <is>
          <t>Pack de 12 kombucha aux feuilles de cassis 33cl. Des feuilles de cassis françaises en direct producteur, un nez précis, une explosion de fraicheur en bouche.</t>
        </is>
      </c>
      <c r="G1602" s="19" t="inlineStr">
        <is>
          <t>https://archipelkombucha.com/products/kombucha-cassis-bio-x12?UTM_source=lemrock</t>
        </is>
      </c>
      <c r="H1602" s="20" t="n">
        <v>11660</v>
      </c>
      <c r="I1602" s="20" t="n">
        <v>62</v>
      </c>
      <c r="J1602" s="21">
        <f>IF(H1602=0,0,I1602/H1602)</f>
        <v/>
      </c>
    </row>
    <row r="1603">
      <c r="A1603" s="17" t="inlineStr">
        <is>
          <t>Archipel Kombucha</t>
        </is>
      </c>
      <c r="B1603" s="17" t="inlineStr">
        <is>
          <t>Live</t>
        </is>
      </c>
      <c r="C1603" s="17" t="inlineStr">
        <is>
          <t>Archipel</t>
        </is>
      </c>
      <c r="D1603" s="17" t="inlineStr">
        <is>
          <t>Kombucha bio</t>
        </is>
      </c>
      <c r="E1603" s="18" t="inlineStr">
        <is>
          <t>Kombucha framboisier Bio - 33cl (x12) – Archipel</t>
        </is>
      </c>
      <c r="F1603" s="17" t="inlineStr">
        <is>
          <t>Pack de 12 kombucha aux feuilles de framboisier Un résultat tout en tension et délicatesse.</t>
        </is>
      </c>
      <c r="G1603" s="19" t="inlineStr">
        <is>
          <t>https://archipelkombucha.com/products/kombucha-framboisier-bio-x12?UTM_source=lemrock</t>
        </is>
      </c>
      <c r="H1603" s="20" t="n">
        <v>11652</v>
      </c>
      <c r="I1603" s="20" t="n">
        <v>53</v>
      </c>
      <c r="J1603" s="21">
        <f>IF(H1603=0,0,I1603/H1603)</f>
        <v/>
      </c>
    </row>
    <row r="1604">
      <c r="A1604" s="17" t="inlineStr">
        <is>
          <t>Archipel Kombucha</t>
        </is>
      </c>
      <c r="B1604" s="17" t="inlineStr">
        <is>
          <t>Live</t>
        </is>
      </c>
      <c r="C1604" s="17" t="inlineStr">
        <is>
          <t>Archipel</t>
        </is>
      </c>
      <c r="D1604" s="17" t="inlineStr">
        <is>
          <t>Kombucha bio</t>
        </is>
      </c>
      <c r="E1604" s="18" t="inlineStr">
        <is>
          <t>Kombucha Pomelo Gingembre - Canette 33cl (x24) – Archipel</t>
        </is>
      </c>
      <c r="F1604" s="17" t="inlineStr">
        <is>
          <t>De la structure et de l’équilibre. Un kombucha qui balance entre la puissance du gingembre, l’amertume du pomelo, la fraicheur de l’agrume et l’acidité de la fermentation. Produit</t>
        </is>
      </c>
      <c r="G1604" s="19" t="inlineStr">
        <is>
          <t>https://archipelkombucha.com/products/kombucha-pomelo-gingembre-canette-33cl-x24?UTM_source=lemrock</t>
        </is>
      </c>
      <c r="H1604" s="20" t="n">
        <v>11618</v>
      </c>
      <c r="I1604" s="20" t="n">
        <v>59</v>
      </c>
      <c r="J1604" s="21">
        <f>IF(H1604=0,0,I1604/H1604)</f>
        <v/>
      </c>
    </row>
    <row r="1605">
      <c r="A1605" s="17" t="inlineStr">
        <is>
          <t>Archipel Kombucha</t>
        </is>
      </c>
      <c r="B1605" s="17" t="inlineStr">
        <is>
          <t>Live</t>
        </is>
      </c>
      <c r="C1605" s="17" t="inlineStr">
        <is>
          <t>Archipel</t>
        </is>
      </c>
      <c r="D1605" s="17" t="inlineStr">
        <is>
          <t>Kombucha bio</t>
        </is>
      </c>
      <c r="E1605" s="18" t="inlineStr">
        <is>
          <t>Kombucha Figuier Bio -33cl (x12) – Archipel</t>
        </is>
      </c>
      <c r="F1605" s="17" t="inlineStr">
        <is>
          <t>Pack de 12 kombucha aux feuilles de figuiers Un kombucha gourmand et long en bouche. Les notes exotiques de l’infusion de feuilles de figuiers accompagnent la fine acidité du</t>
        </is>
      </c>
      <c r="G1605" s="19" t="inlineStr">
        <is>
          <t>https://archipelkombucha.com/products/kombucha-figuier-bio-x12?UTM_source=lemrock</t>
        </is>
      </c>
      <c r="H1605" s="20" t="n">
        <v>11511</v>
      </c>
      <c r="I1605" s="20" t="n">
        <v>66</v>
      </c>
      <c r="J1605" s="21">
        <f>IF(H1605=0,0,I1605/H1605)</f>
        <v/>
      </c>
    </row>
    <row r="1606">
      <c r="A1606" s="17" t="inlineStr">
        <is>
          <t>Archipel Kombucha</t>
        </is>
      </c>
      <c r="B1606" s="17" t="inlineStr">
        <is>
          <t>Live</t>
        </is>
      </c>
      <c r="C1606" s="17" t="inlineStr">
        <is>
          <t>Archipel</t>
        </is>
      </c>
      <c r="D1606" s="17" t="inlineStr">
        <is>
          <t>Kombucha bio</t>
        </is>
      </c>
      <c r="E1606" s="18" t="inlineStr">
        <is>
          <t>Kombucha feuilles de Figuier 75cl (x6) – Archipel</t>
        </is>
      </c>
      <c r="F1606" s="17" t="inlineStr">
        <is>
          <t>Pack de 6 kombucha aux feuilles de figuiers Un kombucha gourmand et long en bouche. Les notes exotiques de l’infusion de feuilles de figuiers accompagnent la fine acidité du</t>
        </is>
      </c>
      <c r="G1606" s="19" t="inlineStr">
        <is>
          <t>https://archipelkombucha.com/products/kombucha-feuilles-de-figuier-75cl-x6?UTM_source=lemrock</t>
        </is>
      </c>
      <c r="H1606" s="20" t="n">
        <v>11501</v>
      </c>
      <c r="I1606" s="20" t="n">
        <v>53</v>
      </c>
      <c r="J1606" s="21">
        <f>IF(H1606=0,0,I1606/H1606)</f>
        <v/>
      </c>
    </row>
    <row r="1607">
      <c r="A1607" s="17" t="inlineStr">
        <is>
          <t>Archipel Kombucha</t>
        </is>
      </c>
      <c r="B1607" s="17" t="inlineStr">
        <is>
          <t>Live</t>
        </is>
      </c>
      <c r="C1607" s="17" t="inlineStr">
        <is>
          <t>Archipel</t>
        </is>
      </c>
      <c r="D1607" s="17" t="inlineStr">
        <is>
          <t>Kombucha bio</t>
        </is>
      </c>
      <c r="E1607" s="18" t="inlineStr">
        <is>
          <t>Kombucha clémentine Bio - 33cl (x12) – Archipel</t>
        </is>
      </c>
      <c r="F1607" s="17" t="inlineStr">
        <is>
          <t>Pack de 12 kombucha aux feuilles de clémentine Suave et frais. Une note d’agrume s’associant à merveille à l’acidité du kombucha.</t>
        </is>
      </c>
      <c r="G1607" s="19" t="inlineStr">
        <is>
          <t>https://archipelkombucha.com/products/kombucha-clementine-bio-x12?UTM_source=lemrock</t>
        </is>
      </c>
      <c r="H1607" s="20" t="n">
        <v>11455</v>
      </c>
      <c r="I1607" s="20" t="n">
        <v>53</v>
      </c>
      <c r="J1607" s="21">
        <f>IF(H1607=0,0,I1607/H1607)</f>
        <v/>
      </c>
    </row>
    <row r="1608">
      <c r="A1608" s="17" t="inlineStr">
        <is>
          <t>Archipel Kombucha</t>
        </is>
      </c>
      <c r="B1608" s="17" t="inlineStr">
        <is>
          <t>Live</t>
        </is>
      </c>
      <c r="C1608" s="17" t="inlineStr">
        <is>
          <t>Archipel</t>
        </is>
      </c>
      <c r="D1608" s="17" t="inlineStr">
        <is>
          <t>Kombucha bio</t>
        </is>
      </c>
      <c r="E1608" s="18" t="inlineStr">
        <is>
          <t>Kombucha Brut Bio - 33cl (x12) – Archipel</t>
        </is>
      </c>
      <c r="F1608" s="17" t="inlineStr">
        <is>
          <t>Pack de 12 kombucha brut de 33cl. Le Brut est un kombucha expressif, travaillé à partir du thé noir Kinihira du Rwanda.</t>
        </is>
      </c>
      <c r="G1608" s="19" t="inlineStr">
        <is>
          <t>https://archipelkombucha.com/products/kombucha-brut-bio-x12?UTM_source=lemrock</t>
        </is>
      </c>
      <c r="H1608" s="20" t="n">
        <v>11441</v>
      </c>
      <c r="I1608" s="20" t="n">
        <v>56</v>
      </c>
      <c r="J1608" s="21">
        <f>IF(H1608=0,0,I1608/H1608)</f>
        <v/>
      </c>
    </row>
    <row r="1609">
      <c r="A1609" s="17" t="inlineStr">
        <is>
          <t>Archipel Kombucha</t>
        </is>
      </c>
      <c r="B1609" s="17" t="inlineStr">
        <is>
          <t>Live</t>
        </is>
      </c>
      <c r="C1609" s="17" t="inlineStr">
        <is>
          <t>Archipel</t>
        </is>
      </c>
      <c r="D1609" s="17" t="inlineStr">
        <is>
          <t>Beverages</t>
        </is>
      </c>
      <c r="E1609" s="18" t="inlineStr">
        <is>
          <t>Boissons fermentées sans alcool - Archipel</t>
        </is>
      </c>
      <c r="F1609" s="17" t="inlineStr">
        <is>
          <t>Boissons fermentées sans alcool en canette ou en bouteille, du brut au pomelo gingembre, brassées par Archipel et vendues par pack.</t>
        </is>
      </c>
      <c r="G1609" s="19" t="inlineStr">
        <is>
          <t>https://archipelkombucha.com/products/kombucha-pomelo-gingembre-canette-33cl-x24?UTM_source=lemrock</t>
        </is>
      </c>
      <c r="H1609" s="20" t="n">
        <v>9099</v>
      </c>
      <c r="I1609" s="20" t="n">
        <v>71</v>
      </c>
      <c r="J1609" s="21">
        <f>IF(H1609=0,0,I1609/H1609)</f>
        <v/>
      </c>
    </row>
    <row r="1610">
      <c r="A1610" s="17" t="inlineStr">
        <is>
          <t>Archipel Kombucha</t>
        </is>
      </c>
      <c r="B1610" s="17" t="inlineStr">
        <is>
          <t>Live</t>
        </is>
      </c>
      <c r="C1610" s="17" t="inlineStr">
        <is>
          <t>Archipel</t>
        </is>
      </c>
      <c r="D1610" s="17" t="inlineStr">
        <is>
          <t>Beverages</t>
        </is>
      </c>
      <c r="E1610" s="18" t="inlineStr">
        <is>
          <t>Kombucha et boissons fermentées - Archipel</t>
        </is>
      </c>
      <c r="F1610" s="17" t="inlineStr">
        <is>
          <t>Pack de 12 kombuchas bio de 33 cl aux feuilles de cassis françaises, achetées en direct producteur : un nez précis et une bouche très fraîche.</t>
        </is>
      </c>
      <c r="G1610" s="19" t="inlineStr">
        <is>
          <t>https://archipelkombucha.com/products/kombucha-cassis-bio-x12?UTM_source=lemrock</t>
        </is>
      </c>
      <c r="H1610" s="20" t="n">
        <v>8890</v>
      </c>
      <c r="I1610" s="20" t="n">
        <v>59</v>
      </c>
      <c r="J1610" s="21">
        <f>IF(H1610=0,0,I1610/H1610)</f>
        <v/>
      </c>
    </row>
    <row r="1611">
      <c r="A1611" s="17" t="inlineStr">
        <is>
          <t>Archipel Kombucha</t>
        </is>
      </c>
      <c r="B1611" s="17" t="inlineStr">
        <is>
          <t>Live</t>
        </is>
      </c>
      <c r="C1611" s="17" t="inlineStr">
        <is>
          <t>Archipel</t>
        </is>
      </c>
      <c r="D1611" s="17" t="inlineStr">
        <is>
          <t>Beverages</t>
        </is>
      </c>
      <c r="E1611" s="18" t="inlineStr">
        <is>
          <t>Kombucha et boissons fermentées - Archipel</t>
        </is>
      </c>
      <c r="F1611" s="17" t="inlineStr">
        <is>
          <t>Kombucha framboise Archipel en canettes de 33 cl, pack de 24 : l’infusion de feuilles de framboisier est complétée par une purée de fruits.</t>
        </is>
      </c>
      <c r="G1611" s="19" t="inlineStr">
        <is>
          <t>https://archipelkombucha.com/products/kombucha-framboise-canette-33cl-x24?UTM_source=lemrock</t>
        </is>
      </c>
      <c r="H1611" s="20" t="n">
        <v>8344</v>
      </c>
      <c r="I1611" s="20" t="n">
        <v>40</v>
      </c>
      <c r="J1611" s="21">
        <f>IF(H1611=0,0,I1611/H1611)</f>
        <v/>
      </c>
    </row>
    <row r="1612">
      <c r="A1612" s="17" t="inlineStr">
        <is>
          <t>Archipel Kombucha</t>
        </is>
      </c>
      <c r="B1612" s="17" t="inlineStr">
        <is>
          <t>Live</t>
        </is>
      </c>
      <c r="C1612" s="17" t="inlineStr">
        <is>
          <t>Archipel</t>
        </is>
      </c>
      <c r="D1612" s="17" t="inlineStr">
        <is>
          <t>Beverages</t>
        </is>
      </c>
      <c r="E1612" s="18" t="inlineStr">
        <is>
          <t>Kombucha et boissons fermentées - Archipel</t>
        </is>
      </c>
      <c r="F1612" s="17" t="inlineStr">
        <is>
          <t>Pack de 12 kombuchas bio de 33 cl aux feuilles de framboisier : un résultat tout en tension et en délicatesse, à servir frais au repas.</t>
        </is>
      </c>
      <c r="G1612" s="19" t="inlineStr">
        <is>
          <t>https://archipelkombucha.com/products/kombucha-framboisier-bio-x12?UTM_source=lemrock</t>
        </is>
      </c>
      <c r="H1612" s="20" t="n">
        <v>8252</v>
      </c>
      <c r="I1612" s="20" t="n">
        <v>44</v>
      </c>
      <c r="J1612" s="21">
        <f>IF(H1612=0,0,I1612/H1612)</f>
        <v/>
      </c>
    </row>
    <row r="1613">
      <c r="A1613" s="17" t="inlineStr">
        <is>
          <t>Archipel Kombucha</t>
        </is>
      </c>
      <c r="B1613" s="17" t="inlineStr">
        <is>
          <t>Live</t>
        </is>
      </c>
      <c r="C1613" s="17" t="inlineStr">
        <is>
          <t>Archipel</t>
        </is>
      </c>
      <c r="D1613" s="17" t="inlineStr">
        <is>
          <t>Beverages</t>
        </is>
      </c>
      <c r="E1613" s="18" t="inlineStr">
        <is>
          <t>Kombucha et boissons fermentées - Archipel</t>
        </is>
      </c>
      <c r="F1613" s="17" t="inlineStr">
        <is>
          <t>Pack de 12 kombuchas bio de 33 cl aux feuilles de clémentine : une note d’agrume suave et fraîche qui s’associe à l’acidité du kombucha.</t>
        </is>
      </c>
      <c r="G1613" s="19" t="inlineStr">
        <is>
          <t>https://archipelkombucha.com/products/kombucha-clementine-bio-x12?UTM_source=lemrock</t>
        </is>
      </c>
      <c r="H1613" s="20" t="n">
        <v>8192</v>
      </c>
      <c r="I1613" s="20" t="n">
        <v>35</v>
      </c>
      <c r="J1613" s="21">
        <f>IF(H1613=0,0,I1613/H1613)</f>
        <v/>
      </c>
    </row>
    <row r="1614">
      <c r="A1614" s="17" t="inlineStr">
        <is>
          <t>Archipel Kombucha</t>
        </is>
      </c>
      <c r="B1614" s="17" t="inlineStr">
        <is>
          <t>Live</t>
        </is>
      </c>
      <c r="C1614" s="17" t="inlineStr">
        <is>
          <t>Archipel</t>
        </is>
      </c>
      <c r="D1614" s="17" t="inlineStr">
        <is>
          <t>Consumer Packaged Goods</t>
        </is>
      </c>
      <c r="E1614" s="18" t="inlineStr">
        <is>
          <t>Boissons fermentées bio - Archipel</t>
        </is>
      </c>
      <c r="F1614" s="17" t="inlineStr">
        <is>
          <t>Pack de 12 kombuchas bio de 33 cl aux feuilles de cassis françaises, achetées en direct producteur : un nez précis et une bouche très fraîche.</t>
        </is>
      </c>
      <c r="G1614" s="19" t="inlineStr">
        <is>
          <t>https://archipelkombucha.com/products/kombucha-cassis-bio-x12?UTM_source=lemrock</t>
        </is>
      </c>
      <c r="H1614" s="20" t="n">
        <v>8087</v>
      </c>
      <c r="I1614" s="20" t="n">
        <v>47</v>
      </c>
      <c r="J1614" s="21">
        <f>IF(H1614=0,0,I1614/H1614)</f>
        <v/>
      </c>
    </row>
    <row r="1615">
      <c r="A1615" s="17" t="inlineStr">
        <is>
          <t>Archipel Kombucha</t>
        </is>
      </c>
      <c r="B1615" s="17" t="inlineStr">
        <is>
          <t>Live</t>
        </is>
      </c>
      <c r="C1615" s="17" t="inlineStr">
        <is>
          <t>Archipel</t>
        </is>
      </c>
      <c r="D1615" s="17" t="inlineStr">
        <is>
          <t>Beverages</t>
        </is>
      </c>
      <c r="E1615" s="18" t="inlineStr">
        <is>
          <t>Kombucha et boissons fermentées - Archipel</t>
        </is>
      </c>
      <c r="F1615" s="17" t="inlineStr">
        <is>
          <t>Pack de 12 kombuchas bio de 33 cl aux feuilles de figuier : un kombucha gourmand et long en bouche, à ouvrir au moment de l’apéritif.</t>
        </is>
      </c>
      <c r="G1615" s="19" t="inlineStr">
        <is>
          <t>https://archipelkombucha.com/products/kombucha-figuier-bio-x12?UTM_source=lemrock</t>
        </is>
      </c>
      <c r="H1615" s="20" t="n">
        <v>8013</v>
      </c>
      <c r="I1615" s="20" t="n">
        <v>42</v>
      </c>
      <c r="J1615" s="21">
        <f>IF(H1615=0,0,I1615/H1615)</f>
        <v/>
      </c>
    </row>
    <row r="1616">
      <c r="A1616" s="17" t="inlineStr">
        <is>
          <t>Archipel Kombucha</t>
        </is>
      </c>
      <c r="B1616" s="17" t="inlineStr">
        <is>
          <t>Live</t>
        </is>
      </c>
      <c r="C1616" s="17" t="inlineStr">
        <is>
          <t>Archipel</t>
        </is>
      </c>
      <c r="D1616" s="17" t="inlineStr">
        <is>
          <t>Beverages</t>
        </is>
      </c>
      <c r="E1616" s="18" t="inlineStr">
        <is>
          <t>Kombucha et boissons fermentées - Archipel</t>
        </is>
      </c>
      <c r="F1616" s="17" t="inlineStr">
        <is>
          <t>Pack de 12 kombuchas bruts bio de 33 cl, travaillés à partir du thé noir Kinihira du Rwanda : un kombucha expressif, à boire bien frais.</t>
        </is>
      </c>
      <c r="G1616" s="19" t="inlineStr">
        <is>
          <t>https://archipelkombucha.com/products/kombucha-brut-bio-x12?UTM_source=lemrock</t>
        </is>
      </c>
      <c r="H1616" s="20" t="n">
        <v>8003</v>
      </c>
      <c r="I1616" s="20" t="n">
        <v>39</v>
      </c>
      <c r="J1616" s="21">
        <f>IF(H1616=0,0,I1616/H1616)</f>
        <v/>
      </c>
    </row>
    <row r="1617">
      <c r="A1617" s="17" t="inlineStr">
        <is>
          <t>Archipel Kombucha</t>
        </is>
      </c>
      <c r="B1617" s="17" t="inlineStr">
        <is>
          <t>Live</t>
        </is>
      </c>
      <c r="C1617" s="17" t="inlineStr">
        <is>
          <t>Archipel</t>
        </is>
      </c>
      <c r="D1617" s="17" t="inlineStr">
        <is>
          <t>Beverages</t>
        </is>
      </c>
      <c r="E1617" s="18" t="inlineStr">
        <is>
          <t>Kombucha et boissons fermentées - Archipel</t>
        </is>
      </c>
      <c r="F1617" s="17" t="inlineStr">
        <is>
          <t>Pack de 6 bouteilles de 75 cl de kombucha aux feuilles de figuier : des notes exotiques, une fine acidité et une bouche longue, à partager.</t>
        </is>
      </c>
      <c r="G1617" s="19" t="inlineStr">
        <is>
          <t>https://archipelkombucha.com/products/kombucha-feuilles-de-figuier-75cl-x6?UTM_source=lemrock</t>
        </is>
      </c>
      <c r="H1617" s="20" t="n">
        <v>7988</v>
      </c>
      <c r="I1617" s="20" t="n">
        <v>39</v>
      </c>
      <c r="J1617" s="21">
        <f>IF(H1617=0,0,I1617/H1617)</f>
        <v/>
      </c>
    </row>
    <row r="1618">
      <c r="A1618" s="17" t="inlineStr">
        <is>
          <t>Archipel Kombucha</t>
        </is>
      </c>
      <c r="B1618" s="17" t="inlineStr">
        <is>
          <t>Live</t>
        </is>
      </c>
      <c r="C1618" s="17" t="inlineStr">
        <is>
          <t>Archipel</t>
        </is>
      </c>
      <c r="D1618" s="17" t="inlineStr">
        <is>
          <t>Consumer Packaged Goods</t>
        </is>
      </c>
      <c r="E1618" s="18" t="inlineStr">
        <is>
          <t>Boissons bio et kombucha - Archipel</t>
        </is>
      </c>
      <c r="F1618" s="17" t="inlineStr">
        <is>
          <t>Kombucha bio brassé par Archipel, en canette de 33 cl ou en bouteille de 75 cl, vendu par pack pour remplir le réfrigérateur.</t>
        </is>
      </c>
      <c r="G1618" s="19" t="inlineStr">
        <is>
          <t>https://archipelkombucha.com/products/kombucha-pomelo-gingembre-canette-33cl-x24?UTM_source=lemrock</t>
        </is>
      </c>
      <c r="H1618" s="20" t="n">
        <v>7949</v>
      </c>
      <c r="I1618" s="20" t="n">
        <v>45</v>
      </c>
      <c r="J1618" s="21">
        <f>IF(H1618=0,0,I1618/H1618)</f>
        <v/>
      </c>
    </row>
    <row r="1619">
      <c r="A1619" s="17" t="inlineStr">
        <is>
          <t>Archipel Kombucha</t>
        </is>
      </c>
      <c r="B1619" s="17" t="inlineStr">
        <is>
          <t>Live</t>
        </is>
      </c>
      <c r="C1619" s="17" t="inlineStr">
        <is>
          <t>Archipel</t>
        </is>
      </c>
      <c r="D1619" s="17" t="inlineStr">
        <is>
          <t>Consumer Packaged Goods</t>
        </is>
      </c>
      <c r="E1619" s="18" t="inlineStr">
        <is>
          <t>Boissons fermentées bio - Archipel</t>
        </is>
      </c>
      <c r="F1619" s="17" t="inlineStr">
        <is>
          <t>Kombucha framboise Archipel en canettes de 33 cl, pack de 24 : l’infusion de feuilles de framboisier est complétée par une purée de fruits.</t>
        </is>
      </c>
      <c r="G1619" s="19" t="inlineStr">
        <is>
          <t>https://archipelkombucha.com/products/kombucha-framboise-canette-33cl-x24?UTM_source=lemrock</t>
        </is>
      </c>
      <c r="H1619" s="20" t="n">
        <v>7946</v>
      </c>
      <c r="I1619" s="20" t="n">
        <v>43</v>
      </c>
      <c r="J1619" s="21">
        <f>IF(H1619=0,0,I1619/H1619)</f>
        <v/>
      </c>
    </row>
    <row r="1620">
      <c r="A1620" s="17" t="inlineStr">
        <is>
          <t>Archipel Kombucha</t>
        </is>
      </c>
      <c r="B1620" s="17" t="inlineStr">
        <is>
          <t>Live</t>
        </is>
      </c>
      <c r="C1620" s="17" t="inlineStr">
        <is>
          <t>Archipel</t>
        </is>
      </c>
      <c r="D1620" s="17" t="inlineStr">
        <is>
          <t>Consumer Packaged Goods</t>
        </is>
      </c>
      <c r="E1620" s="18" t="inlineStr">
        <is>
          <t>Boissons fermentées bio - Archipel</t>
        </is>
      </c>
      <c r="F1620" s="17" t="inlineStr">
        <is>
          <t>Pack de 12 kombuchas bruts bio de 33 cl, travaillés à partir du thé noir Kinihira du Rwanda : un kombucha expressif, à boire bien frais.</t>
        </is>
      </c>
      <c r="G1620" s="19" t="inlineStr">
        <is>
          <t>https://archipelkombucha.com/products/kombucha-brut-bio-x12?UTM_source=lemrock</t>
        </is>
      </c>
      <c r="H1620" s="20" t="n">
        <v>7806</v>
      </c>
      <c r="I1620" s="20" t="n">
        <v>42</v>
      </c>
      <c r="J1620" s="21">
        <f>IF(H1620=0,0,I1620/H1620)</f>
        <v/>
      </c>
    </row>
    <row r="1621">
      <c r="A1621" s="17" t="inlineStr">
        <is>
          <t>Archipel Kombucha</t>
        </is>
      </c>
      <c r="B1621" s="17" t="inlineStr">
        <is>
          <t>Live</t>
        </is>
      </c>
      <c r="C1621" s="17" t="inlineStr">
        <is>
          <t>Archipel</t>
        </is>
      </c>
      <c r="D1621" s="17" t="inlineStr">
        <is>
          <t>Consumer Packaged Goods</t>
        </is>
      </c>
      <c r="E1621" s="18" t="inlineStr">
        <is>
          <t>Boissons fermentées bio - Archipel</t>
        </is>
      </c>
      <c r="F1621" s="17" t="inlineStr">
        <is>
          <t>Pack de 12 kombuchas bio de 33 cl aux feuilles de clémentine : une note d’agrume suave et fraîche qui s’associe à l’acidité du kombucha.</t>
        </is>
      </c>
      <c r="G1621" s="19" t="inlineStr">
        <is>
          <t>https://archipelkombucha.com/products/kombucha-clementine-bio-x12?UTM_source=lemrock</t>
        </is>
      </c>
      <c r="H1621" s="20" t="n">
        <v>7800</v>
      </c>
      <c r="I1621" s="20" t="n">
        <v>43</v>
      </c>
      <c r="J1621" s="21">
        <f>IF(H1621=0,0,I1621/H1621)</f>
        <v/>
      </c>
    </row>
    <row r="1622">
      <c r="A1622" s="17" t="inlineStr">
        <is>
          <t>Archipel Kombucha</t>
        </is>
      </c>
      <c r="B1622" s="17" t="inlineStr">
        <is>
          <t>Live</t>
        </is>
      </c>
      <c r="C1622" s="17" t="inlineStr">
        <is>
          <t>Archipel</t>
        </is>
      </c>
      <c r="D1622" s="17" t="inlineStr">
        <is>
          <t>Consumer Packaged Goods</t>
        </is>
      </c>
      <c r="E1622" s="18" t="inlineStr">
        <is>
          <t>Boissons fermentées bio - Archipel</t>
        </is>
      </c>
      <c r="F1622" s="17" t="inlineStr">
        <is>
          <t>Pack de 12 kombuchas bio de 33 cl aux feuilles de framboisier : un résultat tout en tension et en délicatesse, à servir frais au repas.</t>
        </is>
      </c>
      <c r="G1622" s="19" t="inlineStr">
        <is>
          <t>https://archipelkombucha.com/products/kombucha-framboisier-bio-x12?UTM_source=lemrock</t>
        </is>
      </c>
      <c r="H1622" s="20" t="n">
        <v>7800</v>
      </c>
      <c r="I1622" s="20" t="n">
        <v>40</v>
      </c>
      <c r="J1622" s="21">
        <f>IF(H1622=0,0,I1622/H1622)</f>
        <v/>
      </c>
    </row>
    <row r="1623">
      <c r="A1623" s="17" t="inlineStr">
        <is>
          <t>Archipel Kombucha</t>
        </is>
      </c>
      <c r="B1623" s="17" t="inlineStr">
        <is>
          <t>Live</t>
        </is>
      </c>
      <c r="C1623" s="17" t="inlineStr">
        <is>
          <t>Archipel</t>
        </is>
      </c>
      <c r="D1623" s="17" t="inlineStr">
        <is>
          <t>Consumer Packaged Goods</t>
        </is>
      </c>
      <c r="E1623" s="18" t="inlineStr">
        <is>
          <t>Boissons fermentées bio - Archipel</t>
        </is>
      </c>
      <c r="F1623" s="17" t="inlineStr">
        <is>
          <t>Pack de 6 bouteilles de 75 cl de kombucha aux feuilles de figuier : des notes exotiques, une fine acidité et une bouche longue, à partager.</t>
        </is>
      </c>
      <c r="G1623" s="19" t="inlineStr">
        <is>
          <t>https://archipelkombucha.com/products/kombucha-feuilles-de-figuier-75cl-x6?UTM_source=lemrock</t>
        </is>
      </c>
      <c r="H1623" s="20" t="n">
        <v>7755</v>
      </c>
      <c r="I1623" s="20" t="n">
        <v>26</v>
      </c>
      <c r="J1623" s="21">
        <f>IF(H1623=0,0,I1623/H1623)</f>
        <v/>
      </c>
    </row>
    <row r="1624">
      <c r="A1624" s="17" t="inlineStr">
        <is>
          <t>Archipel Kombucha</t>
        </is>
      </c>
      <c r="B1624" s="17" t="inlineStr">
        <is>
          <t>Live</t>
        </is>
      </c>
      <c r="C1624" s="17" t="inlineStr">
        <is>
          <t>Archipel</t>
        </is>
      </c>
      <c r="D1624" s="17" t="inlineStr">
        <is>
          <t>Consumer Packaged Goods</t>
        </is>
      </c>
      <c r="E1624" s="18" t="inlineStr">
        <is>
          <t>Boissons fermentées bio - Archipel</t>
        </is>
      </c>
      <c r="F1624" s="17" t="inlineStr">
        <is>
          <t>Pack de 12 kombuchas bio de 33 cl aux feuilles de figuier : un kombucha gourmand et long en bouche, à ouvrir au moment de l’apéritif.</t>
        </is>
      </c>
      <c r="G1624" s="19" t="inlineStr">
        <is>
          <t>https://archipelkombucha.com/products/kombucha-figuier-bio-x12?UTM_source=lemrock</t>
        </is>
      </c>
      <c r="H1624" s="20" t="n">
        <v>7696</v>
      </c>
      <c r="I1624" s="20" t="n">
        <v>35</v>
      </c>
      <c r="J1624" s="21">
        <f>IF(H1624=0,0,I1624/H1624)</f>
        <v/>
      </c>
    </row>
    <row r="1625">
      <c r="A1625" s="17" t="inlineStr">
        <is>
          <t>SNCF</t>
        </is>
      </c>
      <c r="B1625" s="17" t="inlineStr">
        <is>
          <t>Live</t>
        </is>
      </c>
      <c r="C1625" s="17" t="inlineStr">
        <is>
          <t>SNCF Connect</t>
        </is>
      </c>
      <c r="D1625" s="17" t="inlineStr">
        <is>
          <t>Train Paris - Rennes</t>
        </is>
      </c>
      <c r="E1625" s="18" t="inlineStr">
        <is>
          <t>SNCF Connect Train Paris Rennes</t>
        </is>
      </c>
      <c r="F1625" s="17" t="inlineStr">
        <is>
          <t>Billets de train Paris - Rennes</t>
        </is>
      </c>
      <c r="G1625" s="19" t="inlineStr">
        <is>
          <t>https://www.sncf-connect.com/app/redirect?redirection_type=SEARCH&amp;origin_transporter_code=FRPAR&amp;destination_transporter_code=FRRNS&amp;nb_pax=1&amp;egn-publisher=lemrock&amp;egn-name=lemrock_fr_conv_exposed_lemrock_autre_autre-multiproduit_fr_mk_autre_20261130&amp;egn-location=1x1&amp;egn-creative=1x1&amp;egn-creativetype=1x1</t>
        </is>
      </c>
      <c r="H1625" s="20" t="n">
        <v>25464</v>
      </c>
      <c r="I1625" s="20" t="n">
        <v>53</v>
      </c>
      <c r="J1625" s="21">
        <f>IF(H1625=0,0,I1625/H1625)</f>
        <v/>
      </c>
    </row>
    <row r="1626">
      <c r="A1626" s="17" t="inlineStr">
        <is>
          <t>SNCF</t>
        </is>
      </c>
      <c r="B1626" s="17" t="inlineStr">
        <is>
          <t>Live</t>
        </is>
      </c>
      <c r="C1626" s="17" t="inlineStr">
        <is>
          <t>SNCF Connect</t>
        </is>
      </c>
      <c r="D1626" s="17" t="inlineStr">
        <is>
          <t>Train Paris - Marseille</t>
        </is>
      </c>
      <c r="E1626" s="18" t="inlineStr">
        <is>
          <t>SNCF Connect Train Paris Marseille</t>
        </is>
      </c>
      <c r="F1626" s="17" t="inlineStr">
        <is>
          <t>Billets de train Paris - Marseille</t>
        </is>
      </c>
      <c r="G1626" s="19" t="inlineStr">
        <is>
          <t>https://www.sncf-connect.com/app/redirect?redirection_type=SEARCH&amp;origin_transporter_code=FRPAR&amp;destination_transporter_code=FRMRS&amp;nb_pax=1&amp;egn-publisher=lemrock&amp;egn-name=lemrock_fr_conv_exposed_lemrock_autre_autre-multiproduit_fr_mk_autre_20261130&amp;egn-location=1x1&amp;egn-creative=1x1&amp;egn-creativetype=1x1</t>
        </is>
      </c>
      <c r="H1626" s="20" t="n">
        <v>7048</v>
      </c>
      <c r="I1626" s="20" t="n">
        <v>34</v>
      </c>
      <c r="J1626" s="21">
        <f>IF(H1626=0,0,I1626/H1626)</f>
        <v/>
      </c>
    </row>
    <row r="1627">
      <c r="A1627" s="17" t="inlineStr">
        <is>
          <t>SNCF</t>
        </is>
      </c>
      <c r="B1627" s="17" t="inlineStr">
        <is>
          <t>Live</t>
        </is>
      </c>
      <c r="C1627" s="17" t="inlineStr">
        <is>
          <t>SNCF Connect</t>
        </is>
      </c>
      <c r="D1627" s="17" t="inlineStr">
        <is>
          <t>Train Paris - Marseille</t>
        </is>
      </c>
      <c r="E1627" s="18" t="inlineStr">
        <is>
          <t>SNCF Connect Train Marseille Paris</t>
        </is>
      </c>
      <c r="F1627" s="17" t="inlineStr">
        <is>
          <t>Billets de train Marseille - Paris</t>
        </is>
      </c>
      <c r="G1627" s="19" t="inlineStr">
        <is>
          <t>https://www.sncf-connect.com/app/redirect?redirection_type=SEARCH&amp;origin_transporter_code=FRMRS&amp;destination_transporter_code=FRPAR&amp;nb_pax=1&amp;egn-publisher=lemrock&amp;egn-name=lemrock_fr_conv_exposed_lemrock_autre_autre-multiproduit_fr_mk_autre_20261130&amp;egn-location=1x1&amp;egn-creative=1x1&amp;egn-creativetype=1x1</t>
        </is>
      </c>
      <c r="H1627" s="20" t="n">
        <v>6856</v>
      </c>
      <c r="I1627" s="20" t="n">
        <v>52</v>
      </c>
      <c r="J1627" s="21">
        <f>IF(H1627=0,0,I1627/H1627)</f>
        <v/>
      </c>
    </row>
    <row r="1628">
      <c r="A1628" s="17" t="inlineStr">
        <is>
          <t>SNCF</t>
        </is>
      </c>
      <c r="B1628" s="17" t="inlineStr">
        <is>
          <t>Live</t>
        </is>
      </c>
      <c r="C1628" s="17" t="inlineStr">
        <is>
          <t>SNCF Connect</t>
        </is>
      </c>
      <c r="D1628" s="17" t="inlineStr">
        <is>
          <t>Train Paris - Nantes</t>
        </is>
      </c>
      <c r="E1628" s="18" t="inlineStr">
        <is>
          <t>SNCF Connect Train Paris Nantes</t>
        </is>
      </c>
      <c r="F1628" s="17" t="inlineStr">
        <is>
          <t>Billets de train Paris - Nantes</t>
        </is>
      </c>
      <c r="G1628" s="19" t="inlineStr">
        <is>
          <t>https://www.sncf-connect.com/app/redirect?redirection_type=SEARCH&amp;origin_transporter_code=FRPAR&amp;destination_transporter_code=FRTNE&amp;nb_pax=1&amp;egn-publisher=lemrock&amp;egn-name=lemrock_fr_conv_exposed_lemrock_autre_autre-multiproduit_fr_mk_autre_20261130&amp;egn-location=1x1&amp;egn-creative=1x1&amp;egn-creativetype=1x1</t>
        </is>
      </c>
      <c r="H1628" s="20" t="n">
        <v>6031</v>
      </c>
      <c r="I1628" s="20" t="n">
        <v>31</v>
      </c>
      <c r="J1628" s="21">
        <f>IF(H1628=0,0,I1628/H1628)</f>
        <v/>
      </c>
    </row>
    <row r="1629">
      <c r="A1629" s="17" t="inlineStr">
        <is>
          <t>SNCF</t>
        </is>
      </c>
      <c r="B1629" s="17" t="inlineStr">
        <is>
          <t>Live</t>
        </is>
      </c>
      <c r="C1629" s="17" t="inlineStr">
        <is>
          <t>SNCF Connect</t>
        </is>
      </c>
      <c r="D1629" s="17" t="inlineStr">
        <is>
          <t>Train Paris - Nantes</t>
        </is>
      </c>
      <c r="E1629" s="18" t="inlineStr">
        <is>
          <t>SNCF Connect Train Nantes Paris</t>
        </is>
      </c>
      <c r="F1629" s="17" t="inlineStr">
        <is>
          <t>Billets de train Nantes - Paris</t>
        </is>
      </c>
      <c r="G1629" s="19" t="inlineStr">
        <is>
          <t>https://www.sncf-connect.com/app/redirect?redirection_type=SEARCH&amp;origin_transporter_code=FRTNE&amp;destination_transporter_code=FRPAR&amp;nb_pax=1&amp;egn-publisher=lemrock&amp;egn-name=lemrock_fr_conv_exposed_lemrock_autre_autre-multiproduit_fr_mk_autre_20261130&amp;egn-location=1x1&amp;egn-creative=1x1&amp;egn-creativetype=1x1</t>
        </is>
      </c>
      <c r="H1629" s="20" t="n">
        <v>5985</v>
      </c>
      <c r="I1629" s="20" t="n">
        <v>42</v>
      </c>
      <c r="J1629" s="21">
        <f>IF(H1629=0,0,I1629/H1629)</f>
        <v/>
      </c>
    </row>
    <row r="1630">
      <c r="A1630" s="17" t="inlineStr">
        <is>
          <t>SNCF</t>
        </is>
      </c>
      <c r="B1630" s="17" t="inlineStr">
        <is>
          <t>Live</t>
        </is>
      </c>
      <c r="C1630" s="17" t="inlineStr">
        <is>
          <t>SNCF Connect</t>
        </is>
      </c>
      <c r="D1630" s="17" t="inlineStr">
        <is>
          <t>Train Paris - Bordeaux</t>
        </is>
      </c>
      <c r="E1630" s="18" t="inlineStr">
        <is>
          <t>SNCF Connect Train Paris Bordeaux</t>
        </is>
      </c>
      <c r="F1630" s="17" t="inlineStr">
        <is>
          <t>Billets de train Paris - Bordeaux</t>
        </is>
      </c>
      <c r="G1630" s="19" t="inlineStr">
        <is>
          <t>https://www.sncf-connect.com/app/redirect?redirection_type=SEARCH&amp;origin_transporter_code=FRPAR&amp;destination_transporter_code=FRBOJ&amp;nb_pax=1&amp;egn-publisher=lemrock&amp;egn-name=lemrock_fr_conv_exposed_lemrock_autre_autre-multiproduit_fr_mk_autre_20261130&amp;egn-location=1x1&amp;egn-creative=1x1&amp;egn-creativetype=1x1</t>
        </is>
      </c>
      <c r="H1630" s="20" t="n">
        <v>5962</v>
      </c>
      <c r="I1630" s="20" t="n">
        <v>33</v>
      </c>
      <c r="J1630" s="21">
        <f>IF(H1630=0,0,I1630/H1630)</f>
        <v/>
      </c>
    </row>
    <row r="1631">
      <c r="A1631" s="17" t="inlineStr">
        <is>
          <t>SNCF</t>
        </is>
      </c>
      <c r="B1631" s="17" t="inlineStr">
        <is>
          <t>Live</t>
        </is>
      </c>
      <c r="C1631" s="17" t="inlineStr">
        <is>
          <t>SNCF Connect</t>
        </is>
      </c>
      <c r="D1631" s="17" t="inlineStr">
        <is>
          <t>Train Paris - Amsterdam</t>
        </is>
      </c>
      <c r="E1631" s="18" t="inlineStr">
        <is>
          <t>SNCF Connect Train Paris Amsterdam</t>
        </is>
      </c>
      <c r="F1631" s="17" t="inlineStr">
        <is>
          <t>Billets de train Paris - Amsterdam</t>
        </is>
      </c>
      <c r="G1631" s="19" t="inlineStr">
        <is>
          <t>https://www.sncf-connect.com/app/redirect?redirection_type=SEARCH&amp;origin_transporter_code=FRPAR&amp;destination_transporter_code=NLAMS&amp;nb_pax=1&amp;egn-publisher=lemrock&amp;egn-name=lemrock_fr_conv_exposed_lemrock_autre_autre-multiproduit_fr_mk_autre_20261130&amp;egn-location=1x1&amp;egn-creative=1x1&amp;egn-creativetype=1x1</t>
        </is>
      </c>
      <c r="H1631" s="20" t="n">
        <v>5953</v>
      </c>
      <c r="I1631" s="20" t="n">
        <v>37</v>
      </c>
      <c r="J1631" s="21">
        <f>IF(H1631=0,0,I1631/H1631)</f>
        <v/>
      </c>
    </row>
    <row r="1632">
      <c r="A1632" s="17" t="inlineStr">
        <is>
          <t>SNCF</t>
        </is>
      </c>
      <c r="B1632" s="17" t="inlineStr">
        <is>
          <t>Live</t>
        </is>
      </c>
      <c r="C1632" s="17" t="inlineStr">
        <is>
          <t>SNCF Connect</t>
        </is>
      </c>
      <c r="D1632" s="17" t="inlineStr">
        <is>
          <t>Train Paris - Bordeaux</t>
        </is>
      </c>
      <c r="E1632" s="18" t="inlineStr">
        <is>
          <t>SNCF Connect Train Bordeaux Paris</t>
        </is>
      </c>
      <c r="F1632" s="17" t="inlineStr">
        <is>
          <t>Billets de train Bordeaux - Paris</t>
        </is>
      </c>
      <c r="G1632" s="19" t="inlineStr">
        <is>
          <t>https://www.sncf-connect.com/app/redirect?redirection_type=SEARCH&amp;origin_transporter_code=FRBOJ&amp;destination_transporter_code=FRPAR&amp;nb_pax=1&amp;egn-publisher=lemrock&amp;egn-name=lemrock_fr_conv_exposed_lemrock_autre_autre-multiproduit_fr_mk_autre_20261130&amp;egn-location=1x1&amp;egn-creative=1x1&amp;egn-creativetype=1x1</t>
        </is>
      </c>
      <c r="H1632" s="20" t="n">
        <v>5939</v>
      </c>
      <c r="I1632" s="20" t="n">
        <v>43</v>
      </c>
      <c r="J1632" s="21">
        <f>IF(H1632=0,0,I1632/H1632)</f>
        <v/>
      </c>
    </row>
    <row r="1633">
      <c r="A1633" s="17" t="inlineStr">
        <is>
          <t>SNCF</t>
        </is>
      </c>
      <c r="B1633" s="17" t="inlineStr">
        <is>
          <t>Live</t>
        </is>
      </c>
      <c r="C1633" s="17" t="inlineStr">
        <is>
          <t>SNCF Connect</t>
        </is>
      </c>
      <c r="D1633" s="17" t="inlineStr">
        <is>
          <t>Train Paris - Toulouse</t>
        </is>
      </c>
      <c r="E1633" s="18" t="inlineStr">
        <is>
          <t>SNCF Connect Train Paris Toulouse</t>
        </is>
      </c>
      <c r="F1633" s="17" t="inlineStr">
        <is>
          <t>Billets de train Paris - Toulouse</t>
        </is>
      </c>
      <c r="G1633" s="19" t="inlineStr">
        <is>
          <t>https://www.sncf-connect.com/app/redirect?redirection_type=SEARCH&amp;origin_transporter_code=FRPAR&amp;destination_transporter_code=FRTLS&amp;nb_pax=1&amp;egn-publisher=lemrock&amp;egn-name=lemrock_fr_conv_exposed_lemrock_autre_autre-multiproduit_fr_mk_autre_20261130&amp;egn-location=1x1&amp;egn-creative=1x1&amp;egn-creativetype=1x1</t>
        </is>
      </c>
      <c r="H1633" s="20" t="n">
        <v>5899</v>
      </c>
      <c r="I1633" s="20" t="n">
        <v>40</v>
      </c>
      <c r="J1633" s="21">
        <f>IF(H1633=0,0,I1633/H1633)</f>
        <v/>
      </c>
    </row>
    <row r="1634">
      <c r="A1634" s="17" t="inlineStr">
        <is>
          <t>SNCF</t>
        </is>
      </c>
      <c r="B1634" s="17" t="inlineStr">
        <is>
          <t>Live</t>
        </is>
      </c>
      <c r="C1634" s="17" t="inlineStr">
        <is>
          <t>SNCF Connect</t>
        </is>
      </c>
      <c r="D1634" s="17" t="inlineStr">
        <is>
          <t>Train Paris - Barcelone</t>
        </is>
      </c>
      <c r="E1634" s="18" t="inlineStr">
        <is>
          <t>SNCF Connect Train Paris Barcelone</t>
        </is>
      </c>
      <c r="F1634" s="17" t="inlineStr">
        <is>
          <t>Billets de train Paris - Barcelone</t>
        </is>
      </c>
      <c r="G1634" s="19" t="inlineStr">
        <is>
          <t>https://www.sncf-connect.com/app/redirect?redirection_type=SEARCH&amp;origin_transporter_code=FRPAR&amp;destination_transporter_code=ESBCN&amp;nb_pax=1&amp;egn-publisher=lemrock&amp;egn-name=lemrock_fr_conv_exposed_lemrock_autre_autre-multiproduit_fr_mk_autre_20261130&amp;egn-location=1x1&amp;egn-creative=1x1&amp;egn-creativetype=1x1</t>
        </is>
      </c>
      <c r="H1634" s="20" t="n">
        <v>5898</v>
      </c>
      <c r="I1634" s="20" t="n">
        <v>39</v>
      </c>
      <c r="J1634" s="21">
        <f>IF(H1634=0,0,I1634/H1634)</f>
        <v/>
      </c>
    </row>
    <row r="1635">
      <c r="A1635" s="17" t="inlineStr">
        <is>
          <t>SNCF</t>
        </is>
      </c>
      <c r="B1635" s="17" t="inlineStr">
        <is>
          <t>Live</t>
        </is>
      </c>
      <c r="C1635" s="17" t="inlineStr">
        <is>
          <t>SNCF Connect</t>
        </is>
      </c>
      <c r="D1635" s="17" t="inlineStr">
        <is>
          <t>Train Paris - Toulouse</t>
        </is>
      </c>
      <c r="E1635" s="18" t="inlineStr">
        <is>
          <t>SNCF Connect Train Toulouse Paris</t>
        </is>
      </c>
      <c r="F1635" s="17" t="inlineStr">
        <is>
          <t>Billets de train Toulouse - Paris</t>
        </is>
      </c>
      <c r="G1635" s="19" t="inlineStr">
        <is>
          <t>https://www.sncf-connect.com/app/redirect?redirection_type=SEARCH&amp;origin_transporter_code=FRTLS&amp;destination_transporter_code=FRPAR&amp;nb_pax=1&amp;egn-publisher=lemrock&amp;egn-name=lemrock_fr_conv_exposed_lemrock_autre_autre-multiproduit_fr_mk_autre_20261130&amp;egn-location=1x1&amp;egn-creative=1x1&amp;egn-creativetype=1x1</t>
        </is>
      </c>
      <c r="H1635" s="20" t="n">
        <v>5885</v>
      </c>
      <c r="I1635" s="20" t="n">
        <v>43</v>
      </c>
      <c r="J1635" s="21">
        <f>IF(H1635=0,0,I1635/H1635)</f>
        <v/>
      </c>
    </row>
    <row r="1636">
      <c r="A1636" s="17" t="inlineStr">
        <is>
          <t>SNCF</t>
        </is>
      </c>
      <c r="B1636" s="17" t="inlineStr">
        <is>
          <t>Live</t>
        </is>
      </c>
      <c r="C1636" s="17" t="inlineStr">
        <is>
          <t>SNCF Connect</t>
        </is>
      </c>
      <c r="D1636" s="17" t="inlineStr">
        <is>
          <t>Train Paris - Lille</t>
        </is>
      </c>
      <c r="E1636" s="18" t="inlineStr">
        <is>
          <t>SNCF Connect Train Paris Lille</t>
        </is>
      </c>
      <c r="F1636" s="17" t="inlineStr">
        <is>
          <t>Billets de train Paris - Lille</t>
        </is>
      </c>
      <c r="G1636" s="19" t="inlineStr">
        <is>
          <t>https://www.sncf-connect.com/app/redirect?redirection_type=SEARCH&amp;origin_transporter_code=FRPAR&amp;destination_transporter_code=FRLIL&amp;nb_pax=1&amp;egn-publisher=lemrock&amp;egn-name=lemrock_fr_conv_exposed_lemrock_autre_autre-multiproduit_fr_mk_autre_20261130&amp;egn-location=1x1&amp;egn-creative=1x1&amp;egn-creativetype=1x1</t>
        </is>
      </c>
      <c r="H1636" s="20" t="n">
        <v>5885</v>
      </c>
      <c r="I1636" s="20" t="n">
        <v>34</v>
      </c>
      <c r="J1636" s="21">
        <f>IF(H1636=0,0,I1636/H1636)</f>
        <v/>
      </c>
    </row>
    <row r="1637">
      <c r="A1637" s="17" t="inlineStr">
        <is>
          <t>SNCF</t>
        </is>
      </c>
      <c r="B1637" s="17" t="inlineStr">
        <is>
          <t>Live</t>
        </is>
      </c>
      <c r="C1637" s="17" t="inlineStr">
        <is>
          <t>SNCF Connect</t>
        </is>
      </c>
      <c r="D1637" s="17" t="inlineStr">
        <is>
          <t>Train Paris - Montpellier</t>
        </is>
      </c>
      <c r="E1637" s="18" t="inlineStr">
        <is>
          <t>SNCF Connect Train Montpellier Paris</t>
        </is>
      </c>
      <c r="F1637" s="17" t="inlineStr">
        <is>
          <t>Billets de train Montpellier - Paris</t>
        </is>
      </c>
      <c r="G1637" s="19" t="inlineStr">
        <is>
          <t>https://www.sncf-connect.com/app/redirect?redirection_type=SEARCH&amp;origin_transporter_code=FRMPT&amp;destination_transporter_code=FRPAR&amp;nb_pax=1&amp;egn-publisher=lemrock&amp;egn-name=lemrock_fr_conv_exposed_lemrock_autre_autre-multiproduit_fr_mk_autre_20261130&amp;egn-location=1x1&amp;egn-creative=1x1&amp;egn-creativetype=1x1</t>
        </is>
      </c>
      <c r="H1637" s="20" t="n">
        <v>5838</v>
      </c>
      <c r="I1637" s="20" t="n">
        <v>34</v>
      </c>
      <c r="J1637" s="21">
        <f>IF(H1637=0,0,I1637/H1637)</f>
        <v/>
      </c>
    </row>
    <row r="1638">
      <c r="A1638" s="17" t="inlineStr">
        <is>
          <t>SNCF</t>
        </is>
      </c>
      <c r="B1638" s="17" t="inlineStr">
        <is>
          <t>Live</t>
        </is>
      </c>
      <c r="C1638" s="17" t="inlineStr">
        <is>
          <t>SNCF Connect</t>
        </is>
      </c>
      <c r="D1638" s="17" t="inlineStr">
        <is>
          <t>Train Paris - Rennes</t>
        </is>
      </c>
      <c r="E1638" s="18" t="inlineStr">
        <is>
          <t>SNCF Connect Train Rennes Paris</t>
        </is>
      </c>
      <c r="F1638" s="17" t="inlineStr">
        <is>
          <t>Billets de train Rennes - Paris</t>
        </is>
      </c>
      <c r="G1638" s="19" t="inlineStr">
        <is>
          <t>https://www.sncf-connect.com/app/redirect?redirection_type=SEARCH&amp;origin_transporter_code=FRRNS&amp;destination_transporter_code=FRPAR&amp;nb_pax=1&amp;egn-publisher=lemrock&amp;egn-name=lemrock_fr_conv_exposed_lemrock_autre_autre-multiproduit_fr_mk_autre_20261130&amp;egn-location=1x1&amp;egn-creative=1x1&amp;egn-creativetype=1x1</t>
        </is>
      </c>
      <c r="H1638" s="20" t="n">
        <v>5823</v>
      </c>
      <c r="I1638" s="20" t="n">
        <v>42</v>
      </c>
      <c r="J1638" s="21">
        <f>IF(H1638=0,0,I1638/H1638)</f>
        <v/>
      </c>
    </row>
    <row r="1639">
      <c r="A1639" s="17" t="inlineStr">
        <is>
          <t>SNCF</t>
        </is>
      </c>
      <c r="B1639" s="17" t="inlineStr">
        <is>
          <t>Live</t>
        </is>
      </c>
      <c r="C1639" s="17" t="inlineStr">
        <is>
          <t>SNCF Connect</t>
        </is>
      </c>
      <c r="D1639" s="17" t="inlineStr">
        <is>
          <t>Train Paris - Nice</t>
        </is>
      </c>
      <c r="E1639" s="18" t="inlineStr">
        <is>
          <t>SNCF Connect Train Paris Nice</t>
        </is>
      </c>
      <c r="F1639" s="17" t="inlineStr">
        <is>
          <t>Billets de train Paris - Nice</t>
        </is>
      </c>
      <c r="G1639" s="19" t="inlineStr">
        <is>
          <t>https://www.sncf-connect.com/app/redirect?redirection_type=SEARCH&amp;origin_transporter_code=FRPAR&amp;destination_transporter_code=FRNCE&amp;nb_pax=1&amp;egn-publisher=lemrock&amp;egn-name=lemrock_fr_conv_exposed_lemrock_autre_autre-multiproduit_fr_mk_autre_20261130&amp;egn-location=1x1&amp;egn-creative=1x1&amp;egn-creativetype=1x1</t>
        </is>
      </c>
      <c r="H1639" s="20" t="n">
        <v>5785</v>
      </c>
      <c r="I1639" s="20" t="n">
        <v>33</v>
      </c>
      <c r="J1639" s="21">
        <f>IF(H1639=0,0,I1639/H1639)</f>
        <v/>
      </c>
    </row>
    <row r="1640">
      <c r="A1640" s="17" t="inlineStr">
        <is>
          <t>SNCF</t>
        </is>
      </c>
      <c r="B1640" s="17" t="inlineStr">
        <is>
          <t>Live</t>
        </is>
      </c>
      <c r="C1640" s="17" t="inlineStr">
        <is>
          <t>SNCF Connect</t>
        </is>
      </c>
      <c r="D1640" s="17" t="inlineStr">
        <is>
          <t>Train Paris - Lyon</t>
        </is>
      </c>
      <c r="E1640" s="18" t="inlineStr">
        <is>
          <t>SNCF Connect Train Lyon Paris</t>
        </is>
      </c>
      <c r="F1640" s="17" t="inlineStr">
        <is>
          <t>Billets de train Lyon - Paris</t>
        </is>
      </c>
      <c r="G1640" s="19" t="inlineStr">
        <is>
          <t>https://www.sncf-connect.com/app/redirect?redirection_type=SEARCH&amp;origin_transporter_code=FRLYS&amp;destination_transporter_code=FRPAR&amp;nb_pax=1&amp;egn-publisher=lemrock&amp;egn-name=lemrock_fr_conv_exposed_lemrock_autre_autre-multiproduit_fr_mk_autre_20261130&amp;egn-location=1x1&amp;egn-creative=1x1&amp;egn-creativetype=1x1</t>
        </is>
      </c>
      <c r="H1640" s="20" t="n">
        <v>5782</v>
      </c>
      <c r="I1640" s="20" t="n">
        <v>44</v>
      </c>
      <c r="J1640" s="21">
        <f>IF(H1640=0,0,I1640/H1640)</f>
        <v/>
      </c>
    </row>
    <row r="1641">
      <c r="A1641" s="17" t="inlineStr">
        <is>
          <t>SNCF</t>
        </is>
      </c>
      <c r="B1641" s="17" t="inlineStr">
        <is>
          <t>Live</t>
        </is>
      </c>
      <c r="C1641" s="17" t="inlineStr">
        <is>
          <t>SNCF Connect</t>
        </is>
      </c>
      <c r="D1641" s="17" t="inlineStr">
        <is>
          <t>Train Paris - Strasbourg</t>
        </is>
      </c>
      <c r="E1641" s="18" t="inlineStr">
        <is>
          <t>SNCF Connect Train Paris Strasbourg</t>
        </is>
      </c>
      <c r="F1641" s="17" t="inlineStr">
        <is>
          <t>Billets de train Paris - Strasbourg</t>
        </is>
      </c>
      <c r="G1641" s="19" t="inlineStr">
        <is>
          <t>https://www.sncf-connect.com/app/redirect?redirection_type=SEARCH&amp;origin_transporter_code=FRPAR&amp;destination_transporter_code=FRAEG&amp;nb_pax=1&amp;egn-publisher=lemrock&amp;egn-name=lemrock_fr_conv_exposed_lemrock_autre_autre-multiproduit_fr_mk_autre_20261130&amp;egn-location=1x1&amp;egn-creative=1x1&amp;egn-creativetype=1x1</t>
        </is>
      </c>
      <c r="H1641" s="20" t="n">
        <v>5781</v>
      </c>
      <c r="I1641" s="20" t="n">
        <v>27</v>
      </c>
      <c r="J1641" s="21">
        <f>IF(H1641=0,0,I1641/H1641)</f>
        <v/>
      </c>
    </row>
    <row r="1642">
      <c r="A1642" s="17" t="inlineStr">
        <is>
          <t>SNCF</t>
        </is>
      </c>
      <c r="B1642" s="17" t="inlineStr">
        <is>
          <t>Live</t>
        </is>
      </c>
      <c r="C1642" s="17" t="inlineStr">
        <is>
          <t>SNCF Connect</t>
        </is>
      </c>
      <c r="D1642" s="17" t="inlineStr">
        <is>
          <t>Train Paris - Lyon</t>
        </is>
      </c>
      <c r="E1642" s="18" t="inlineStr">
        <is>
          <t>SNCF Connect Train Paris Lyon</t>
        </is>
      </c>
      <c r="F1642" s="17" t="inlineStr">
        <is>
          <t>Billets de train Paris - Lyon</t>
        </is>
      </c>
      <c r="G1642" s="19" t="inlineStr">
        <is>
          <t>https://www.sncf-connect.com/app/redirect?redirection_type=SEARCH&amp;origin_transporter_code=FRPAR&amp;destination_transporter_code=FRLYS&amp;nb_pax=1&amp;egn-publisher=lemrock&amp;egn-name=lemrock_fr_conv_exposed_lemrock_autre_autre-multiproduit_fr_mk_autre_20261130&amp;egn-location=1x1&amp;egn-creative=1x1&amp;egn-creativetype=1x1</t>
        </is>
      </c>
      <c r="H1642" s="20" t="n">
        <v>5759</v>
      </c>
      <c r="I1642" s="20" t="n">
        <v>43</v>
      </c>
      <c r="J1642" s="21">
        <f>IF(H1642=0,0,I1642/H1642)</f>
        <v/>
      </c>
    </row>
    <row r="1643">
      <c r="A1643" s="17" t="inlineStr">
        <is>
          <t>SNCF</t>
        </is>
      </c>
      <c r="B1643" s="17" t="inlineStr">
        <is>
          <t>Live</t>
        </is>
      </c>
      <c r="C1643" s="17" t="inlineStr">
        <is>
          <t>SNCF Connect</t>
        </is>
      </c>
      <c r="D1643" s="17" t="inlineStr">
        <is>
          <t>Train Paris - Londres</t>
        </is>
      </c>
      <c r="E1643" s="18" t="inlineStr">
        <is>
          <t>SNCF Connect Train Paris Londres</t>
        </is>
      </c>
      <c r="F1643" s="17" t="inlineStr">
        <is>
          <t>Billets de train Paris - Londres</t>
        </is>
      </c>
      <c r="G1643" s="19" t="inlineStr">
        <is>
          <t>https://www.sncf-connect.com/app/redirect?redirection_type=SEARCH&amp;origin_transporter_code=FRPAR&amp;destination_transporter_code=GBLON&amp;nb_pax=1&amp;egn-publisher=lemrock&amp;egn-name=lemrock_fr_conv_exposed_lemrock_autre_autre-multiproduit_fr_mk_autre_20261130&amp;egn-location=1x1&amp;egn-creative=1x1&amp;egn-creativetype=1x1</t>
        </is>
      </c>
      <c r="H1643" s="20" t="n">
        <v>5736</v>
      </c>
      <c r="I1643" s="20" t="n">
        <v>40</v>
      </c>
      <c r="J1643" s="21">
        <f>IF(H1643=0,0,I1643/H1643)</f>
        <v/>
      </c>
    </row>
    <row r="1644">
      <c r="A1644" s="17" t="inlineStr">
        <is>
          <t>SNCF</t>
        </is>
      </c>
      <c r="B1644" s="17" t="inlineStr">
        <is>
          <t>Live</t>
        </is>
      </c>
      <c r="C1644" s="17" t="inlineStr">
        <is>
          <t>SNCF Connect</t>
        </is>
      </c>
      <c r="D1644" s="17" t="inlineStr">
        <is>
          <t>Train Paris - Lille</t>
        </is>
      </c>
      <c r="E1644" s="18" t="inlineStr">
        <is>
          <t>SNCF Connect Train Lille Paris</t>
        </is>
      </c>
      <c r="F1644" s="17" t="inlineStr">
        <is>
          <t>Billets de train Lille - Paris</t>
        </is>
      </c>
      <c r="G1644" s="19" t="inlineStr">
        <is>
          <t>https://www.sncf-connect.com/app/redirect?redirection_type=SEARCH&amp;origin_transporter_code=FRLIL&amp;destination_transporter_code=FRPAR&amp;nb_pax=1&amp;egn-publisher=lemrock&amp;egn-name=lemrock_fr_conv_exposed_lemrock_autre_autre-multiproduit_fr_mk_autre_20261130&amp;egn-location=1x1&amp;egn-creative=1x1&amp;egn-creativetype=1x1</t>
        </is>
      </c>
      <c r="H1644" s="20" t="n">
        <v>5727</v>
      </c>
      <c r="I1644" s="20" t="n">
        <v>44</v>
      </c>
      <c r="J1644" s="21">
        <f>IF(H1644=0,0,I1644/H1644)</f>
        <v/>
      </c>
    </row>
    <row r="1645">
      <c r="A1645" s="17" t="inlineStr">
        <is>
          <t>Ryobi</t>
        </is>
      </c>
      <c r="B1645" s="17" t="inlineStr">
        <is>
          <t>Terminé</t>
        </is>
      </c>
      <c r="C1645" s="17" t="inlineStr">
        <is>
          <t>Ryobi</t>
        </is>
      </c>
      <c r="D1645" s="17" t="inlineStr">
        <is>
          <t>Hardware Stores</t>
        </is>
      </c>
      <c r="E1645" s="18" t="inlineStr">
        <is>
          <t>Outillage de bricolage et de jardin - Ryobi</t>
        </is>
      </c>
      <c r="F1645" s="17" t="inlineStr">
        <is>
          <t>Le marteau à griffes courbées en acier de 450 g assemble et démolit avec précision, un outil robuste et ergonomique pour vos travaux de construction.</t>
        </is>
      </c>
      <c r="G1645" s="19" t="inlineStr">
        <is>
          <t>https://action.metaffiliation.com/trk.php?mclic=P513ABF5874B115S1UA413adf0798V4</t>
        </is>
      </c>
      <c r="H1645" s="20" t="n">
        <v>27039</v>
      </c>
      <c r="I1645" s="20" t="n">
        <v>153</v>
      </c>
      <c r="J1645" s="21">
        <f>IF(H1645=0,0,I1645/H1645)</f>
        <v/>
      </c>
    </row>
    <row r="1646">
      <c r="A1646" s="17" t="inlineStr">
        <is>
          <t>Ryobi</t>
        </is>
      </c>
      <c r="B1646" s="17" t="inlineStr">
        <is>
          <t>Terminé</t>
        </is>
      </c>
      <c r="C1646" s="17" t="inlineStr">
        <is>
          <t>Ryobi</t>
        </is>
      </c>
      <c r="D1646" s="17" t="inlineStr">
        <is>
          <t>Hardware Stores</t>
        </is>
      </c>
      <c r="E1646" s="18" t="inlineStr">
        <is>
          <t>Outillage de bricolage et de jardin - Ryobi</t>
        </is>
      </c>
      <c r="F1646" s="17" t="inlineStr">
        <is>
          <t>Une scie à coupe d’onglet radiale filaire de 2000 W, compacte et performante, pour les coupes d’angle répétées sur les plinthes et les moulures.</t>
        </is>
      </c>
      <c r="G1646" s="19" t="inlineStr">
        <is>
          <t>https://action.metaffiliation.com/trk.php?mclic=P513ABF5874B115S1UA413adf0688V4</t>
        </is>
      </c>
      <c r="H1646" s="20" t="n">
        <v>21923</v>
      </c>
      <c r="I1646" s="20" t="n">
        <v>130</v>
      </c>
      <c r="J1646" s="21">
        <f>IF(H1646=0,0,I1646/H1646)</f>
        <v/>
      </c>
    </row>
    <row r="1647">
      <c r="A1647" s="17" t="inlineStr">
        <is>
          <t>Ryobi</t>
        </is>
      </c>
      <c r="B1647" s="17" t="inlineStr">
        <is>
          <t>Terminé</t>
        </is>
      </c>
      <c r="C1647" s="17" t="inlineStr">
        <is>
          <t>Ryobi</t>
        </is>
      </c>
      <c r="D1647" s="17" t="inlineStr">
        <is>
          <t>Hardware Stores</t>
        </is>
      </c>
      <c r="E1647" s="18" t="inlineStr">
        <is>
          <t>Outillage de bricolage et de jardin - Ryobi</t>
        </is>
      </c>
      <c r="F1647" s="17" t="inlineStr">
        <is>
          <t>Une perceuse-visseuse à percussion deux vitesses 18V ONE+, avec la force de frappe qu’il faut pour percer la maçonnerie, le béton et poser des chevilles.</t>
        </is>
      </c>
      <c r="G1647" s="19" t="inlineStr">
        <is>
          <t>https://action.metaffiliation.com/trk.php?mclic=P513ABF5874B115S1UA413adf0552V4</t>
        </is>
      </c>
      <c r="H1647" s="20" t="n">
        <v>19937</v>
      </c>
      <c r="I1647" s="20" t="n">
        <v>98</v>
      </c>
      <c r="J1647" s="21">
        <f>IF(H1647=0,0,I1647/H1647)</f>
        <v/>
      </c>
    </row>
    <row r="1648">
      <c r="A1648" s="17" t="inlineStr">
        <is>
          <t>Ryobi</t>
        </is>
      </c>
      <c r="B1648" s="17" t="inlineStr">
        <is>
          <t>Terminé</t>
        </is>
      </c>
      <c r="C1648" s="17" t="inlineStr">
        <is>
          <t>Ryobi</t>
        </is>
      </c>
      <c r="D1648" s="17" t="inlineStr">
        <is>
          <t>Accessoires jardin et tondeuses</t>
        </is>
      </c>
      <c r="E1648" s="18" t="inlineStr">
        <is>
          <t>Bac de ramassage 220 L + lot 2 lames de rechange 53 cm</t>
        </is>
      </c>
      <c r="F1648" s="17" t="inlineStr">
        <is>
          <t>Gardez vos sols et plantes en bon état grâce à nos divers accessoires pour tous vos besoins de jardinage et d</t>
        </is>
      </c>
      <c r="G1648" s="19" t="inlineStr">
        <is>
          <t>https://action.metaffiliation.com/trk.php?mclic=P513ABF5874B115S1UA413adf0842V4</t>
        </is>
      </c>
      <c r="H1648" s="20" t="n">
        <v>18822</v>
      </c>
      <c r="I1648" s="20" t="n">
        <v>89</v>
      </c>
      <c r="J1648" s="21">
        <f>IF(H1648=0,0,I1648/H1648)</f>
        <v/>
      </c>
    </row>
    <row r="1649">
      <c r="A1649" s="17" t="inlineStr">
        <is>
          <t>Ryobi</t>
        </is>
      </c>
      <c r="B1649" s="17" t="inlineStr">
        <is>
          <t>Terminé</t>
        </is>
      </c>
      <c r="C1649" s="17" t="inlineStr">
        <is>
          <t>Ryobi</t>
        </is>
      </c>
      <c r="D1649" s="17" t="inlineStr">
        <is>
          <t>Accessoires, consommables et pièces détachées</t>
        </is>
      </c>
      <c r="E1649" s="18" t="inlineStr">
        <is>
          <t>Crochet double long RYOBI® LINK : Organisez-vous.</t>
        </is>
      </c>
      <c r="F1649" s="17" t="inlineStr">
        <is>
          <t>Organisez-vous et rangez votre matériel grâce au crochet double long RYOBI® LINK. Personnalisez votre espace.</t>
        </is>
      </c>
      <c r="G1649" s="19" t="inlineStr">
        <is>
          <t>https://action.metaffiliation.com/trk.php?mclic=P513ABF5874B115S1UA413adf0569V4</t>
        </is>
      </c>
      <c r="H1649" s="20" t="n">
        <v>18516</v>
      </c>
      <c r="I1649" s="20" t="n">
        <v>70</v>
      </c>
      <c r="J1649" s="21">
        <f>IF(H1649=0,0,I1649/H1649)</f>
        <v/>
      </c>
    </row>
    <row r="1650">
      <c r="A1650" s="17" t="inlineStr">
        <is>
          <t>Ryobi</t>
        </is>
      </c>
      <c r="B1650" s="17" t="inlineStr">
        <is>
          <t>Terminé</t>
        </is>
      </c>
      <c r="C1650" s="17" t="inlineStr">
        <is>
          <t>Ryobi</t>
        </is>
      </c>
      <c r="D1650" s="17" t="inlineStr">
        <is>
          <t>Hardware Stores</t>
        </is>
      </c>
      <c r="E1650" s="18" t="inlineStr">
        <is>
          <t>Outillage de bricolage et de jardin - Ryobi</t>
        </is>
      </c>
      <c r="F1650" s="17" t="inlineStr">
        <is>
          <t>Une tondeuse tractée Brushless 36V MAX POWER de 53 cm de coupe, faite pour tondre facilement et proprement les pelouses de taille moyenne.</t>
        </is>
      </c>
      <c r="G1650" s="19" t="inlineStr">
        <is>
          <t>https://action.metaffiliation.com/trk.php?mclic=P513ABF5874B115S1UA413adf0304V4</t>
        </is>
      </c>
      <c r="H1650" s="20" t="n">
        <v>16996</v>
      </c>
      <c r="I1650" s="20" t="n">
        <v>94</v>
      </c>
      <c r="J1650" s="21">
        <f>IF(H1650=0,0,I1650/H1650)</f>
        <v/>
      </c>
    </row>
    <row r="1651">
      <c r="A1651" s="17" t="inlineStr">
        <is>
          <t>Ryobi</t>
        </is>
      </c>
      <c r="B1651" s="17" t="inlineStr">
        <is>
          <t>Terminé</t>
        </is>
      </c>
      <c r="C1651" s="17" t="inlineStr">
        <is>
          <t>Ryobi</t>
        </is>
      </c>
      <c r="D1651" s="17" t="inlineStr">
        <is>
          <t>Accessoires, consommables et pièces détachées</t>
        </is>
      </c>
      <c r="E1651" s="18" t="inlineStr">
        <is>
          <t>Pince multiprise à verouillage 250 mm | Ryobi</t>
        </is>
      </c>
      <c r="F1651" s="17" t="inlineStr">
        <is>
          <t>Manipulez avec précision grâce à nos pinces professionnelles spécialisées. Outillage robuste pour électricité, plomberie et travaux de mécanique fine.</t>
        </is>
      </c>
      <c r="G1651" s="19" t="inlineStr">
        <is>
          <t>https://action.metaffiliation.com/trk.php?mclic=P513ABF5874B115S1UA413adf0879V4</t>
        </is>
      </c>
      <c r="H1651" s="20" t="n">
        <v>16586</v>
      </c>
      <c r="I1651" s="20" t="n">
        <v>81</v>
      </c>
      <c r="J1651" s="21">
        <f>IF(H1651=0,0,I1651/H1651)</f>
        <v/>
      </c>
    </row>
    <row r="1652">
      <c r="A1652" s="17" t="inlineStr">
        <is>
          <t>Ryobi</t>
        </is>
      </c>
      <c r="B1652" s="17" t="inlineStr">
        <is>
          <t>Terminé</t>
        </is>
      </c>
      <c r="C1652" s="17" t="inlineStr">
        <is>
          <t>Ryobi</t>
        </is>
      </c>
      <c r="D1652" s="17" t="inlineStr">
        <is>
          <t>Tools and Hardware</t>
        </is>
      </c>
      <c r="E1652" s="18" t="inlineStr">
        <is>
          <t>Outillage de bricolage et de jardin - Ryobi</t>
        </is>
      </c>
      <c r="F1652" s="17" t="inlineStr">
        <is>
          <t>Gardez vos sols et vos plantes en bon état avec les accessoires de jardinage Ryobi, du bac de ramassage aux lames de rechange de tondeuse.</t>
        </is>
      </c>
      <c r="G1652" s="19" t="inlineStr">
        <is>
          <t>https://action.metaffiliation.com/trk.php?mclic=P513ABF5874B115S1UA413adf0842V4</t>
        </is>
      </c>
      <c r="H1652" s="20" t="n">
        <v>16457</v>
      </c>
      <c r="I1652" s="20" t="n">
        <v>89</v>
      </c>
      <c r="J1652" s="21">
        <f>IF(H1652=0,0,I1652/H1652)</f>
        <v/>
      </c>
    </row>
    <row r="1653">
      <c r="A1653" s="17" t="inlineStr">
        <is>
          <t>Ryobi</t>
        </is>
      </c>
      <c r="B1653" s="17" t="inlineStr">
        <is>
          <t>Terminé</t>
        </is>
      </c>
      <c r="C1653" s="17" t="inlineStr">
        <is>
          <t>Ryobi</t>
        </is>
      </c>
      <c r="D1653" s="17" t="inlineStr">
        <is>
          <t>Home Improvement and Repair</t>
        </is>
      </c>
      <c r="E1653" s="18" t="inlineStr">
        <is>
          <t>Ryobi - Scies et outils électroportatifs</t>
        </is>
      </c>
      <c r="F1653" s="17" t="inlineStr">
        <is>
          <t>Ryobi propose des outils électroportatifs compacts, dont une scie à coupe d’onglet radiale filaire de 2000 W pour les coupes d’angle répétées.</t>
        </is>
      </c>
      <c r="G1653" s="19" t="inlineStr">
        <is>
          <t>https://action.metaffiliation.com/trk.php?mclic=P513ABF5874B115S1UA413adf0688V4</t>
        </is>
      </c>
      <c r="H1653" s="20" t="n">
        <v>16185</v>
      </c>
      <c r="I1653" s="20" t="n">
        <v>69</v>
      </c>
      <c r="J1653" s="21">
        <f>IF(H1653=0,0,I1653/H1653)</f>
        <v/>
      </c>
    </row>
    <row r="1654">
      <c r="A1654" s="17" t="inlineStr">
        <is>
          <t>Ryobi</t>
        </is>
      </c>
      <c r="B1654" s="17" t="inlineStr">
        <is>
          <t>Terminé</t>
        </is>
      </c>
      <c r="C1654" s="17" t="inlineStr">
        <is>
          <t>Ryobi</t>
        </is>
      </c>
      <c r="D1654" s="17" t="inlineStr">
        <is>
          <t>Accessoires, consommables et pièces détachées</t>
        </is>
      </c>
      <c r="E1654" s="18" t="inlineStr">
        <is>
          <t>Boulonneuse à chocs sans fil 18V ONE+™ RYOBI | RIW18CBL-0</t>
        </is>
      </c>
      <c r="F1654" s="17" t="inlineStr">
        <is>
          <t>Boulonneuse à chocs sans fil 18V ONE+™ Brushless | Idéale pour serrer ou desserrer facilement des fixations résistantes. Acheter en ligne aujourd</t>
        </is>
      </c>
      <c r="G1654" s="19" t="inlineStr">
        <is>
          <t>https://action.metaffiliation.com/trk.php?mclic=P513ABF5874B115S1UA413adf0738V4</t>
        </is>
      </c>
      <c r="H1654" s="20" t="n">
        <v>16066</v>
      </c>
      <c r="I1654" s="20" t="n">
        <v>78</v>
      </c>
      <c r="J1654" s="21">
        <f>IF(H1654=0,0,I1654/H1654)</f>
        <v/>
      </c>
    </row>
    <row r="1655">
      <c r="A1655" s="17" t="inlineStr">
        <is>
          <t>Ryobi</t>
        </is>
      </c>
      <c r="B1655" s="17" t="inlineStr">
        <is>
          <t>Terminé</t>
        </is>
      </c>
      <c r="C1655" s="17" t="inlineStr">
        <is>
          <t>Ryobi</t>
        </is>
      </c>
      <c r="D1655" s="17" t="inlineStr">
        <is>
          <t>Accessoires jardin et tondeuses</t>
        </is>
      </c>
      <c r="E1655" s="18" t="inlineStr">
        <is>
          <t>Lot 3 bobines double fil Ø 1,5 mm pour coupe-bordures</t>
        </is>
      </c>
      <c r="F1655" s="17" t="inlineStr">
        <is>
          <t>Découvrez notre sélection d’accessoires coupe-bordure : fils, lames, bobines et pièces détachées, compatibles avec différents appareils portatifs.</t>
        </is>
      </c>
      <c r="G1655" s="19" t="inlineStr">
        <is>
          <t>https://action.metaffiliation.com/trk.php?mclic=P513ABF5874B115S1UA413adf0277V4</t>
        </is>
      </c>
      <c r="H1655" s="20" t="n">
        <v>15991</v>
      </c>
      <c r="I1655" s="20" t="n">
        <v>88</v>
      </c>
      <c r="J1655" s="21">
        <f>IF(H1655=0,0,I1655/H1655)</f>
        <v/>
      </c>
    </row>
    <row r="1656">
      <c r="A1656" s="17" t="inlineStr">
        <is>
          <t>Ryobi</t>
        </is>
      </c>
      <c r="B1656" s="17" t="inlineStr">
        <is>
          <t>Terminé</t>
        </is>
      </c>
      <c r="C1656" s="17" t="inlineStr">
        <is>
          <t>Ryobi</t>
        </is>
      </c>
      <c r="D1656" s="17" t="inlineStr">
        <is>
          <t>Accessoires, consommables et pièces détachées</t>
        </is>
      </c>
      <c r="E1656" s="18" t="inlineStr">
        <is>
          <t>Assortiment 20 abrasifs auto-agrippants 149 x 99 pour</t>
        </is>
      </c>
      <c r="F1656" s="17" t="inlineStr">
        <is>
          <t>Découvrez nos disques abrasifs pour finitions parfaites. Consommables de ponçage haute performance sur bois, métal, plastique. Grains fins à gros.</t>
        </is>
      </c>
      <c r="G1656" s="19" t="inlineStr">
        <is>
          <t>https://action.metaffiliation.com/trk.php?mclic=P513ABF5874B115S1UA413adf0123V4</t>
        </is>
      </c>
      <c r="H1656" s="20" t="n">
        <v>15974</v>
      </c>
      <c r="I1656" s="20" t="n">
        <v>75</v>
      </c>
      <c r="J1656" s="21">
        <f>IF(H1656=0,0,I1656/H1656)</f>
        <v/>
      </c>
    </row>
    <row r="1657">
      <c r="A1657" s="17" t="inlineStr">
        <is>
          <t>Ryobi</t>
        </is>
      </c>
      <c r="B1657" s="17" t="inlineStr">
        <is>
          <t>Terminé</t>
        </is>
      </c>
      <c r="C1657" s="17" t="inlineStr">
        <is>
          <t>Ryobi</t>
        </is>
      </c>
      <c r="D1657" s="17" t="inlineStr">
        <is>
          <t>Accessoires, consommables et pièces détachées</t>
        </is>
      </c>
      <c r="E1657" s="18" t="inlineStr">
        <is>
          <t>Brosse multi-surface I RYOBI I RACLTM18</t>
        </is>
      </c>
      <c r="F1657" s="17" t="inlineStr">
        <is>
          <t>Ryobi - Brosse multi-surface 180 mm I Idéale pour les surfaces comme le carrrelage, le granit par exemple.</t>
        </is>
      </c>
      <c r="G1657" s="19" t="inlineStr">
        <is>
          <t>https://action.metaffiliation.com/trk.php?mclic=P513ABF5874B115S1UA413adf0750V4</t>
        </is>
      </c>
      <c r="H1657" s="20" t="n">
        <v>15965</v>
      </c>
      <c r="I1657" s="20" t="n">
        <v>78</v>
      </c>
      <c r="J1657" s="21">
        <f>IF(H1657=0,0,I1657/H1657)</f>
        <v/>
      </c>
    </row>
    <row r="1658">
      <c r="A1658" s="17" t="inlineStr">
        <is>
          <t>Ryobi</t>
        </is>
      </c>
      <c r="B1658" s="17" t="inlineStr">
        <is>
          <t>Terminé</t>
        </is>
      </c>
      <c r="C1658" s="17" t="inlineStr">
        <is>
          <t>Ryobi</t>
        </is>
      </c>
      <c r="D1658" s="17" t="inlineStr">
        <is>
          <t>Accessoires, consommables et pièces détachées</t>
        </is>
      </c>
      <c r="E1658" s="18" t="inlineStr">
        <is>
          <t>Coffret empilable 38 accessoires perçage-vissage | Ryobi</t>
        </is>
      </c>
      <c r="F1658" s="17" t="inlineStr">
        <is>
          <t>Découvrez nos disques abrasifs pour finitions parfaites. Consommables de ponçage haute performance sur bois, métal, plastique. Grains fins à gros.</t>
        </is>
      </c>
      <c r="G1658" s="19" t="inlineStr">
        <is>
          <t>https://action.metaffiliation.com/trk.php?mclic=P513ABF5874B115S1UA413adf0145V4</t>
        </is>
      </c>
      <c r="H1658" s="20" t="n">
        <v>15949</v>
      </c>
      <c r="I1658" s="20" t="n">
        <v>86</v>
      </c>
      <c r="J1658" s="21">
        <f>IF(H1658=0,0,I1658/H1658)</f>
        <v/>
      </c>
    </row>
    <row r="1659">
      <c r="A1659" s="17" t="inlineStr">
        <is>
          <t>Ryobi</t>
        </is>
      </c>
      <c r="B1659" s="17" t="inlineStr">
        <is>
          <t>Terminé</t>
        </is>
      </c>
      <c r="C1659" s="17" t="inlineStr">
        <is>
          <t>Ryobi</t>
        </is>
      </c>
      <c r="D1659" s="17" t="inlineStr">
        <is>
          <t>Batteries et chargeurs</t>
        </is>
      </c>
      <c r="E1659" s="18" t="inlineStr">
        <is>
          <t>Pack chargeur 2,0 A + 1 Batterie Lithium+ 18V ONE+™ – 5,0</t>
        </is>
      </c>
      <c r="F1659" s="17" t="inlineStr">
        <is>
          <t>Alimentez tous vos outils avec nos kits chargeur et batterie 18V ONE+™. Solutions complètes pour démarrer dans l’écosystème des outils rechargeables.</t>
        </is>
      </c>
      <c r="G1659" s="19" t="inlineStr">
        <is>
          <t>https://action.metaffiliation.com/trk.php?mclic=P513ABF5874B115S1UA413adf0477V4</t>
        </is>
      </c>
      <c r="H1659" s="20" t="n">
        <v>15882</v>
      </c>
      <c r="I1659" s="20" t="n">
        <v>85</v>
      </c>
      <c r="J1659" s="21">
        <f>IF(H1659=0,0,I1659/H1659)</f>
        <v/>
      </c>
    </row>
    <row r="1660">
      <c r="A1660" s="17" t="inlineStr">
        <is>
          <t>Ryobi</t>
        </is>
      </c>
      <c r="B1660" s="17" t="inlineStr">
        <is>
          <t>Terminé</t>
        </is>
      </c>
      <c r="C1660" s="17" t="inlineStr">
        <is>
          <t>Ryobi</t>
        </is>
      </c>
      <c r="D1660" s="17" t="inlineStr">
        <is>
          <t>Accessoires jardin et tondeuses</t>
        </is>
      </c>
      <c r="E1660" s="18" t="inlineStr">
        <is>
          <t>Chaîne 35 cm (52 maillons) pour tronçonneuses sur batterie</t>
        </is>
      </c>
      <c r="F1660" s="17" t="inlineStr">
        <is>
          <t>Découvrez nos chaînes de remplacement pour maintenir une qualité de coupe toujours optimale. Pièces détachées tronçonneuse faciles à changer.</t>
        </is>
      </c>
      <c r="G1660" s="19" t="inlineStr">
        <is>
          <t>https://action.metaffiliation.com/trk.php?mclic=P513ABF5874B115S1UA413adf0256V4</t>
        </is>
      </c>
      <c r="H1660" s="20" t="n">
        <v>15796</v>
      </c>
      <c r="I1660" s="20" t="n">
        <v>90</v>
      </c>
      <c r="J1660" s="21">
        <f>IF(H1660=0,0,I1660/H1660)</f>
        <v/>
      </c>
    </row>
    <row r="1661">
      <c r="A1661" s="17" t="inlineStr">
        <is>
          <t>Ryobi</t>
        </is>
      </c>
      <c r="B1661" s="17" t="inlineStr">
        <is>
          <t>Terminé</t>
        </is>
      </c>
      <c r="C1661" s="17" t="inlineStr">
        <is>
          <t>Ryobi</t>
        </is>
      </c>
      <c r="D1661" s="17" t="inlineStr">
        <is>
          <t>Tools and Hardware</t>
        </is>
      </c>
      <c r="E1661" s="18" t="inlineStr">
        <is>
          <t>Outillage électroportatif et de jardin - Ryobi</t>
        </is>
      </c>
      <c r="F1661" s="17" t="inlineStr">
        <is>
          <t>Le marteau à griffes courbées en acier de 450 g assemble et démolit avec précision, un outil robuste et ergonomique pour vos travaux de construction.</t>
        </is>
      </c>
      <c r="G1661" s="19" t="inlineStr">
        <is>
          <t>https://action.metaffiliation.com/trk.php?mclic=P513ABF5874B115S1UA413adf0798V4</t>
        </is>
      </c>
      <c r="H1661" s="20" t="n">
        <v>15765</v>
      </c>
      <c r="I1661" s="20" t="n">
        <v>106</v>
      </c>
      <c r="J1661" s="21">
        <f>IF(H1661=0,0,I1661/H1661)</f>
        <v/>
      </c>
    </row>
    <row r="1662">
      <c r="A1662" s="17" t="inlineStr">
        <is>
          <t>Ryobi</t>
        </is>
      </c>
      <c r="B1662" s="17" t="inlineStr">
        <is>
          <t>Terminé</t>
        </is>
      </c>
      <c r="C1662" s="17" t="inlineStr">
        <is>
          <t>Ryobi</t>
        </is>
      </c>
      <c r="D1662" s="17" t="inlineStr">
        <is>
          <t>Batteries et chargeurs</t>
        </is>
      </c>
      <c r="E1662" s="18" t="inlineStr">
        <is>
          <t>Batterie Lithium+ 18V ONE+™ - 5,0 Ah | Ryobi</t>
        </is>
      </c>
      <c r="F1662" s="17" t="inlineStr">
        <is>
          <t>Choisissez la batterie 18V adaptée à vos outils électroportatifs et bénéficiez d’une autonomie et d’une puissance exceptionnelles pour tous vos travaux.</t>
        </is>
      </c>
      <c r="G1662" s="19" t="inlineStr">
        <is>
          <t>https://action.metaffiliation.com/trk.php?mclic=P513ABF5874B115S1UA413adf0140V4</t>
        </is>
      </c>
      <c r="H1662" s="20" t="n">
        <v>15698</v>
      </c>
      <c r="I1662" s="20" t="n">
        <v>82</v>
      </c>
      <c r="J1662" s="21">
        <f>IF(H1662=0,0,I1662/H1662)</f>
        <v/>
      </c>
    </row>
    <row r="1663">
      <c r="A1663" s="17" t="inlineStr">
        <is>
          <t>Ryobi</t>
        </is>
      </c>
      <c r="B1663" s="17" t="inlineStr">
        <is>
          <t>Terminé</t>
        </is>
      </c>
      <c r="C1663" s="17" t="inlineStr">
        <is>
          <t>Ryobi</t>
        </is>
      </c>
      <c r="D1663" s="17" t="inlineStr">
        <is>
          <t>Home Improvement and Repair</t>
        </is>
      </c>
      <c r="E1663" s="18" t="inlineStr">
        <is>
          <t>Ryobi - Outils sans fil 18V ONE+</t>
        </is>
      </c>
      <c r="F1663" s="17" t="inlineStr">
        <is>
          <t>Les outils 18V ONE+ de Ryobi partagent la même batterie, comme cette lampe à pince à orienter sur l’établi, vendue sans batterie ni chargeur.</t>
        </is>
      </c>
      <c r="G1663" s="19" t="inlineStr">
        <is>
          <t>https://action.metaffiliation.com/trk.php?mclic=P513ABF5874B115S1UA413adf0913V4</t>
        </is>
      </c>
      <c r="H1663" s="20" t="n">
        <v>15573</v>
      </c>
      <c r="I1663" s="20" t="n">
        <v>75</v>
      </c>
      <c r="J1663" s="21">
        <f>IF(H1663=0,0,I1663/H1663)</f>
        <v/>
      </c>
    </row>
    <row r="1664">
      <c r="A1664" s="17" t="inlineStr">
        <is>
          <t>Ryobi</t>
        </is>
      </c>
      <c r="B1664" s="17" t="inlineStr">
        <is>
          <t>Terminé</t>
        </is>
      </c>
      <c r="C1664" s="17" t="inlineStr">
        <is>
          <t>Ryobi</t>
        </is>
      </c>
      <c r="D1664" s="17" t="inlineStr">
        <is>
          <t>Accessoires, consommables et pièces détachées</t>
        </is>
      </c>
      <c r="E1664" s="18" t="inlineStr">
        <is>
          <t>Fraise en carbure de tungstène à bout pointu 3,2 mm | Ryobi</t>
        </is>
      </c>
      <c r="F1664" s="17" t="inlineStr">
        <is>
          <t>Ryobi - Fraise en carbure de tungstène à bout pointu de 3,2 mm | Accessoires exceptionnels de la gamme d</t>
        </is>
      </c>
      <c r="G1664" s="19" t="inlineStr">
        <is>
          <t>https://action.metaffiliation.com/trk.php?mclic=P513ABF5874B115S1UA413adf0127V4</t>
        </is>
      </c>
      <c r="H1664" s="20" t="n">
        <v>15462</v>
      </c>
      <c r="I1664" s="20" t="n">
        <v>67</v>
      </c>
      <c r="J1664" s="21">
        <f>IF(H1664=0,0,I1664/H1664)</f>
        <v/>
      </c>
    </row>
    <row r="1665">
      <c r="A1665" s="17" t="inlineStr">
        <is>
          <t>Ryobi</t>
        </is>
      </c>
      <c r="B1665" s="17" t="inlineStr">
        <is>
          <t>Terminé</t>
        </is>
      </c>
      <c r="C1665" s="17" t="inlineStr">
        <is>
          <t>Ryobi</t>
        </is>
      </c>
      <c r="D1665" s="17" t="inlineStr">
        <is>
          <t>Batteries et chargeurs</t>
        </is>
      </c>
      <c r="E1665" s="18" t="inlineStr">
        <is>
          <t>Chargeur USB Lithium 3 ports | Ryobi</t>
        </is>
      </c>
      <c r="F1665" s="17" t="inlineStr">
        <is>
          <t>Trouvez les Chargeurs 4V pour les batteries des outils électriques portatifs Ryobi Tools. Gardez vos outils alimentés pour une performance optimale.</t>
        </is>
      </c>
      <c r="G1665" s="19" t="inlineStr">
        <is>
          <t>https://action.metaffiliation.com/trk.php?mclic=P513ABF5874B115S1UA413adf0309V4</t>
        </is>
      </c>
      <c r="H1665" s="20" t="n">
        <v>15158</v>
      </c>
      <c r="I1665" s="20" t="n">
        <v>77</v>
      </c>
      <c r="J1665" s="21">
        <f>IF(H1665=0,0,I1665/H1665)</f>
        <v/>
      </c>
    </row>
    <row r="1666">
      <c r="A1666" s="17" t="inlineStr">
        <is>
          <t>Ryobi</t>
        </is>
      </c>
      <c r="B1666" s="17" t="inlineStr">
        <is>
          <t>Terminé</t>
        </is>
      </c>
      <c r="C1666" s="17" t="inlineStr">
        <is>
          <t>Ryobi</t>
        </is>
      </c>
      <c r="D1666" s="17" t="inlineStr">
        <is>
          <t>Accessoires jardin et tondeuses</t>
        </is>
      </c>
      <c r="E1666" s="18" t="inlineStr">
        <is>
          <t>Lame 33 cm pour tondeuses sur batterie | Ryobi</t>
        </is>
      </c>
      <c r="F1666" s="17" t="inlineStr">
        <is>
          <t>Retrouvez ici des lames de rechange pour l</t>
        </is>
      </c>
      <c r="G1666" s="19" t="inlineStr">
        <is>
          <t>https://action.metaffiliation.com/trk.php?mclic=P513ABF5874B115S1UA413adf0106V4</t>
        </is>
      </c>
      <c r="H1666" s="20" t="n">
        <v>15120</v>
      </c>
      <c r="I1666" s="20" t="n">
        <v>83</v>
      </c>
      <c r="J1666" s="21">
        <f>IF(H1666=0,0,I1666/H1666)</f>
        <v/>
      </c>
    </row>
    <row r="1667">
      <c r="A1667" s="17" t="inlineStr">
        <is>
          <t>Ryobi</t>
        </is>
      </c>
      <c r="B1667" s="17" t="inlineStr">
        <is>
          <t>Terminé</t>
        </is>
      </c>
      <c r="C1667" s="17" t="inlineStr">
        <is>
          <t>Ryobi</t>
        </is>
      </c>
      <c r="D1667" s="17" t="inlineStr">
        <is>
          <t>Tools and Hardware</t>
        </is>
      </c>
      <c r="E1667" s="18" t="inlineStr">
        <is>
          <t>Outillage de bricolage et de jardin - Ryobi</t>
        </is>
      </c>
      <c r="F1667" s="17" t="inlineStr">
        <is>
          <t>Éclairez votre établi avec la lampe flexible à pince 18V ONE+ et gardez les mains libres, même dans un atelier qui se déplace.</t>
        </is>
      </c>
      <c r="G1667" s="19" t="inlineStr">
        <is>
          <t>https://action.metaffiliation.com/trk.php?mclic=P513ABF5874B115S1UA413adf0913V4</t>
        </is>
      </c>
      <c r="H1667" s="20" t="n">
        <v>15110</v>
      </c>
      <c r="I1667" s="20" t="n">
        <v>72</v>
      </c>
      <c r="J1667" s="21">
        <f>IF(H1667=0,0,I1667/H1667)</f>
        <v/>
      </c>
    </row>
    <row r="1668">
      <c r="A1668" s="17" t="inlineStr">
        <is>
          <t>Ryobi</t>
        </is>
      </c>
      <c r="B1668" s="17" t="inlineStr">
        <is>
          <t>Terminé</t>
        </is>
      </c>
      <c r="C1668" s="17" t="inlineStr">
        <is>
          <t>Ryobi</t>
        </is>
      </c>
      <c r="D1668" s="17" t="inlineStr">
        <is>
          <t>Accessoires, consommables et pièces détachées</t>
        </is>
      </c>
      <c r="E1668" s="18" t="inlineStr">
        <is>
          <t>Lot de 5 disques à tronçonner 38 mm et 1 mandrin Twist</t>
        </is>
      </c>
      <c r="F1668" s="17" t="inlineStr">
        <is>
          <t>Ryobi - Lot de disques à tronçonner Twist Lock™ de 38 mm | Accessoires exceptionnels de la gamme d</t>
        </is>
      </c>
      <c r="G1668" s="19" t="inlineStr">
        <is>
          <t>https://action.metaffiliation.com/trk.php?mclic=P513ABF5874B115S1UA413adf0465V4</t>
        </is>
      </c>
      <c r="H1668" s="20" t="n">
        <v>15089</v>
      </c>
      <c r="I1668" s="20" t="n">
        <v>85</v>
      </c>
      <c r="J1668" s="21">
        <f>IF(H1668=0,0,I1668/H1668)</f>
        <v/>
      </c>
    </row>
    <row r="1669">
      <c r="A1669" s="17" t="inlineStr">
        <is>
          <t>Ryobi</t>
        </is>
      </c>
      <c r="B1669" s="17" t="inlineStr">
        <is>
          <t>Terminé</t>
        </is>
      </c>
      <c r="C1669" s="17" t="inlineStr">
        <is>
          <t>Ryobi</t>
        </is>
      </c>
      <c r="D1669" s="17" t="inlineStr">
        <is>
          <t>Tools and Hardware</t>
        </is>
      </c>
      <c r="E1669" s="18" t="inlineStr">
        <is>
          <t>Gants anti-coupures 24 m/s (catégorie 2) pour tronçonneuses</t>
        </is>
      </c>
      <c r="F1669" s="17" t="inlineStr">
        <is>
          <t>Pour protéger vos mains contre les agressions et le risque d</t>
        </is>
      </c>
      <c r="G1669" s="19" t="inlineStr">
        <is>
          <t>https://action.metaffiliation.com/trk.php?mclic=P513ABF5874B115S1U9413adf072V4</t>
        </is>
      </c>
      <c r="H1669" s="20" t="n">
        <v>15083</v>
      </c>
      <c r="I1669" s="20" t="n">
        <v>86</v>
      </c>
      <c r="J1669" s="21">
        <f>IF(H1669=0,0,I1669/H1669)</f>
        <v/>
      </c>
    </row>
    <row r="1670">
      <c r="A1670" s="17" t="inlineStr">
        <is>
          <t>Ryobi</t>
        </is>
      </c>
      <c r="B1670" s="17" t="inlineStr">
        <is>
          <t>Terminé</t>
        </is>
      </c>
      <c r="C1670" s="17" t="inlineStr">
        <is>
          <t>Ryobi</t>
        </is>
      </c>
      <c r="D1670" s="17" t="inlineStr">
        <is>
          <t>Tools and Hardware</t>
        </is>
      </c>
      <c r="E1670" s="18" t="inlineStr">
        <is>
          <t>Crochet double long RYOBI® LINK : Organisez-vous.</t>
        </is>
      </c>
      <c r="F1670" s="17" t="inlineStr">
        <is>
          <t>Organisez-vous et rangez votre matériel grâce au crochet double long RYOBI® LINK. Personnalisez votre espace.</t>
        </is>
      </c>
      <c r="G1670" s="19" t="inlineStr">
        <is>
          <t>https://action.metaffiliation.com/trk.php?mclic=P513ABF5874B115S1UA413adf0569V4</t>
        </is>
      </c>
      <c r="H1670" s="20" t="n">
        <v>14921</v>
      </c>
      <c r="I1670" s="20" t="n">
        <v>68</v>
      </c>
      <c r="J1670" s="21">
        <f>IF(H1670=0,0,I1670/H1670)</f>
        <v/>
      </c>
    </row>
    <row r="1671">
      <c r="A1671" s="17" t="inlineStr">
        <is>
          <t>Ryobi</t>
        </is>
      </c>
      <c r="B1671" s="17" t="inlineStr">
        <is>
          <t>Terminé</t>
        </is>
      </c>
      <c r="C1671" s="17" t="inlineStr">
        <is>
          <t>Ryobi</t>
        </is>
      </c>
      <c r="D1671" s="17" t="inlineStr">
        <is>
          <t>Accessoires, consommables et pièces détachées</t>
        </is>
      </c>
      <c r="E1671" s="18" t="inlineStr">
        <is>
          <t>Gants anti-coupures 24 m/s (catégorie 2) pour tronçonneuses</t>
        </is>
      </c>
      <c r="F1671" s="17" t="inlineStr">
        <is>
          <t>Pour protéger vos mains contre les agressions et le risque d</t>
        </is>
      </c>
      <c r="G1671" s="19" t="inlineStr">
        <is>
          <t>https://action.metaffiliation.com/trk.php?mclic=P513ABF5874B115S1U9413adf072V4</t>
        </is>
      </c>
      <c r="H1671" s="20" t="n">
        <v>14704</v>
      </c>
      <c r="I1671" s="20" t="n">
        <v>70</v>
      </c>
      <c r="J1671" s="21">
        <f>IF(H1671=0,0,I1671/H1671)</f>
        <v/>
      </c>
    </row>
    <row r="1672">
      <c r="A1672" s="17" t="inlineStr">
        <is>
          <t>Ryobi</t>
        </is>
      </c>
      <c r="B1672" s="17" t="inlineStr">
        <is>
          <t>Terminé</t>
        </is>
      </c>
      <c r="C1672" s="17" t="inlineStr">
        <is>
          <t>Ryobi</t>
        </is>
      </c>
      <c r="D1672" s="17" t="inlineStr">
        <is>
          <t>Tools and Hardware</t>
        </is>
      </c>
      <c r="E1672" s="18" t="inlineStr">
        <is>
          <t>Boulonneuse à chocs sans fil 18V ONE+™ RYOBI | RIW18CBL-0</t>
        </is>
      </c>
      <c r="F1672" s="17" t="inlineStr">
        <is>
          <t>Boulonneuse à chocs sans fil 18V ONE+™ Brushless | Idéale pour serrer ou desserrer facilement des fixations résistantes. Acheter en ligne aujourd</t>
        </is>
      </c>
      <c r="G1672" s="19" t="inlineStr">
        <is>
          <t>https://action.metaffiliation.com/trk.php?mclic=P513ABF5874B115S1UA413adf0738V4</t>
        </is>
      </c>
      <c r="H1672" s="20" t="n">
        <v>14571</v>
      </c>
      <c r="I1672" s="20" t="n">
        <v>68</v>
      </c>
      <c r="J1672" s="21">
        <f>IF(H1672=0,0,I1672/H1672)</f>
        <v/>
      </c>
    </row>
    <row r="1673">
      <c r="A1673" s="17" t="inlineStr">
        <is>
          <t>Ryobi</t>
        </is>
      </c>
      <c r="B1673" s="17" t="inlineStr">
        <is>
          <t>Terminé</t>
        </is>
      </c>
      <c r="C1673" s="17" t="inlineStr">
        <is>
          <t>Ryobi</t>
        </is>
      </c>
      <c r="D1673" s="17" t="inlineStr">
        <is>
          <t>Tools and Hardware</t>
        </is>
      </c>
      <c r="E1673" s="18" t="inlineStr">
        <is>
          <t>Pince multiprise à verouillage 250 mm | Ryobi</t>
        </is>
      </c>
      <c r="F1673" s="17" t="inlineStr">
        <is>
          <t>Manipulez avec précision grâce à nos pinces professionnelles spécialisées. Outillage robuste pour électricité, plomberie et travaux de mécanique fine.</t>
        </is>
      </c>
      <c r="G1673" s="19" t="inlineStr">
        <is>
          <t>https://action.metaffiliation.com/trk.php?mclic=P513ABF5874B115S1UA413adf0879V4</t>
        </is>
      </c>
      <c r="H1673" s="20" t="n">
        <v>14485</v>
      </c>
      <c r="I1673" s="20" t="n">
        <v>83</v>
      </c>
      <c r="J1673" s="21">
        <f>IF(H1673=0,0,I1673/H1673)</f>
        <v/>
      </c>
    </row>
    <row r="1674">
      <c r="A1674" s="17" t="inlineStr">
        <is>
          <t>Ryobi</t>
        </is>
      </c>
      <c r="B1674" s="17" t="inlineStr">
        <is>
          <t>Terminé</t>
        </is>
      </c>
      <c r="C1674" s="17" t="inlineStr">
        <is>
          <t>Ryobi</t>
        </is>
      </c>
      <c r="D1674" s="17" t="inlineStr">
        <is>
          <t>Tools and Hardware</t>
        </is>
      </c>
      <c r="E1674" s="18" t="inlineStr">
        <is>
          <t>Outillage électroportatif et de jardin - Ryobi</t>
        </is>
      </c>
      <c r="F1674" s="17" t="inlineStr">
        <is>
          <t>Le souffleur Turbo Jet 18V ONE+ dégage feuilles et débris sur la terrasse et les allées, sur la batterie ONE+ que vous avez déjà sous la main.</t>
        </is>
      </c>
      <c r="G1674" s="19" t="inlineStr">
        <is>
          <t>https://action.metaffiliation.com/trk.php?mclic=P513ABF5874B115S1UA413adf0202V4</t>
        </is>
      </c>
      <c r="H1674" s="20" t="n">
        <v>14416</v>
      </c>
      <c r="I1674" s="20" t="n">
        <v>82</v>
      </c>
      <c r="J1674" s="21">
        <f>IF(H1674=0,0,I1674/H1674)</f>
        <v/>
      </c>
    </row>
    <row r="1675">
      <c r="A1675" s="17" t="inlineStr">
        <is>
          <t>Ryobi</t>
        </is>
      </c>
      <c r="B1675" s="17" t="inlineStr">
        <is>
          <t>Terminé</t>
        </is>
      </c>
      <c r="C1675" s="17" t="inlineStr">
        <is>
          <t>Ryobi</t>
        </is>
      </c>
      <c r="D1675" s="17" t="inlineStr">
        <is>
          <t>Tools and Hardware</t>
        </is>
      </c>
      <c r="E1675" s="18" t="inlineStr">
        <is>
          <t>Outillage électroportatif et de jardin - Ryobi</t>
        </is>
      </c>
      <c r="F1675" s="17" t="inlineStr">
        <is>
          <t>Une perceuse-visseuse à percussion deux vitesses 18V ONE+, avec la force de frappe qu’il faut pour percer la maçonnerie, le béton et poser des chevilles.</t>
        </is>
      </c>
      <c r="G1675" s="19" t="inlineStr">
        <is>
          <t>https://action.metaffiliation.com/trk.php?mclic=P513ABF5874B115S1UA413adf0552V4</t>
        </is>
      </c>
      <c r="H1675" s="20" t="n">
        <v>14399</v>
      </c>
      <c r="I1675" s="20" t="n">
        <v>78</v>
      </c>
      <c r="J1675" s="21">
        <f>IF(H1675=0,0,I1675/H1675)</f>
        <v/>
      </c>
    </row>
    <row r="1676">
      <c r="A1676" s="17" t="inlineStr">
        <is>
          <t>Ryobi</t>
        </is>
      </c>
      <c r="B1676" s="17" t="inlineStr">
        <is>
          <t>Terminé</t>
        </is>
      </c>
      <c r="C1676" s="17" t="inlineStr">
        <is>
          <t>Ryobi</t>
        </is>
      </c>
      <c r="D1676" s="17" t="inlineStr">
        <is>
          <t>Tools and Hardware</t>
        </is>
      </c>
      <c r="E1676" s="18" t="inlineStr">
        <is>
          <t>Outillage de bricolage et de jardin - Ryobi</t>
        </is>
      </c>
      <c r="F1676" s="17" t="inlineStr">
        <is>
          <t>Retirez les saletés et les taches de votre terrasse ou de votre voiture avec le jet puissant des nettoyeurs haute pression Ryobi.</t>
        </is>
      </c>
      <c r="G1676" s="19" t="inlineStr">
        <is>
          <t>https://action.metaffiliation.com/trk.php?mclic=P513ABF5874B115S1UA413adf0423V4</t>
        </is>
      </c>
      <c r="H1676" s="20" t="n">
        <v>14272</v>
      </c>
      <c r="I1676" s="20" t="n">
        <v>66</v>
      </c>
      <c r="J1676" s="21">
        <f>IF(H1676=0,0,I1676/H1676)</f>
        <v/>
      </c>
    </row>
    <row r="1677">
      <c r="A1677" s="17" t="inlineStr">
        <is>
          <t>Ryobi</t>
        </is>
      </c>
      <c r="B1677" s="17" t="inlineStr">
        <is>
          <t>Terminé</t>
        </is>
      </c>
      <c r="C1677" s="17" t="inlineStr">
        <is>
          <t>Ryobi</t>
        </is>
      </c>
      <c r="D1677" s="17" t="inlineStr">
        <is>
          <t>Tools and Hardware</t>
        </is>
      </c>
      <c r="E1677" s="18" t="inlineStr">
        <is>
          <t>Coffret empilable 38 accessoires perçage-vissage | Ryobi</t>
        </is>
      </c>
      <c r="F1677" s="17" t="inlineStr">
        <is>
          <t>Découvrez nos disques abrasifs pour finitions parfaites. Consommables de ponçage haute performance sur bois, métal, plastique. Grains fins à gros.</t>
        </is>
      </c>
      <c r="G1677" s="19" t="inlineStr">
        <is>
          <t>https://action.metaffiliation.com/trk.php?mclic=P513ABF5874B115S1UA413adf0145V4</t>
        </is>
      </c>
      <c r="H1677" s="20" t="n">
        <v>14207</v>
      </c>
      <c r="I1677" s="20" t="n">
        <v>86</v>
      </c>
      <c r="J1677" s="21">
        <f>IF(H1677=0,0,I1677/H1677)</f>
        <v/>
      </c>
    </row>
    <row r="1678">
      <c r="A1678" s="17" t="inlineStr">
        <is>
          <t>Ryobi</t>
        </is>
      </c>
      <c r="B1678" s="17" t="inlineStr">
        <is>
          <t>Terminé</t>
        </is>
      </c>
      <c r="C1678" s="17" t="inlineStr">
        <is>
          <t>Ryobi</t>
        </is>
      </c>
      <c r="D1678" s="17" t="inlineStr">
        <is>
          <t>Tools and Hardware</t>
        </is>
      </c>
      <c r="E1678" s="18" t="inlineStr">
        <is>
          <t>Scie sabre Brushless 18V ONE+™ HP™ Performance (Vendue sans</t>
        </is>
      </c>
      <c r="F1678" s="17" t="inlineStr">
        <is>
          <t>Démolissez efficacement avec nos scies sabres sans fil à mouvement pendulaire. Puissance extrême pour cloisons, bois épais, métaux et tuyauteries.</t>
        </is>
      </c>
      <c r="G1678" s="19" t="inlineStr">
        <is>
          <t>https://action.metaffiliation.com/trk.php?mclic=P513ABF5874B115S1UA413adf0489V4</t>
        </is>
      </c>
      <c r="H1678" s="20" t="n">
        <v>14099</v>
      </c>
      <c r="I1678" s="20" t="n">
        <v>65</v>
      </c>
      <c r="J1678" s="21">
        <f>IF(H1678=0,0,I1678/H1678)</f>
        <v/>
      </c>
    </row>
    <row r="1679">
      <c r="A1679" s="17" t="inlineStr">
        <is>
          <t>Ryobi</t>
        </is>
      </c>
      <c r="B1679" s="17" t="inlineStr">
        <is>
          <t>Terminé</t>
        </is>
      </c>
      <c r="C1679" s="17" t="inlineStr">
        <is>
          <t>Ryobi</t>
        </is>
      </c>
      <c r="D1679" s="17" t="inlineStr">
        <is>
          <t>Tools and Hardware</t>
        </is>
      </c>
      <c r="E1679" s="18" t="inlineStr">
        <is>
          <t>Laser 360° vert | Ryobi</t>
        </is>
      </c>
      <c r="F1679" s="17" t="inlineStr">
        <is>
          <t>Découvrez notre gamme complète d’outils portatifs de bricolage 18V ONE+™. Perceuses, scies et équipements pour tous projets créatifs et de rénovation.</t>
        </is>
      </c>
      <c r="G1679" s="19" t="inlineStr">
        <is>
          <t>https://action.metaffiliation.com/trk.php?mclic=P513ABF5874B115S1UA413adf0781V4</t>
        </is>
      </c>
      <c r="H1679" s="20" t="n">
        <v>14097</v>
      </c>
      <c r="I1679" s="20" t="n">
        <v>65</v>
      </c>
      <c r="J1679" s="21">
        <f>IF(H1679=0,0,I1679/H1679)</f>
        <v/>
      </c>
    </row>
    <row r="1680">
      <c r="A1680" s="17" t="inlineStr">
        <is>
          <t>Ryobi</t>
        </is>
      </c>
      <c r="B1680" s="17" t="inlineStr">
        <is>
          <t>Terminé</t>
        </is>
      </c>
      <c r="C1680" s="17" t="inlineStr">
        <is>
          <t>Ryobi</t>
        </is>
      </c>
      <c r="D1680" s="17" t="inlineStr">
        <is>
          <t>Tools and Hardware</t>
        </is>
      </c>
      <c r="E1680" s="18" t="inlineStr">
        <is>
          <t>Outillage électroportatif et de jardin - Ryobi</t>
        </is>
      </c>
      <c r="F1680" s="17" t="inlineStr">
        <is>
          <t>Une tondeuse tractée Brushless 36V MAX POWER de 53 cm de coupe, faite pour tondre facilement et proprement les pelouses de taille moyenne.</t>
        </is>
      </c>
      <c r="G1680" s="19" t="inlineStr">
        <is>
          <t>https://action.metaffiliation.com/trk.php?mclic=P513ABF5874B115S1UA413adf0304V4</t>
        </is>
      </c>
      <c r="H1680" s="20" t="n">
        <v>14091</v>
      </c>
      <c r="I1680" s="20" t="n">
        <v>67</v>
      </c>
      <c r="J1680" s="21">
        <f>IF(H1680=0,0,I1680/H1680)</f>
        <v/>
      </c>
    </row>
    <row r="1681">
      <c r="A1681" s="17" t="inlineStr">
        <is>
          <t>Ryobi</t>
        </is>
      </c>
      <c r="B1681" s="17" t="inlineStr">
        <is>
          <t>Terminé</t>
        </is>
      </c>
      <c r="C1681" s="17" t="inlineStr">
        <is>
          <t>Ryobi</t>
        </is>
      </c>
      <c r="D1681" s="17" t="inlineStr">
        <is>
          <t>Tools and Hardware</t>
        </is>
      </c>
      <c r="E1681" s="18" t="inlineStr">
        <is>
          <t>Fraise en carbure de tungstène à bout pointu 3,2 mm | Ryobi</t>
        </is>
      </c>
      <c r="F1681" s="17" t="inlineStr">
        <is>
          <t>Ryobi - Fraise en carbure de tungstène à bout pointu de 3,2 mm | Accessoires exceptionnels de la gamme d</t>
        </is>
      </c>
      <c r="G1681" s="19" t="inlineStr">
        <is>
          <t>https://action.metaffiliation.com/trk.php?mclic=P513ABF5874B115S1UA413adf0127V4</t>
        </is>
      </c>
      <c r="H1681" s="20" t="n">
        <v>14080</v>
      </c>
      <c r="I1681" s="20" t="n">
        <v>70</v>
      </c>
      <c r="J1681" s="21">
        <f>IF(H1681=0,0,I1681/H1681)</f>
        <v/>
      </c>
    </row>
    <row r="1682">
      <c r="A1682" s="17" t="inlineStr">
        <is>
          <t>Ryobi</t>
        </is>
      </c>
      <c r="B1682" s="17" t="inlineStr">
        <is>
          <t>Terminé</t>
        </is>
      </c>
      <c r="C1682" s="17" t="inlineStr">
        <is>
          <t>Ryobi</t>
        </is>
      </c>
      <c r="D1682" s="17" t="inlineStr">
        <is>
          <t>Accessoires, consommables et pièces détachées</t>
        </is>
      </c>
      <c r="E1682" s="18" t="inlineStr">
        <is>
          <t>Jeu de tournevis magnétiques 6 pièces | Ryobi</t>
        </is>
      </c>
      <c r="F1682" s="17" t="inlineStr">
        <is>
          <t>Vissez avec précision grâce à nos tournevis de qualité professionnelle. Un outillage de base indispensable pour bricolage et réparations du quotidien.</t>
        </is>
      </c>
      <c r="G1682" s="19" t="inlineStr">
        <is>
          <t>https://action.metaffiliation.com/trk.php?mclic=P513ABF5874B115S1UA413adf0642V4</t>
        </is>
      </c>
      <c r="H1682" s="20" t="n">
        <v>14074</v>
      </c>
      <c r="I1682" s="20" t="n">
        <v>73</v>
      </c>
      <c r="J1682" s="21">
        <f>IF(H1682=0,0,I1682/H1682)</f>
        <v/>
      </c>
    </row>
    <row r="1683">
      <c r="A1683" s="17" t="inlineStr">
        <is>
          <t>Ryobi</t>
        </is>
      </c>
      <c r="B1683" s="17" t="inlineStr">
        <is>
          <t>Terminé</t>
        </is>
      </c>
      <c r="C1683" s="17" t="inlineStr">
        <is>
          <t>Ryobi</t>
        </is>
      </c>
      <c r="D1683" s="17" t="inlineStr">
        <is>
          <t>Tools and Hardware</t>
        </is>
      </c>
      <c r="E1683" s="18" t="inlineStr">
        <is>
          <t>Jeu de tournevis magnétiques 6 pièces | Ryobi</t>
        </is>
      </c>
      <c r="F1683" s="17" t="inlineStr">
        <is>
          <t>Vissez avec précision grâce à nos tournevis de qualité professionnelle. Un outillage de base indispensable pour bricolage et réparations du quotidien.</t>
        </is>
      </c>
      <c r="G1683" s="19" t="inlineStr">
        <is>
          <t>https://action.metaffiliation.com/trk.php?mclic=P513ABF5874B115S1UA413adf0642V4</t>
        </is>
      </c>
      <c r="H1683" s="20" t="n">
        <v>14064</v>
      </c>
      <c r="I1683" s="20" t="n">
        <v>83</v>
      </c>
      <c r="J1683" s="21">
        <f>IF(H1683=0,0,I1683/H1683)</f>
        <v/>
      </c>
    </row>
    <row r="1684">
      <c r="A1684" s="17" t="inlineStr">
        <is>
          <t>Ryobi</t>
        </is>
      </c>
      <c r="B1684" s="17" t="inlineStr">
        <is>
          <t>Terminé</t>
        </is>
      </c>
      <c r="C1684" s="17" t="inlineStr">
        <is>
          <t>Ryobi</t>
        </is>
      </c>
      <c r="D1684" s="17" t="inlineStr">
        <is>
          <t>Accessoires jardin et tondeuses</t>
        </is>
      </c>
      <c r="E1684" s="18" t="inlineStr">
        <is>
          <t>Coupe-bordures / Dresse-bordures 18V ONE+™ - 25/30 cm (1 x</t>
        </is>
      </c>
      <c r="F1684" s="17" t="inlineStr">
        <is>
          <t>Soignez les finitions de votre pelouse avec nos coupe-bordures 18V ONE+™ sans fil performants. Bordures nettes le long des allées, murs et massifs.</t>
        </is>
      </c>
      <c r="G1684" s="19" t="inlineStr">
        <is>
          <t>https://action.metaffiliation.com/trk.php?mclic=P513ABF5874B115S1UA413adf0228V4</t>
        </is>
      </c>
      <c r="H1684" s="20" t="n">
        <v>14038</v>
      </c>
      <c r="I1684" s="20" t="n">
        <v>67</v>
      </c>
      <c r="J1684" s="21">
        <f>IF(H1684=0,0,I1684/H1684)</f>
        <v/>
      </c>
    </row>
    <row r="1685">
      <c r="A1685" s="17" t="inlineStr">
        <is>
          <t>Ryobi</t>
        </is>
      </c>
      <c r="B1685" s="17" t="inlineStr">
        <is>
          <t>Terminé</t>
        </is>
      </c>
      <c r="C1685" s="17" t="inlineStr">
        <is>
          <t>Ryobi</t>
        </is>
      </c>
      <c r="D1685" s="17" t="inlineStr">
        <is>
          <t>Tools and Hardware</t>
        </is>
      </c>
      <c r="E1685" s="18" t="inlineStr">
        <is>
          <t>Pack chargeur 2,0 A + 1 Batterie Lithium+ 18V ONE+™ – 5,0</t>
        </is>
      </c>
      <c r="F1685" s="17" t="inlineStr">
        <is>
          <t>Alimentez tous vos outils avec nos kits chargeur et batterie 18V ONE+™. Solutions complètes pour démarrer dans l’écosystème des outils rechargeables.</t>
        </is>
      </c>
      <c r="G1685" s="19" t="inlineStr">
        <is>
          <t>https://action.metaffiliation.com/trk.php?mclic=P513ABF5874B115S1UA413adf0477V4</t>
        </is>
      </c>
      <c r="H1685" s="20" t="n">
        <v>14000</v>
      </c>
      <c r="I1685" s="20" t="n">
        <v>76</v>
      </c>
      <c r="J1685" s="21">
        <f>IF(H1685=0,0,I1685/H1685)</f>
        <v/>
      </c>
    </row>
    <row r="1686">
      <c r="A1686" s="17" t="inlineStr">
        <is>
          <t>Ryobi</t>
        </is>
      </c>
      <c r="B1686" s="17" t="inlineStr">
        <is>
          <t>Terminé</t>
        </is>
      </c>
      <c r="C1686" s="17" t="inlineStr">
        <is>
          <t>Ryobi</t>
        </is>
      </c>
      <c r="D1686" s="17" t="inlineStr">
        <is>
          <t>Tools and Hardware</t>
        </is>
      </c>
      <c r="E1686" s="18" t="inlineStr">
        <is>
          <t>Outillage électroportatif et de jardin - Ryobi</t>
        </is>
      </c>
      <c r="F1686" s="17" t="inlineStr">
        <is>
          <t>Un coupe-bordures 18V ONE+ sans fil de 25 à 30 cm pour soigner les finitions de la pelouse le long des allées, des murs et des massifs.</t>
        </is>
      </c>
      <c r="G1686" s="19" t="inlineStr">
        <is>
          <t>https://action.metaffiliation.com/trk.php?mclic=P513ABF5874B115S1UA413adf0228V4</t>
        </is>
      </c>
      <c r="H1686" s="20" t="n">
        <v>13994</v>
      </c>
      <c r="I1686" s="20" t="n">
        <v>72</v>
      </c>
      <c r="J1686" s="21">
        <f>IF(H1686=0,0,I1686/H1686)</f>
        <v/>
      </c>
    </row>
    <row r="1687">
      <c r="A1687" s="17" t="inlineStr">
        <is>
          <t>Ryobi</t>
        </is>
      </c>
      <c r="B1687" s="17" t="inlineStr">
        <is>
          <t>Terminé</t>
        </is>
      </c>
      <c r="C1687" s="17" t="inlineStr">
        <is>
          <t>Ryobi</t>
        </is>
      </c>
      <c r="D1687" s="17" t="inlineStr">
        <is>
          <t>Accessoires jardin et tondeuses</t>
        </is>
      </c>
      <c r="E1687" s="18" t="inlineStr">
        <is>
          <t>Tondeuse tractée Brushless 36V MAX POWER - 53 cm (1 x 6,0</t>
        </is>
      </c>
      <c r="F1687" s="17" t="inlineStr">
        <is>
          <t>Optez pour nos tondeuses à gazon performantes pour un confort optimal garanti. Tonte facile et soignée de pelouses de taille moyenne.</t>
        </is>
      </c>
      <c r="G1687" s="19" t="inlineStr">
        <is>
          <t>https://action.metaffiliation.com/trk.php?mclic=P513ABF5874B115S1UA413adf0304V4</t>
        </is>
      </c>
      <c r="H1687" s="20" t="n">
        <v>13989</v>
      </c>
      <c r="I1687" s="20" t="n">
        <v>68</v>
      </c>
      <c r="J1687" s="21">
        <f>IF(H1687=0,0,I1687/H1687)</f>
        <v/>
      </c>
    </row>
    <row r="1688">
      <c r="A1688" s="17" t="inlineStr">
        <is>
          <t>Ryobi</t>
        </is>
      </c>
      <c r="B1688" s="17" t="inlineStr">
        <is>
          <t>Terminé</t>
        </is>
      </c>
      <c r="C1688" s="17" t="inlineStr">
        <is>
          <t>Ryobi</t>
        </is>
      </c>
      <c r="D1688" s="17" t="inlineStr">
        <is>
          <t>Tools and Hardware</t>
        </is>
      </c>
      <c r="E1688" s="18" t="inlineStr">
        <is>
          <t>Lot de 5 disques à tronçonner 38 mm et 1 mandrin Twist</t>
        </is>
      </c>
      <c r="F1688" s="17" t="inlineStr">
        <is>
          <t>Ryobi - Lot de disques à tronçonner Twist Lock™ de 38 mm | Accessoires exceptionnels de la gamme d</t>
        </is>
      </c>
      <c r="G1688" s="19" t="inlineStr">
        <is>
          <t>https://action.metaffiliation.com/trk.php?mclic=P513ABF5874B115S1UA413adf0465V4</t>
        </is>
      </c>
      <c r="H1688" s="20" t="n">
        <v>13975</v>
      </c>
      <c r="I1688" s="20" t="n">
        <v>90</v>
      </c>
      <c r="J1688" s="21">
        <f>IF(H1688=0,0,I1688/H1688)</f>
        <v/>
      </c>
    </row>
    <row r="1689">
      <c r="A1689" s="17" t="inlineStr">
        <is>
          <t>Ryobi</t>
        </is>
      </c>
      <c r="B1689" s="17" t="inlineStr">
        <is>
          <t>Terminé</t>
        </is>
      </c>
      <c r="C1689" s="17" t="inlineStr">
        <is>
          <t>Ryobi</t>
        </is>
      </c>
      <c r="D1689" s="17" t="inlineStr">
        <is>
          <t>Accessoires, consommables et pièces détachées</t>
        </is>
      </c>
      <c r="E1689" s="18" t="inlineStr">
        <is>
          <t>Perceuse-visseuse à percussion 2 vitesses 18V ONE+™ (Vendue</t>
        </is>
      </c>
      <c r="F1689" s="17" t="inlineStr">
        <is>
          <t>Percez maçonnerie et béton avec nos perceuses à percussion puissantes. Force de frappe adaptée pour chevilles et perçages dans les matériaux durs.</t>
        </is>
      </c>
      <c r="G1689" s="19" t="inlineStr">
        <is>
          <t>https://action.metaffiliation.com/trk.php?mclic=P513ABF5874B115S1UA413adf0552V4</t>
        </is>
      </c>
      <c r="H1689" s="20" t="n">
        <v>13973</v>
      </c>
      <c r="I1689" s="20" t="n">
        <v>66</v>
      </c>
      <c r="J1689" s="21">
        <f>IF(H1689=0,0,I1689/H1689)</f>
        <v/>
      </c>
    </row>
    <row r="1690">
      <c r="A1690" s="17" t="inlineStr">
        <is>
          <t>Ryobi</t>
        </is>
      </c>
      <c r="B1690" s="17" t="inlineStr">
        <is>
          <t>Terminé</t>
        </is>
      </c>
      <c r="C1690" s="17" t="inlineStr">
        <is>
          <t>Ryobi</t>
        </is>
      </c>
      <c r="D1690" s="17" t="inlineStr">
        <is>
          <t>Tools and Hardware</t>
        </is>
      </c>
      <c r="E1690" s="18" t="inlineStr">
        <is>
          <t>Outillage électroportatif et de jardin - Ryobi</t>
        </is>
      </c>
      <c r="F1690" s="17" t="inlineStr">
        <is>
          <t>Une chaîne de remplacement de 35 cm et 52 maillons pour tronçonneuse sur batterie, facile à changer pour retrouver une qualité de coupe optimale.</t>
        </is>
      </c>
      <c r="G1690" s="19" t="inlineStr">
        <is>
          <t>https://action.metaffiliation.com/trk.php?mclic=P513ABF5874B115S1UA413adf0256V4</t>
        </is>
      </c>
      <c r="H1690" s="20" t="n">
        <v>13948</v>
      </c>
      <c r="I1690" s="20" t="n">
        <v>76</v>
      </c>
      <c r="J1690" s="21">
        <f>IF(H1690=0,0,I1690/H1690)</f>
        <v/>
      </c>
    </row>
    <row r="1691">
      <c r="A1691" s="17" t="inlineStr">
        <is>
          <t>Ryobi</t>
        </is>
      </c>
      <c r="B1691" s="17" t="inlineStr">
        <is>
          <t>Terminé</t>
        </is>
      </c>
      <c r="C1691" s="17" t="inlineStr">
        <is>
          <t>Ryobi</t>
        </is>
      </c>
      <c r="D1691" s="17" t="inlineStr">
        <is>
          <t>Tools and Hardware</t>
        </is>
      </c>
      <c r="E1691" s="18" t="inlineStr">
        <is>
          <t>Outillage électroportatif et de jardin - Ryobi</t>
        </is>
      </c>
      <c r="F1691" s="17" t="inlineStr">
        <is>
          <t>Le taille-haies LINEA 18V ONE+ coupe sur 45 cm et fonctionne sur la même batterie 18V que le reste de vos outils de jardin Ryobi.</t>
        </is>
      </c>
      <c r="G1691" s="19" t="inlineStr">
        <is>
          <t>https://action.metaffiliation.com/trk.php?mclic=P513ABF5874B115S1UA413adf0272V4</t>
        </is>
      </c>
      <c r="H1691" s="20" t="n">
        <v>13945</v>
      </c>
      <c r="I1691" s="20" t="n">
        <v>76</v>
      </c>
      <c r="J1691" s="21">
        <f>IF(H1691=0,0,I1691/H1691)</f>
        <v/>
      </c>
    </row>
    <row r="1692">
      <c r="A1692" s="17" t="inlineStr">
        <is>
          <t>Ryobi</t>
        </is>
      </c>
      <c r="B1692" s="17" t="inlineStr">
        <is>
          <t>Terminé</t>
        </is>
      </c>
      <c r="C1692" s="17" t="inlineStr">
        <is>
          <t>Ryobi</t>
        </is>
      </c>
      <c r="D1692" s="17" t="inlineStr">
        <is>
          <t>Tools and Hardware</t>
        </is>
      </c>
      <c r="E1692" s="18" t="inlineStr">
        <is>
          <t>Brosse multi-surface I RYOBI I RACLTM18</t>
        </is>
      </c>
      <c r="F1692" s="17" t="inlineStr">
        <is>
          <t>Ryobi - Brosse multi-surface 180 mm I Idéale pour les surfaces comme le carrrelage, le granit par exemple.</t>
        </is>
      </c>
      <c r="G1692" s="19" t="inlineStr">
        <is>
          <t>https://action.metaffiliation.com/trk.php?mclic=P513ABF5874B115S1UA413adf0750V4</t>
        </is>
      </c>
      <c r="H1692" s="20" t="n">
        <v>13933</v>
      </c>
      <c r="I1692" s="20" t="n">
        <v>79</v>
      </c>
      <c r="J1692" s="21">
        <f>IF(H1692=0,0,I1692/H1692)</f>
        <v/>
      </c>
    </row>
    <row r="1693">
      <c r="A1693" s="17" t="inlineStr">
        <is>
          <t>Ryobi</t>
        </is>
      </c>
      <c r="B1693" s="17" t="inlineStr">
        <is>
          <t>Terminé</t>
        </is>
      </c>
      <c r="C1693" s="17" t="inlineStr">
        <is>
          <t>Ryobi</t>
        </is>
      </c>
      <c r="D1693" s="17" t="inlineStr">
        <is>
          <t>Tools and Hardware</t>
        </is>
      </c>
      <c r="E1693" s="18" t="inlineStr">
        <is>
          <t>Outillage électroportatif et de jardin - Ryobi</t>
        </is>
      </c>
      <c r="F1693" s="17" t="inlineStr">
        <is>
          <t>Une lame de rechange de 33 cm pour tondeuse sur batterie Ryobi, à changer dès que la coupe s’effiloche pour garder une pelouse nette.</t>
        </is>
      </c>
      <c r="G1693" s="19" t="inlineStr">
        <is>
          <t>https://action.metaffiliation.com/trk.php?mclic=P513ABF5874B115S1UA413adf0106V4</t>
        </is>
      </c>
      <c r="H1693" s="20" t="n">
        <v>13933</v>
      </c>
      <c r="I1693" s="20" t="n">
        <v>66</v>
      </c>
      <c r="J1693" s="21">
        <f>IF(H1693=0,0,I1693/H1693)</f>
        <v/>
      </c>
    </row>
    <row r="1694">
      <c r="A1694" s="17" t="inlineStr">
        <is>
          <t>Ryobi</t>
        </is>
      </c>
      <c r="B1694" s="17" t="inlineStr">
        <is>
          <t>Terminé</t>
        </is>
      </c>
      <c r="C1694" s="17" t="inlineStr">
        <is>
          <t>Ryobi</t>
        </is>
      </c>
      <c r="D1694" s="17" t="inlineStr">
        <is>
          <t>Tools and Hardware</t>
        </is>
      </c>
      <c r="E1694" s="18" t="inlineStr">
        <is>
          <t>Outillage électroportatif et de jardin - Ryobi</t>
        </is>
      </c>
      <c r="F1694" s="17" t="inlineStr">
        <is>
          <t>Trois bobines de double fil de 1,5 mm pour coupe-bordures, la pièce détachée à garder d’avance pour repartir dès que le fil casse.</t>
        </is>
      </c>
      <c r="G1694" s="19" t="inlineStr">
        <is>
          <t>https://action.metaffiliation.com/trk.php?mclic=P513ABF5874B115S1UA413adf0277V4</t>
        </is>
      </c>
      <c r="H1694" s="20" t="n">
        <v>13920</v>
      </c>
      <c r="I1694" s="20" t="n">
        <v>65</v>
      </c>
      <c r="J1694" s="21">
        <f>IF(H1694=0,0,I1694/H1694)</f>
        <v/>
      </c>
    </row>
    <row r="1695">
      <c r="A1695" s="17" t="inlineStr">
        <is>
          <t>Ryobi</t>
        </is>
      </c>
      <c r="B1695" s="17" t="inlineStr">
        <is>
          <t>Terminé</t>
        </is>
      </c>
      <c r="C1695" s="17" t="inlineStr">
        <is>
          <t>Ryobi</t>
        </is>
      </c>
      <c r="D1695" s="17" t="inlineStr">
        <is>
          <t>Tools and Hardware</t>
        </is>
      </c>
      <c r="E1695" s="18" t="inlineStr">
        <is>
          <t>Aspirateur balai 18V ONE+™ brushless | RYOBI |</t>
        </is>
      </c>
      <c r="F1695" s="17" t="inlineStr">
        <is>
          <t>Aspirateur balai 18V ONE+™ brushless | Idéal pour aspirer la saleté et les débris sur les tapis, les moquettes et les sols de la maison. Profitez en dès maintenant</t>
        </is>
      </c>
      <c r="G1695" s="19" t="inlineStr">
        <is>
          <t>https://action.metaffiliation.com/trk.php?mclic=P513ABF5874B115S1U9413adf035V4</t>
        </is>
      </c>
      <c r="H1695" s="20" t="n">
        <v>13899</v>
      </c>
      <c r="I1695" s="20" t="n">
        <v>76</v>
      </c>
      <c r="J1695" s="21">
        <f>IF(H1695=0,0,I1695/H1695)</f>
        <v/>
      </c>
    </row>
    <row r="1696">
      <c r="A1696" s="17" t="inlineStr">
        <is>
          <t>Ryobi</t>
        </is>
      </c>
      <c r="B1696" s="17" t="inlineStr">
        <is>
          <t>Terminé</t>
        </is>
      </c>
      <c r="C1696" s="17" t="inlineStr">
        <is>
          <t>Ryobi</t>
        </is>
      </c>
      <c r="D1696" s="17" t="inlineStr">
        <is>
          <t>Accessoires, consommables et pièces détachées</t>
        </is>
      </c>
      <c r="E1696" s="18" t="inlineStr">
        <is>
          <t>Scie sabre Brushless 18V ONE+™ HP™ Performance (Vendue sans</t>
        </is>
      </c>
      <c r="F1696" s="17" t="inlineStr">
        <is>
          <t>Démolissez efficacement avec nos scies sabres sans fil à mouvement pendulaire. Puissance extrême pour cloisons, bois épais, métaux et tuyauteries.</t>
        </is>
      </c>
      <c r="G1696" s="19" t="inlineStr">
        <is>
          <t>https://action.metaffiliation.com/trk.php?mclic=P513ABF5874B115S1UA413adf0489V4</t>
        </is>
      </c>
      <c r="H1696" s="20" t="n">
        <v>13859</v>
      </c>
      <c r="I1696" s="20" t="n">
        <v>70</v>
      </c>
      <c r="J1696" s="21">
        <f>IF(H1696=0,0,I1696/H1696)</f>
        <v/>
      </c>
    </row>
    <row r="1697">
      <c r="A1697" s="17" t="inlineStr">
        <is>
          <t>Ryobi</t>
        </is>
      </c>
      <c r="B1697" s="17" t="inlineStr">
        <is>
          <t>Terminé</t>
        </is>
      </c>
      <c r="C1697" s="17" t="inlineStr">
        <is>
          <t>Ryobi</t>
        </is>
      </c>
      <c r="D1697" s="17" t="inlineStr">
        <is>
          <t>Accessoires, consommables et pièces détachées</t>
        </is>
      </c>
      <c r="E1697" s="18" t="inlineStr">
        <is>
          <t>Scie à Coupe d'Onglet Radiale filaire 2000 W | Outils</t>
        </is>
      </c>
      <c r="F1697" s="17" t="inlineStr">
        <is>
          <t>Découvrez nos outils électriques performants et compacts tels que la scie à coupe d</t>
        </is>
      </c>
      <c r="G1697" s="19" t="inlineStr">
        <is>
          <t>https://action.metaffiliation.com/trk.php?mclic=P513ABF5874B115S1UA413adf0688V4</t>
        </is>
      </c>
      <c r="H1697" s="20" t="n">
        <v>13850</v>
      </c>
      <c r="I1697" s="20" t="n">
        <v>80</v>
      </c>
      <c r="J1697" s="21">
        <f>IF(H1697=0,0,I1697/H1697)</f>
        <v/>
      </c>
    </row>
    <row r="1698">
      <c r="A1698" s="17" t="inlineStr">
        <is>
          <t>Ryobi</t>
        </is>
      </c>
      <c r="B1698" s="17" t="inlineStr">
        <is>
          <t>Terminé</t>
        </is>
      </c>
      <c r="C1698" s="17" t="inlineStr">
        <is>
          <t>Ryobi</t>
        </is>
      </c>
      <c r="D1698" s="17" t="inlineStr">
        <is>
          <t>Tools and Hardware</t>
        </is>
      </c>
      <c r="E1698" s="18" t="inlineStr">
        <is>
          <t>Batterie Lithium+ 18V ONE+™ - 5,0 Ah | Ryobi</t>
        </is>
      </c>
      <c r="F1698" s="17" t="inlineStr">
        <is>
          <t>Choisissez la batterie 18V adaptée à vos outils électroportatifs et bénéficiez d’une autonomie et d’une puissance exceptionnelles pour tous vos travaux.</t>
        </is>
      </c>
      <c r="G1698" s="19" t="inlineStr">
        <is>
          <t>https://action.metaffiliation.com/trk.php?mclic=P513ABF5874B115S1UA413adf0140V4</t>
        </is>
      </c>
      <c r="H1698" s="20" t="n">
        <v>13842</v>
      </c>
      <c r="I1698" s="20" t="n">
        <v>70</v>
      </c>
      <c r="J1698" s="21">
        <f>IF(H1698=0,0,I1698/H1698)</f>
        <v/>
      </c>
    </row>
    <row r="1699">
      <c r="A1699" s="17" t="inlineStr">
        <is>
          <t>Ryobi</t>
        </is>
      </c>
      <c r="B1699" s="17" t="inlineStr">
        <is>
          <t>Terminé</t>
        </is>
      </c>
      <c r="C1699" s="17" t="inlineStr">
        <is>
          <t>Ryobi</t>
        </is>
      </c>
      <c r="D1699" s="17" t="inlineStr">
        <is>
          <t>Home and Garden Products</t>
        </is>
      </c>
      <c r="E1699" s="18" t="inlineStr">
        <is>
          <t>Tondeuses et outils de jardin - Ryobi</t>
        </is>
      </c>
      <c r="F1699" s="17" t="inlineStr">
        <is>
          <t>Un coupe-bordures 18V ONE+ sans fil de 25 à 30 cm pour soigner les finitions de la pelouse le long des allées, des murs et des massifs.</t>
        </is>
      </c>
      <c r="G1699" s="19" t="inlineStr">
        <is>
          <t>https://action.metaffiliation.com/trk.php?mclic=P513ABF5874B115S1UA413adf0228V4</t>
        </is>
      </c>
      <c r="H1699" s="20" t="n">
        <v>13814</v>
      </c>
      <c r="I1699" s="20" t="n">
        <v>77</v>
      </c>
      <c r="J1699" s="21">
        <f>IF(H1699=0,0,I1699/H1699)</f>
        <v/>
      </c>
    </row>
    <row r="1700">
      <c r="A1700" s="17" t="inlineStr">
        <is>
          <t>Ryobi</t>
        </is>
      </c>
      <c r="B1700" s="17" t="inlineStr">
        <is>
          <t>Terminé</t>
        </is>
      </c>
      <c r="C1700" s="17" t="inlineStr">
        <is>
          <t>Ryobi</t>
        </is>
      </c>
      <c r="D1700" s="17" t="inlineStr">
        <is>
          <t>Tools and Hardware</t>
        </is>
      </c>
      <c r="E1700" s="18" t="inlineStr">
        <is>
          <t>Outillage de bricolage et de jardin - Ryobi</t>
        </is>
      </c>
      <c r="F1700" s="17" t="inlineStr">
        <is>
          <t>Découvrez les outils électriques Ryobi, compacts et performants, comme la scie à coupe d’onglet radiale filaire de 2000 W.</t>
        </is>
      </c>
      <c r="G1700" s="19" t="inlineStr">
        <is>
          <t>https://action.metaffiliation.com/trk.php?mclic=P513ABF5874B115S1UA413adf0688V4</t>
        </is>
      </c>
      <c r="H1700" s="20" t="n">
        <v>13813</v>
      </c>
      <c r="I1700" s="20" t="n">
        <v>68</v>
      </c>
      <c r="J1700" s="21">
        <f>IF(H1700=0,0,I1700/H1700)</f>
        <v/>
      </c>
    </row>
    <row r="1701">
      <c r="A1701" s="17" t="inlineStr">
        <is>
          <t>Ryobi</t>
        </is>
      </c>
      <c r="B1701" s="17" t="inlineStr">
        <is>
          <t>Terminé</t>
        </is>
      </c>
      <c r="C1701" s="17" t="inlineStr">
        <is>
          <t>Ryobi</t>
        </is>
      </c>
      <c r="D1701" s="17" t="inlineStr">
        <is>
          <t>Tools and Hardware</t>
        </is>
      </c>
      <c r="E1701" s="18" t="inlineStr">
        <is>
          <t>Assortiment 20 abrasifs auto-agrippants 149 x 99 pour</t>
        </is>
      </c>
      <c r="F1701" s="17" t="inlineStr">
        <is>
          <t>Découvrez nos disques abrasifs pour finitions parfaites. Consommables de ponçage haute performance sur bois, métal, plastique. Grains fins à gros.</t>
        </is>
      </c>
      <c r="G1701" s="19" t="inlineStr">
        <is>
          <t>https://action.metaffiliation.com/trk.php?mclic=P513ABF5874B115S1UA413adf0123V4</t>
        </is>
      </c>
      <c r="H1701" s="20" t="n">
        <v>13812</v>
      </c>
      <c r="I1701" s="20" t="n">
        <v>79</v>
      </c>
      <c r="J1701" s="21">
        <f>IF(H1701=0,0,I1701/H1701)</f>
        <v/>
      </c>
    </row>
    <row r="1702">
      <c r="A1702" s="17" t="inlineStr">
        <is>
          <t>Ryobi</t>
        </is>
      </c>
      <c r="B1702" s="17" t="inlineStr">
        <is>
          <t>Terminé</t>
        </is>
      </c>
      <c r="C1702" s="17" t="inlineStr">
        <is>
          <t>Ryobi</t>
        </is>
      </c>
      <c r="D1702" s="17" t="inlineStr">
        <is>
          <t>Tools and Hardware</t>
        </is>
      </c>
      <c r="E1702" s="18" t="inlineStr">
        <is>
          <t>Chargeur USB Lithium 3 ports | Ryobi</t>
        </is>
      </c>
      <c r="F1702" s="17" t="inlineStr">
        <is>
          <t>Trouvez les Chargeurs 4V pour les batteries des outils électriques portatifs Ryobi Tools. Gardez vos outils alimentés pour une performance optimale.</t>
        </is>
      </c>
      <c r="G1702" s="19" t="inlineStr">
        <is>
          <t>https://action.metaffiliation.com/trk.php?mclic=P513ABF5874B115S1UA413adf0309V4</t>
        </is>
      </c>
      <c r="H1702" s="20" t="n">
        <v>13806</v>
      </c>
      <c r="I1702" s="20" t="n">
        <v>83</v>
      </c>
      <c r="J1702" s="21">
        <f>IF(H1702=0,0,I1702/H1702)</f>
        <v/>
      </c>
    </row>
    <row r="1703">
      <c r="A1703" s="17" t="inlineStr">
        <is>
          <t>Ryobi</t>
        </is>
      </c>
      <c r="B1703" s="17" t="inlineStr">
        <is>
          <t>Terminé</t>
        </is>
      </c>
      <c r="C1703" s="17" t="inlineStr">
        <is>
          <t>Ryobi</t>
        </is>
      </c>
      <c r="D1703" s="17" t="inlineStr">
        <is>
          <t>Home and Garden Products</t>
        </is>
      </c>
      <c r="E1703" s="18" t="inlineStr">
        <is>
          <t>Matériel de jardin et de terrasse - Ryobi</t>
        </is>
      </c>
      <c r="F1703" s="17" t="inlineStr">
        <is>
          <t>Gardez vos sols et vos plantes en bon état avec les accessoires de jardinage Ryobi : bac de ramassage 220 L et lames de tondeuse.</t>
        </is>
      </c>
      <c r="G1703" s="19" t="inlineStr">
        <is>
          <t>https://action.metaffiliation.com/trk.php?mclic=P513ABF5874B115S1UA413adf0842V4</t>
        </is>
      </c>
      <c r="H1703" s="20" t="n">
        <v>13786</v>
      </c>
      <c r="I1703" s="20" t="n">
        <v>73</v>
      </c>
      <c r="J1703" s="21">
        <f>IF(H1703=0,0,I1703/H1703)</f>
        <v/>
      </c>
    </row>
    <row r="1704">
      <c r="A1704" s="17" t="inlineStr">
        <is>
          <t>Ryobi</t>
        </is>
      </c>
      <c r="B1704" s="17" t="inlineStr">
        <is>
          <t>Terminé</t>
        </is>
      </c>
      <c r="C1704" s="17" t="inlineStr">
        <is>
          <t>Ryobi</t>
        </is>
      </c>
      <c r="D1704" s="17" t="inlineStr">
        <is>
          <t>Accessoires jardin et tondeuses</t>
        </is>
      </c>
      <c r="E1704" s="18" t="inlineStr">
        <is>
          <t>Souffleur Turbo Jet 18V ONE+™ (vendu sans batterie ni</t>
        </is>
      </c>
      <c r="F1704" s="17" t="inlineStr">
        <is>
          <t>Découvrez notre sélection de Souffleurs Ryobi ainsi que notre gamme complète d</t>
        </is>
      </c>
      <c r="G1704" s="19" t="inlineStr">
        <is>
          <t>https://action.metaffiliation.com/trk.php?mclic=P513ABF5874B115S1UA413adf0202V4</t>
        </is>
      </c>
      <c r="H1704" s="20" t="n">
        <v>13758</v>
      </c>
      <c r="I1704" s="20" t="n">
        <v>77</v>
      </c>
      <c r="J1704" s="21">
        <f>IF(H1704=0,0,I1704/H1704)</f>
        <v/>
      </c>
    </row>
    <row r="1705">
      <c r="A1705" s="17" t="inlineStr">
        <is>
          <t>Ryobi</t>
        </is>
      </c>
      <c r="B1705" s="17" t="inlineStr">
        <is>
          <t>Terminé</t>
        </is>
      </c>
      <c r="C1705" s="17" t="inlineStr">
        <is>
          <t>Ryobi</t>
        </is>
      </c>
      <c r="D1705" s="17" t="inlineStr">
        <is>
          <t>Home and Garden Products</t>
        </is>
      </c>
      <c r="E1705" s="18" t="inlineStr">
        <is>
          <t>Matériel de jardin et de terrasse - Ryobi</t>
        </is>
      </c>
      <c r="F1705" s="17" t="inlineStr">
        <is>
          <t>Retirez saletés et taches sur votre terrasse comme sur votre voiture grâce au jet puissant des nettoyeurs haute pression Ryobi.</t>
        </is>
      </c>
      <c r="G1705" s="19" t="inlineStr">
        <is>
          <t>https://action.metaffiliation.com/trk.php?mclic=P513ABF5874B115S1UA413adf0423V4</t>
        </is>
      </c>
      <c r="H1705" s="20" t="n">
        <v>13752</v>
      </c>
      <c r="I1705" s="20" t="n">
        <v>78</v>
      </c>
      <c r="J1705" s="21">
        <f>IF(H1705=0,0,I1705/H1705)</f>
        <v/>
      </c>
    </row>
    <row r="1706">
      <c r="A1706" s="17" t="inlineStr">
        <is>
          <t>Ryobi</t>
        </is>
      </c>
      <c r="B1706" s="17" t="inlineStr">
        <is>
          <t>Terminé</t>
        </is>
      </c>
      <c r="C1706" s="17" t="inlineStr">
        <is>
          <t>Ryobi</t>
        </is>
      </c>
      <c r="D1706" s="17" t="inlineStr">
        <is>
          <t>Tools and Hardware</t>
        </is>
      </c>
      <c r="E1706" s="18" t="inlineStr">
        <is>
          <t>Kit pour tournevis 4V USB Lithium (1x 2,0 Ah) | RYOBI |</t>
        </is>
      </c>
      <c r="F1706" s="17" t="inlineStr">
        <is>
          <t>Kit pour tournevis 4V USB Lithium (1x 2,0 Ah) | Idéal pour assembler des meubles et effectuer d</t>
        </is>
      </c>
      <c r="G1706" s="19" t="inlineStr">
        <is>
          <t>https://action.metaffiliation.com/trk.php?mclic=P513ABF5874B115S1UA413adf0318V4</t>
        </is>
      </c>
      <c r="H1706" s="20" t="n">
        <v>13747</v>
      </c>
      <c r="I1706" s="20" t="n">
        <v>65</v>
      </c>
      <c r="J1706" s="21">
        <f>IF(H1706=0,0,I1706/H1706)</f>
        <v/>
      </c>
    </row>
    <row r="1707">
      <c r="A1707" s="17" t="inlineStr">
        <is>
          <t>Ryobi</t>
        </is>
      </c>
      <c r="B1707" s="17" t="inlineStr">
        <is>
          <t>Terminé</t>
        </is>
      </c>
      <c r="C1707" s="17" t="inlineStr">
        <is>
          <t>Ryobi</t>
        </is>
      </c>
      <c r="D1707" s="17" t="inlineStr">
        <is>
          <t>Accessoires, consommables et pièces détachées</t>
        </is>
      </c>
      <c r="E1707" s="18" t="inlineStr">
        <is>
          <t>Marteau à griffes courbées en acier de 450 g | Ryobi</t>
        </is>
      </c>
      <c r="F1707" s="17" t="inlineStr">
        <is>
          <t>Assemblez et démolissez avec précision grâce à nos marteaux professionnels manuels. Outils robustes &amp; ergonomiques pour vos travaux de construction.</t>
        </is>
      </c>
      <c r="G1707" s="19" t="inlineStr">
        <is>
          <t>https://action.metaffiliation.com/trk.php?mclic=P513ABF5874B115S1UA413adf0798V4</t>
        </is>
      </c>
      <c r="H1707" s="20" t="n">
        <v>13746</v>
      </c>
      <c r="I1707" s="20" t="n">
        <v>61</v>
      </c>
      <c r="J1707" s="21">
        <f>IF(H1707=0,0,I1707/H1707)</f>
        <v/>
      </c>
    </row>
    <row r="1708">
      <c r="A1708" s="17" t="inlineStr">
        <is>
          <t>Ryobi</t>
        </is>
      </c>
      <c r="B1708" s="17" t="inlineStr">
        <is>
          <t>Terminé</t>
        </is>
      </c>
      <c r="C1708" s="17" t="inlineStr">
        <is>
          <t>Ryobi</t>
        </is>
      </c>
      <c r="D1708" s="17" t="inlineStr">
        <is>
          <t>Accessoires jardin et tondeuses</t>
        </is>
      </c>
      <c r="E1708" s="18" t="inlineStr">
        <is>
          <t>Taille-haies LINEA 18V ONE+™ - 45 cm (1 x 2,0 Ah) | Ryobi</t>
        </is>
      </c>
      <c r="F1708" s="17" t="inlineStr">
        <is>
          <t>Découvrez notre sélection de taille-haies Ryobi ainsi que notre gamme complète d</t>
        </is>
      </c>
      <c r="G1708" s="19" t="inlineStr">
        <is>
          <t>https://action.metaffiliation.com/trk.php?mclic=P513ABF5874B115S1UA413adf0272V4</t>
        </is>
      </c>
      <c r="H1708" s="20" t="n">
        <v>13731</v>
      </c>
      <c r="I1708" s="20" t="n">
        <v>76</v>
      </c>
      <c r="J1708" s="21">
        <f>IF(H1708=0,0,I1708/H1708)</f>
        <v/>
      </c>
    </row>
    <row r="1709">
      <c r="A1709" s="17" t="inlineStr">
        <is>
          <t>Ryobi</t>
        </is>
      </c>
      <c r="B1709" s="17" t="inlineStr">
        <is>
          <t>Terminé</t>
        </is>
      </c>
      <c r="C1709" s="17" t="inlineStr">
        <is>
          <t>Ryobi</t>
        </is>
      </c>
      <c r="D1709" s="17" t="inlineStr">
        <is>
          <t>Home and Garden Products</t>
        </is>
      </c>
      <c r="E1709" s="18" t="inlineStr">
        <is>
          <t>Tondeuses et outils de jardin - Ryobi</t>
        </is>
      </c>
      <c r="F1709" s="17" t="inlineStr">
        <is>
          <t>Le souffleur Turbo Jet 18V ONE+ dégage feuilles et débris sur la terrasse et les allées, sur la batterie ONE+ que vous avez déjà sous la main.</t>
        </is>
      </c>
      <c r="G1709" s="19" t="inlineStr">
        <is>
          <t>https://action.metaffiliation.com/trk.php?mclic=P513ABF5874B115S1UA413adf0202V4</t>
        </is>
      </c>
      <c r="H1709" s="20" t="n">
        <v>13689</v>
      </c>
      <c r="I1709" s="20" t="n">
        <v>80</v>
      </c>
      <c r="J1709" s="21">
        <f>IF(H1709=0,0,I1709/H1709)</f>
        <v/>
      </c>
    </row>
    <row r="1710">
      <c r="A1710" s="17" t="inlineStr">
        <is>
          <t>Ryobi</t>
        </is>
      </c>
      <c r="B1710" s="17" t="inlineStr">
        <is>
          <t>Terminé</t>
        </is>
      </c>
      <c r="C1710" s="17" t="inlineStr">
        <is>
          <t>Ryobi</t>
        </is>
      </c>
      <c r="D1710" s="17" t="inlineStr">
        <is>
          <t>Home and Garden Products</t>
        </is>
      </c>
      <c r="E1710" s="18" t="inlineStr">
        <is>
          <t>Tondeuses et outils de jardin - Ryobi</t>
        </is>
      </c>
      <c r="F1710" s="17" t="inlineStr">
        <is>
          <t>Une tondeuse tractée Brushless 36V MAX POWER de 53 cm de coupe, faite pour tondre facilement et proprement les pelouses de taille moyenne.</t>
        </is>
      </c>
      <c r="G1710" s="19" t="inlineStr">
        <is>
          <t>https://action.metaffiliation.com/trk.php?mclic=P513ABF5874B115S1UA413adf0304V4</t>
        </is>
      </c>
      <c r="H1710" s="20" t="n">
        <v>13680</v>
      </c>
      <c r="I1710" s="20" t="n">
        <v>68</v>
      </c>
      <c r="J1710" s="21">
        <f>IF(H1710=0,0,I1710/H1710)</f>
        <v/>
      </c>
    </row>
    <row r="1711">
      <c r="A1711" s="17" t="inlineStr">
        <is>
          <t>Ryobi</t>
        </is>
      </c>
      <c r="B1711" s="17" t="inlineStr">
        <is>
          <t>Terminé</t>
        </is>
      </c>
      <c r="C1711" s="17" t="inlineStr">
        <is>
          <t>Ryobi</t>
        </is>
      </c>
      <c r="D1711" s="17" t="inlineStr">
        <is>
          <t>Home and Garden Products</t>
        </is>
      </c>
      <c r="E1711" s="18" t="inlineStr">
        <is>
          <t>Tondeuses et outils de jardin - Ryobi</t>
        </is>
      </c>
      <c r="F1711" s="17" t="inlineStr">
        <is>
          <t>Le taille-haies LINEA 18V ONE+ coupe sur 45 cm et fonctionne sur la même batterie 18V que le reste de vos outils de jardin Ryobi.</t>
        </is>
      </c>
      <c r="G1711" s="19" t="inlineStr">
        <is>
          <t>https://action.metaffiliation.com/trk.php?mclic=P513ABF5874B115S1UA413adf0272V4</t>
        </is>
      </c>
      <c r="H1711" s="20" t="n">
        <v>13643</v>
      </c>
      <c r="I1711" s="20" t="n">
        <v>84</v>
      </c>
      <c r="J1711" s="21">
        <f>IF(H1711=0,0,I1711/H1711)</f>
        <v/>
      </c>
    </row>
    <row r="1712">
      <c r="A1712" s="17" t="inlineStr">
        <is>
          <t>Ryobi</t>
        </is>
      </c>
      <c r="B1712" s="17" t="inlineStr">
        <is>
          <t>Terminé</t>
        </is>
      </c>
      <c r="C1712" s="17" t="inlineStr">
        <is>
          <t>Ryobi</t>
        </is>
      </c>
      <c r="D1712" s="17" t="inlineStr">
        <is>
          <t>Home and Garden Products</t>
        </is>
      </c>
      <c r="E1712" s="18" t="inlineStr">
        <is>
          <t>Tondeuses et outils de jardin - Ryobi</t>
        </is>
      </c>
      <c r="F1712" s="17" t="inlineStr">
        <is>
          <t>Trois bobines de double fil de 1,5 mm pour coupe-bordures, la pièce détachée à garder d’avance pour repartir dès que le fil casse.</t>
        </is>
      </c>
      <c r="G1712" s="19" t="inlineStr">
        <is>
          <t>https://action.metaffiliation.com/trk.php?mclic=P513ABF5874B115S1UA413adf0277V4</t>
        </is>
      </c>
      <c r="H1712" s="20" t="n">
        <v>13630</v>
      </c>
      <c r="I1712" s="20" t="n">
        <v>68</v>
      </c>
      <c r="J1712" s="21">
        <f>IF(H1712=0,0,I1712/H1712)</f>
        <v/>
      </c>
    </row>
    <row r="1713">
      <c r="A1713" s="17" t="inlineStr">
        <is>
          <t>Ryobi</t>
        </is>
      </c>
      <c r="B1713" s="17" t="inlineStr">
        <is>
          <t>Terminé</t>
        </is>
      </c>
      <c r="C1713" s="17" t="inlineStr">
        <is>
          <t>Ryobi</t>
        </is>
      </c>
      <c r="D1713" s="17" t="inlineStr">
        <is>
          <t>Home and Garden Products</t>
        </is>
      </c>
      <c r="E1713" s="18" t="inlineStr">
        <is>
          <t>Tondeuses et outils de jardin - Ryobi</t>
        </is>
      </c>
      <c r="F1713" s="17" t="inlineStr">
        <is>
          <t>Une chaîne de remplacement de 35 cm et 52 maillons pour tronçonneuse sur batterie, facile à changer pour retrouver une qualité de coupe optimale.</t>
        </is>
      </c>
      <c r="G1713" s="19" t="inlineStr">
        <is>
          <t>https://action.metaffiliation.com/trk.php?mclic=P513ABF5874B115S1UA413adf0256V4</t>
        </is>
      </c>
      <c r="H1713" s="20" t="n">
        <v>13612</v>
      </c>
      <c r="I1713" s="20" t="n">
        <v>70</v>
      </c>
      <c r="J1713" s="21">
        <f>IF(H1713=0,0,I1713/H1713)</f>
        <v/>
      </c>
    </row>
    <row r="1714">
      <c r="A1714" s="17" t="inlineStr">
        <is>
          <t>Ryobi</t>
        </is>
      </c>
      <c r="B1714" s="17" t="inlineStr">
        <is>
          <t>Terminé</t>
        </is>
      </c>
      <c r="C1714" s="17" t="inlineStr">
        <is>
          <t>Ryobi</t>
        </is>
      </c>
      <c r="D1714" s="17" t="inlineStr">
        <is>
          <t>Home and Garden Products</t>
        </is>
      </c>
      <c r="E1714" s="18" t="inlineStr">
        <is>
          <t>Tondeuses et outils de jardin - Ryobi</t>
        </is>
      </c>
      <c r="F1714" s="17" t="inlineStr">
        <is>
          <t>Une lame de rechange de 33 cm pour tondeuse sur batterie Ryobi, à changer dès que la coupe s’effiloche pour garder une pelouse nette.</t>
        </is>
      </c>
      <c r="G1714" s="19" t="inlineStr">
        <is>
          <t>https://action.metaffiliation.com/trk.php?mclic=P513ABF5874B115S1UA413adf0106V4</t>
        </is>
      </c>
      <c r="H1714" s="20" t="n">
        <v>13452</v>
      </c>
      <c r="I1714" s="20" t="n">
        <v>83</v>
      </c>
      <c r="J1714" s="21">
        <f>IF(H1714=0,0,I1714/H1714)</f>
        <v/>
      </c>
    </row>
    <row r="1715">
      <c r="A1715" s="17" t="inlineStr">
        <is>
          <t>Ryobi</t>
        </is>
      </c>
      <c r="B1715" s="17" t="inlineStr">
        <is>
          <t>Terminé</t>
        </is>
      </c>
      <c r="C1715" s="17" t="inlineStr">
        <is>
          <t>Ryobi</t>
        </is>
      </c>
      <c r="D1715" s="17" t="inlineStr">
        <is>
          <t>Outils de bricolage, batteries et rangement</t>
        </is>
      </c>
      <c r="E1715" s="18" t="inlineStr">
        <is>
          <t>Consommables jardin, bricolage et nettoyage - Ryobi</t>
        </is>
      </c>
      <c r="F1715" s="17" t="inlineStr">
        <is>
          <t>Pièces détachées et accessoires d’origine pour vos outils Ryobi : fils, lames, brosses et filtres qui prolongent leur durée de vie, à commander sur le site officiel.</t>
        </is>
      </c>
      <c r="G1715" s="19" t="inlineStr">
        <is>
          <t>https://fr.ryobitools.eu/accessoires-jardinage-bricolage-et-nettoyage/?utm_source=lemrock&amp;utm_medium=cpc&amp;utm_campaign=RYOBI_LEMROCK</t>
        </is>
      </c>
      <c r="H1715" s="20" t="n">
        <v>7987</v>
      </c>
      <c r="I1715" s="20" t="n">
        <v>39</v>
      </c>
      <c r="J1715" s="21">
        <f>IF(H1715=0,0,I1715/H1715)</f>
        <v/>
      </c>
    </row>
    <row r="1716">
      <c r="A1716" s="17" t="inlineStr">
        <is>
          <t>Ryobi</t>
        </is>
      </c>
      <c r="B1716" s="17" t="inlineStr">
        <is>
          <t>Terminé</t>
        </is>
      </c>
      <c r="C1716" s="17" t="inlineStr">
        <is>
          <t>Ryobi</t>
        </is>
      </c>
      <c r="D1716" s="17" t="inlineStr">
        <is>
          <t>Outils de bricolage, batteries et rangement</t>
        </is>
      </c>
      <c r="E1716" s="18" t="inlineStr">
        <is>
          <t>Perceuses, scies et outils 18V ONE+ - Ryobi</t>
        </is>
      </c>
      <c r="F1716" s="17" t="inlineStr">
        <is>
          <t>Perceuses, visseuses, scies et outils portatifs 18V ONE+ pour vos travaux de rénovation et vos projets créatifs, tous alimentés par la même batterie Ryobi.</t>
        </is>
      </c>
      <c r="G1716" s="19" t="inlineStr">
        <is>
          <t>https://fr.ryobitools.eu/outils-de-bricolage/?utm_source=lemrock&amp;utm_medium=cpc&amp;utm_campaign=RYOBI_LEMROCK</t>
        </is>
      </c>
      <c r="H1716" s="20" t="n">
        <v>7979</v>
      </c>
      <c r="I1716" s="20" t="n">
        <v>36</v>
      </c>
      <c r="J1716" s="21">
        <f>IF(H1716=0,0,I1716/H1716)</f>
        <v/>
      </c>
    </row>
    <row r="1717">
      <c r="A1717" s="17" t="inlineStr">
        <is>
          <t>Ryobi</t>
        </is>
      </c>
      <c r="B1717" s="17" t="inlineStr">
        <is>
          <t>Terminé</t>
        </is>
      </c>
      <c r="C1717" s="17" t="inlineStr">
        <is>
          <t>Ryobi</t>
        </is>
      </c>
      <c r="D1717" s="17" t="inlineStr">
        <is>
          <t>Outils de bricolage, batteries et rangement</t>
        </is>
      </c>
      <c r="E1717" s="18" t="inlineStr">
        <is>
          <t>Rangement LINK et outillage à main - Ryobi</t>
        </is>
      </c>
      <c r="F1717" s="17" t="inlineStr">
        <is>
          <t>Coffrets, sacs et modules de rangement LINK pour transporter et stocker vos outils en sécurité, avec l’outillage à main Ryobi pour compléter l’atelier.</t>
        </is>
      </c>
      <c r="G1717" s="19" t="inlineStr">
        <is>
          <t>https://fr.ryobitools.eu/rangement-et-outillage-a-main/?utm_source=lemrock&amp;utm_medium=cpc&amp;utm_campaign=RYOBI_LEMROCK</t>
        </is>
      </c>
      <c r="H1717" s="20" t="n">
        <v>6509</v>
      </c>
      <c r="I1717" s="20" t="n">
        <v>32</v>
      </c>
      <c r="J1717" s="21">
        <f>IF(H1717=0,0,I1717/H1717)</f>
        <v/>
      </c>
    </row>
    <row r="1718">
      <c r="A1718" s="17" t="inlineStr">
        <is>
          <t>Ryobi</t>
        </is>
      </c>
      <c r="B1718" s="17" t="inlineStr">
        <is>
          <t>Terminé</t>
        </is>
      </c>
      <c r="C1718" s="17" t="inlineStr">
        <is>
          <t>Ryobi</t>
        </is>
      </c>
      <c r="D1718" s="17" t="inlineStr">
        <is>
          <t>Jardin : tondeuses, taille-haies et souffleurs</t>
        </is>
      </c>
      <c r="E1718" s="18" t="inlineStr">
        <is>
          <t>Tondeuses, taille-haies et outils de jardin - Ryobi</t>
        </is>
      </c>
      <c r="F1718" s="17" t="inlineStr">
        <is>
          <t>Gamme complète d’outils de jardin motorisés Ryobi pour la tonte, la taille et l’entretien des espaces verts, tous compatibles avec la batterie 18V ONE+.</t>
        </is>
      </c>
      <c r="G1718" s="19" t="inlineStr">
        <is>
          <t>https://fr.ryobitools.eu/outils-de-jardin/?utm_source=lemrock&amp;utm_medium=cpc&amp;utm_campaign=RYOBI_LEMROCK</t>
        </is>
      </c>
      <c r="H1718" s="20" t="n">
        <v>5172</v>
      </c>
      <c r="I1718" s="20" t="n">
        <v>34</v>
      </c>
      <c r="J1718" s="21">
        <f>IF(H1718=0,0,I1718/H1718)</f>
        <v/>
      </c>
    </row>
    <row r="1719">
      <c r="A1719" s="17" t="inlineStr">
        <is>
          <t>Ryobi</t>
        </is>
      </c>
      <c r="B1719" s="17" t="inlineStr">
        <is>
          <t>Terminé</t>
        </is>
      </c>
      <c r="C1719" s="17" t="inlineStr">
        <is>
          <t>Ryobi</t>
        </is>
      </c>
      <c r="D1719" s="17" t="inlineStr">
        <is>
          <t>Jardin : tondeuses, taille-haies et souffleurs</t>
        </is>
      </c>
      <c r="E1719" s="18" t="inlineStr">
        <is>
          <t>Outils de jardinage sans fil - Ryobi</t>
        </is>
      </c>
      <c r="F1719" s="17" t="inlineStr">
        <is>
          <t>Tondeuses, taille-haies, tronçonneuses et débroussailleuses électroportatives Ryobi pour entretenir votre jardin sans câble, sur le site officiel du fabricant.</t>
        </is>
      </c>
      <c r="G1719" s="19" t="inlineStr">
        <is>
          <t>https://fr.ryobitools.eu/activites/jardinage/?utm_source=lemrock&amp;utm_medium=cpc&amp;utm_campaign=RYOBI_LEMROCK</t>
        </is>
      </c>
      <c r="H1719" s="20" t="n">
        <v>5101</v>
      </c>
      <c r="I1719" s="20" t="n">
        <v>24</v>
      </c>
      <c r="J1719" s="21">
        <f>IF(H1719=0,0,I1719/H1719)</f>
        <v/>
      </c>
    </row>
    <row r="1720">
      <c r="A1720" s="17" t="inlineStr">
        <is>
          <t>Ryobi</t>
        </is>
      </c>
      <c r="B1720" s="17" t="inlineStr">
        <is>
          <t>Terminé</t>
        </is>
      </c>
      <c r="C1720" s="17" t="inlineStr">
        <is>
          <t>Ryobi</t>
        </is>
      </c>
      <c r="D1720" s="17" t="inlineStr">
        <is>
          <t>Outils camping et plein air</t>
        </is>
      </c>
      <c r="E1720" s="18" t="inlineStr">
        <is>
          <t>Outils ONE+ pour camping et plein air - Ryobi</t>
        </is>
      </c>
      <c r="F1720" s="17" t="inlineStr">
        <is>
          <t>Outils portables 18V ONE+ Ryobi pour le camping et la randonnée : la même batterie que vos outils de bricolage alimente vos aventures en plein air.</t>
        </is>
      </c>
      <c r="G1720" s="19" t="inlineStr">
        <is>
          <t>https://fr.ryobitools.eu/activites/aventure/?utm_source=lemrock&amp;utm_medium=cpc&amp;utm_campaign=RYOBI_LEMROCK</t>
        </is>
      </c>
      <c r="H1720" s="20" t="n">
        <v>4771</v>
      </c>
      <c r="I1720" s="20" t="n">
        <v>26</v>
      </c>
      <c r="J1720" s="21">
        <f>IF(H1720=0,0,I1720/H1720)</f>
        <v/>
      </c>
    </row>
    <row r="1721">
      <c r="A1721" s="17" t="inlineStr">
        <is>
          <t>Ryobi</t>
        </is>
      </c>
      <c r="B1721" s="17" t="inlineStr">
        <is>
          <t>Terminé</t>
        </is>
      </c>
      <c r="C1721" s="17" t="inlineStr">
        <is>
          <t>Ryobi</t>
        </is>
      </c>
      <c r="D1721" s="17" t="inlineStr">
        <is>
          <t>Outils loisirs créatifs</t>
        </is>
      </c>
      <c r="E1721" s="18" t="inlineStr">
        <is>
          <t>Outils pour loisirs créatifs et upcycling - Ryobi</t>
        </is>
      </c>
      <c r="F1721" s="17" t="inlineStr">
        <is>
          <t>Outils multifonctions, de découpe et de collage Ryobi pour vos projets créatifs : upcycling de meubles, fabrication de bijoux et petits bricolages du week-end.</t>
        </is>
      </c>
      <c r="G1721" s="19" t="inlineStr">
        <is>
          <t>https://fr.ryobitools.eu/activites/loisirs-creatifs/?utm_source=lemrock&amp;utm_medium=cpc&amp;utm_campaign=RYOBI_LEMROCK</t>
        </is>
      </c>
      <c r="H1721" s="20" t="n">
        <v>4736</v>
      </c>
      <c r="I1721" s="20" t="n">
        <v>21</v>
      </c>
      <c r="J1721" s="21">
        <f>IF(H1721=0,0,I1721/H1721)</f>
        <v/>
      </c>
    </row>
    <row r="1722">
      <c r="A1722" s="17" t="inlineStr">
        <is>
          <t>Ryobi</t>
        </is>
      </c>
      <c r="B1722" s="17" t="inlineStr">
        <is>
          <t>Terminé</t>
        </is>
      </c>
      <c r="C1722" s="17" t="inlineStr">
        <is>
          <t>Ryobi</t>
        </is>
      </c>
      <c r="D1722" s="17" t="inlineStr">
        <is>
          <t>Jardin : tondeuses, taille-haies et souffleurs</t>
        </is>
      </c>
      <c r="E1722" s="18" t="inlineStr">
        <is>
          <t>Outils de jardin hybrides batterie ou secteur - Ryobi</t>
        </is>
      </c>
      <c r="F1722" s="17" t="inlineStr">
        <is>
          <t>Outils de jardin hybrides 18V ONE+ : la liberté de la batterie Lithium+ et, quand elle faiblit, le branchement sur secteur pour continuer sans interruption.</t>
        </is>
      </c>
      <c r="G1722" s="19" t="inlineStr">
        <is>
          <t>https://fr.ryobitools.eu/technologies-fr/hybride/?utm_source=lemrock&amp;utm_medium=cpc&amp;utm_campaign=RYOBI_LEMROCK</t>
        </is>
      </c>
      <c r="H1722" s="20" t="n">
        <v>4714</v>
      </c>
      <c r="I1722" s="20" t="n">
        <v>23</v>
      </c>
      <c r="J1722" s="21">
        <f>IF(H1722=0,0,I1722/H1722)</f>
        <v/>
      </c>
    </row>
    <row r="1723">
      <c r="A1723" s="17" t="inlineStr">
        <is>
          <t>Ryobi</t>
        </is>
      </c>
      <c r="B1723" s="17" t="inlineStr">
        <is>
          <t>Terminé</t>
        </is>
      </c>
      <c r="C1723" s="17" t="inlineStr">
        <is>
          <t>Ryobi</t>
        </is>
      </c>
      <c r="D1723" s="17" t="inlineStr">
        <is>
          <t>Outils de bricolage, batteries et rangement</t>
        </is>
      </c>
      <c r="E1723" s="18" t="inlineStr">
        <is>
          <t>Nouveautés outils sans fil - Ryobi</t>
        </is>
      </c>
      <c r="F1723" s="17" t="inlineStr">
        <is>
          <t>Les dernières innovations Ryobi pour le bricolage : nouveaux outils sans fil de la gamme 18V ONE+, présentés sur le site officiel avec leurs caractéristiques.</t>
        </is>
      </c>
      <c r="G1723" s="19" t="inlineStr">
        <is>
          <t>https://fr.ryobitools.eu/whats-new/?utm_source=lemrock&amp;utm_medium=cpc&amp;utm_campaign=RYOBI_LEMROCK</t>
        </is>
      </c>
      <c r="H1723" s="20" t="n">
        <v>4374</v>
      </c>
      <c r="I1723" s="20" t="n">
        <v>17</v>
      </c>
      <c r="J1723" s="21">
        <f>IF(H1723=0,0,I1723/H1723)</f>
        <v/>
      </c>
    </row>
    <row r="1724">
      <c r="A1724" s="17" t="inlineStr">
        <is>
          <t>Ryobi</t>
        </is>
      </c>
      <c r="B1724" s="17" t="inlineStr">
        <is>
          <t>Terminé</t>
        </is>
      </c>
      <c r="C1724" s="17" t="inlineStr">
        <is>
          <t>Ryobi</t>
        </is>
      </c>
      <c r="D1724" s="17" t="inlineStr">
        <is>
          <t>Outils entretien auto</t>
        </is>
      </c>
      <c r="E1724" s="18" t="inlineStr">
        <is>
          <t>Polisseuses et outils entretien auto - Ryobi</t>
        </is>
      </c>
      <c r="F1724" s="17" t="inlineStr">
        <is>
          <t>Gamme automobile ONE+ : polisseuses et outils sans fil de fixation, réparation et nettoyage pour entretenir votre voiture ou votre moto chez vous, sans garage.</t>
        </is>
      </c>
      <c r="G1724" s="19" t="inlineStr">
        <is>
          <t>https://fr.ryobitools.eu/activites/automobile/?utm_source=lemrock&amp;utm_medium=cpc&amp;utm_campaign=RYOBI_LEMROCK</t>
        </is>
      </c>
      <c r="H1724" s="20" t="n">
        <v>4011</v>
      </c>
      <c r="I1724" s="20" t="n">
        <v>18</v>
      </c>
      <c r="J1724" s="21">
        <f>IF(H1724=0,0,I1724/H1724)</f>
        <v/>
      </c>
    </row>
    <row r="1725">
      <c r="A1725" s="17" t="inlineStr">
        <is>
          <t>Ryobi</t>
        </is>
      </c>
      <c r="B1725" s="17" t="inlineStr">
        <is>
          <t>Terminé</t>
        </is>
      </c>
      <c r="C1725" s="17" t="inlineStr">
        <is>
          <t>Ryobi</t>
        </is>
      </c>
      <c r="D1725" s="17" t="inlineStr">
        <is>
          <t>Outils de bricolage, batteries et rangement</t>
        </is>
      </c>
      <c r="E1725" s="18" t="inlineStr">
        <is>
          <t>Batteries et chargeurs 18V ONE+ - Ryobi</t>
        </is>
      </c>
      <c r="F1725" s="17" t="inlineStr">
        <is>
          <t>Batteries lithium et chargeurs compatibles avec tous les outils électroportatifs 18V ONE+ Ryobi : une même batterie pour la perceuse, la tondeuse et l’aspirateur.</t>
        </is>
      </c>
      <c r="G1725" s="19" t="inlineStr">
        <is>
          <t>https://fr.ryobitools.eu/batteries-chargeurs/?utm_source=lemrock&amp;utm_medium=cpc&amp;utm_campaign=RYOBI_LEMROCK</t>
        </is>
      </c>
      <c r="H1725" s="20" t="n">
        <v>3815</v>
      </c>
      <c r="I1725" s="20" t="n">
        <v>29</v>
      </c>
      <c r="J1725" s="21">
        <f>IF(H1725=0,0,I1725/H1725)</f>
        <v/>
      </c>
    </row>
    <row r="1726">
      <c r="A1726" s="17" t="inlineStr">
        <is>
          <t>Ryobi</t>
        </is>
      </c>
      <c r="B1726" s="17" t="inlineStr">
        <is>
          <t>Terminé</t>
        </is>
      </c>
      <c r="C1726" s="17" t="inlineStr">
        <is>
          <t>Ryobi</t>
        </is>
      </c>
      <c r="D1726" s="17" t="inlineStr">
        <is>
          <t>Aspirateurs et nettoyeurs haute pression</t>
        </is>
      </c>
      <c r="E1726" s="18" t="inlineStr">
        <is>
          <t>Nettoyeurs haute pression électriques - Ryobi</t>
        </is>
      </c>
      <c r="F1726" s="17" t="inlineStr">
        <is>
          <t>Nettoyeurs haute pression électriques Ryobi pour terrasses, voitures et allées : ils décollent salissures, taches et mousse, avec accessoires et détergents compatibles.</t>
        </is>
      </c>
      <c r="G1726" s="19" t="inlineStr">
        <is>
          <t>https://fr.ryobitools.eu/product-focus-fr/nettoyeurs-haute-pression/?utm_source=lemrock&amp;utm_medium=cpc&amp;utm_campaign=RYOBI_LEMROCK</t>
        </is>
      </c>
      <c r="H1726" s="20" t="n">
        <v>3786</v>
      </c>
      <c r="I1726" s="20" t="n">
        <v>26</v>
      </c>
      <c r="J1726" s="21">
        <f>IF(H1726=0,0,I1726/H1726)</f>
        <v/>
      </c>
    </row>
    <row r="1727">
      <c r="A1727" s="17" t="inlineStr">
        <is>
          <t>Ryobi</t>
        </is>
      </c>
      <c r="B1727" s="17" t="inlineStr">
        <is>
          <t>Terminé</t>
        </is>
      </c>
      <c r="C1727" s="17" t="inlineStr">
        <is>
          <t>Ryobi</t>
        </is>
      </c>
      <c r="D1727" s="17" t="inlineStr">
        <is>
          <t>Aspirateurs et nettoyeurs haute pression</t>
        </is>
      </c>
      <c r="E1727" s="18" t="inlineStr">
        <is>
          <t>Aspirateurs et outils de nettoyage - Ryobi</t>
        </is>
      </c>
      <c r="F1727" s="17" t="inlineStr">
        <is>
          <t>Aspirateurs sans fil et outils de nettoyage intérieur-extérieur Ryobi pour l’atelier, la voiture et la maison, tous alimentés par la batterie 18V ONE+.</t>
        </is>
      </c>
      <c r="G1727" s="19" t="inlineStr">
        <is>
          <t>https://fr.ryobitools.eu/nettoyage/?utm_source=lemrock&amp;utm_medium=cpc&amp;utm_campaign=RYOBI_LEMROCK</t>
        </is>
      </c>
      <c r="H1727" s="20" t="n">
        <v>3712</v>
      </c>
      <c r="I1727" s="20" t="n">
        <v>20</v>
      </c>
      <c r="J1727" s="21">
        <f>IF(H1727=0,0,I1727/H1727)</f>
        <v/>
      </c>
    </row>
    <row r="1728">
      <c r="A1728" s="17" t="inlineStr">
        <is>
          <t>Ryobi</t>
        </is>
      </c>
      <c r="B1728" s="17" t="inlineStr">
        <is>
          <t>Terminé</t>
        </is>
      </c>
      <c r="C1728" s="17" t="inlineStr">
        <is>
          <t>Ryobi</t>
        </is>
      </c>
      <c r="D1728" s="17" t="inlineStr">
        <is>
          <t>Outils manuels, matériel et équipement de protection</t>
        </is>
      </c>
      <c r="E1728" s="18" t="inlineStr">
        <is>
          <t>Pince multiprise à verouillage 250 mm | Ryobi</t>
        </is>
      </c>
      <c r="F1728" s="17" t="inlineStr">
        <is>
          <t>Manipulez avec précision grâce à nos pinces professionnelles spécialisées. Outillage robuste pour électricité, plomberie et travaux de mécanique fine.</t>
        </is>
      </c>
      <c r="G1728" s="19" t="inlineStr">
        <is>
          <t>https://action.metaffiliation.com/trk.php?mclic=P513ABF5874B115S1UA413adf0879V4</t>
        </is>
      </c>
      <c r="H1728" s="20" t="n">
        <v>1917</v>
      </c>
      <c r="I1728" s="20" t="n">
        <v>11</v>
      </c>
      <c r="J1728" s="21">
        <f>IF(H1728=0,0,I1728/H1728)</f>
        <v/>
      </c>
    </row>
    <row r="1729">
      <c r="A1729" s="17" t="inlineStr">
        <is>
          <t>Ryobi</t>
        </is>
      </c>
      <c r="B1729" s="17" t="inlineStr">
        <is>
          <t>Terminé</t>
        </is>
      </c>
      <c r="C1729" s="17" t="inlineStr">
        <is>
          <t>Ryobi</t>
        </is>
      </c>
      <c r="D1729" s="17" t="inlineStr">
        <is>
          <t>Outils manuels, matériel et équipement de protection</t>
        </is>
      </c>
      <c r="E1729" s="18" t="inlineStr">
        <is>
          <t>Gants anti-coupures 24 m/s (catégorie 2) pour tronçonneuses</t>
        </is>
      </c>
      <c r="F1729" s="17" t="inlineStr">
        <is>
          <t>Pour protéger vos mains contre les agressions et le risque d</t>
        </is>
      </c>
      <c r="G1729" s="19" t="inlineStr">
        <is>
          <t>https://action.metaffiliation.com/trk.php?mclic=P513ABF5874B115S1U9413adf072V4</t>
        </is>
      </c>
      <c r="H1729" s="20" t="n">
        <v>1730</v>
      </c>
      <c r="I1729" s="20" t="n">
        <v>3</v>
      </c>
      <c r="J1729" s="21">
        <f>IF(H1729=0,0,I1729/H1729)</f>
        <v/>
      </c>
    </row>
    <row r="1730">
      <c r="A1730" s="17" t="inlineStr">
        <is>
          <t>Ryobi</t>
        </is>
      </c>
      <c r="B1730" s="17" t="inlineStr">
        <is>
          <t>Terminé</t>
        </is>
      </c>
      <c r="C1730" s="17" t="inlineStr">
        <is>
          <t>Ryobi</t>
        </is>
      </c>
      <c r="D1730" s="17" t="inlineStr">
        <is>
          <t>Outils électroportatifs</t>
        </is>
      </c>
      <c r="E1730" s="18" t="inlineStr">
        <is>
          <t>Boulonneuse à chocs sans fil 18V ONE+™ RYOBI | RIW18CBL-0</t>
        </is>
      </c>
      <c r="F1730" s="17" t="inlineStr">
        <is>
          <t>Boulonneuse à chocs sans fil 18V ONE+™ Brushless | Idéale pour serrer ou desserrer facilement des fixations résistantes. Acheter en ligne aujourd</t>
        </is>
      </c>
      <c r="G1730" s="19" t="inlineStr">
        <is>
          <t>https://action.metaffiliation.com/trk.php?mclic=P513ABF5874B115S1UA413adf0738V4</t>
        </is>
      </c>
      <c r="H1730" s="20" t="n">
        <v>1668</v>
      </c>
      <c r="I1730" s="20" t="n">
        <v>8</v>
      </c>
      <c r="J1730" s="21">
        <f>IF(H1730=0,0,I1730/H1730)</f>
        <v/>
      </c>
    </row>
    <row r="1731">
      <c r="A1731" s="17" t="inlineStr">
        <is>
          <t>Ryobi</t>
        </is>
      </c>
      <c r="B1731" s="17" t="inlineStr">
        <is>
          <t>Terminé</t>
        </is>
      </c>
      <c r="C1731" s="17" t="inlineStr">
        <is>
          <t>Ryobi</t>
        </is>
      </c>
      <c r="D1731" s="17" t="inlineStr">
        <is>
          <t>Outils manuels, matériel et équipement de protection</t>
        </is>
      </c>
      <c r="E1731" s="18" t="inlineStr">
        <is>
          <t>Marteau à griffes courbées en acier de 450 g | Ryobi</t>
        </is>
      </c>
      <c r="F1731" s="17" t="inlineStr">
        <is>
          <t>Assemblez et démolissez avec précision grâce à nos marteaux professionnels manuels. Outils robustes &amp; ergonomiques pour vos travaux de construction.</t>
        </is>
      </c>
      <c r="G1731" s="19" t="inlineStr">
        <is>
          <t>https://action.metaffiliation.com/trk.php?mclic=P513ABF5874B115S1UA413adf0798V4</t>
        </is>
      </c>
      <c r="H1731" s="20" t="n">
        <v>1648</v>
      </c>
      <c r="I1731" s="20" t="n">
        <v>7</v>
      </c>
      <c r="J1731" s="21">
        <f>IF(H1731=0,0,I1731/H1731)</f>
        <v/>
      </c>
    </row>
    <row r="1732">
      <c r="A1732" s="17" t="inlineStr">
        <is>
          <t>Ryobi</t>
        </is>
      </c>
      <c r="B1732" s="17" t="inlineStr">
        <is>
          <t>Terminé</t>
        </is>
      </c>
      <c r="C1732" s="17" t="inlineStr">
        <is>
          <t>Ryobi</t>
        </is>
      </c>
      <c r="D1732" s="17" t="inlineStr">
        <is>
          <t>Outils de jardin motorisés</t>
        </is>
      </c>
      <c r="E1732" s="18" t="inlineStr">
        <is>
          <t>Tondeuse tractée Brushless 36V MAX POWER - 53 cm (1 x 6,0</t>
        </is>
      </c>
      <c r="F1732" s="17" t="inlineStr">
        <is>
          <t>Optez pour nos tondeuses à gazon performantes pour un confort optimal garanti. Tonte facile et soignée de pelouses de taille moyenne.</t>
        </is>
      </c>
      <c r="G1732" s="19" t="inlineStr">
        <is>
          <t>https://action.metaffiliation.com/trk.php?mclic=P513ABF5874B115S1UA413adf0304V4</t>
        </is>
      </c>
      <c r="H1732" s="20" t="n">
        <v>1621</v>
      </c>
      <c r="I1732" s="20" t="n">
        <v>13</v>
      </c>
      <c r="J1732" s="21">
        <f>IF(H1732=0,0,I1732/H1732)</f>
        <v/>
      </c>
    </row>
    <row r="1733">
      <c r="A1733" s="17" t="inlineStr">
        <is>
          <t>Ryobi</t>
        </is>
      </c>
      <c r="B1733" s="17" t="inlineStr">
        <is>
          <t>Terminé</t>
        </is>
      </c>
      <c r="C1733" s="17" t="inlineStr">
        <is>
          <t>Ryobi</t>
        </is>
      </c>
      <c r="D1733" s="17" t="inlineStr">
        <is>
          <t>Outils électroportatifs</t>
        </is>
      </c>
      <c r="E1733" s="18" t="inlineStr">
        <is>
          <t>Laser 360° vert | Ryobi</t>
        </is>
      </c>
      <c r="F1733" s="17" t="inlineStr">
        <is>
          <t>Découvrez notre gamme complète d’outils portatifs de bricolage 18V ONE+™. Perceuses, scies et équipements pour tous projets créatifs et de rénovation.</t>
        </is>
      </c>
      <c r="G1733" s="19" t="inlineStr">
        <is>
          <t>https://action.metaffiliation.com/trk.php?mclic=P513ABF5874B115S1UA413adf0781V4</t>
        </is>
      </c>
      <c r="H1733" s="20" t="n">
        <v>1552</v>
      </c>
      <c r="I1733" s="20" t="n">
        <v>8</v>
      </c>
      <c r="J1733" s="21">
        <f>IF(H1733=0,0,I1733/H1733)</f>
        <v/>
      </c>
    </row>
    <row r="1734">
      <c r="A1734" s="17" t="inlineStr">
        <is>
          <t>Ryobi</t>
        </is>
      </c>
      <c r="B1734" s="17" t="inlineStr">
        <is>
          <t>Terminé</t>
        </is>
      </c>
      <c r="C1734" s="17" t="inlineStr">
        <is>
          <t>Ryobi</t>
        </is>
      </c>
      <c r="D1734" s="17" t="inlineStr">
        <is>
          <t>Outils électroportatifs</t>
        </is>
      </c>
      <c r="E1734" s="18" t="inlineStr">
        <is>
          <t>Aspirateur balai 18V ONE+™ brushless | RYOBI |</t>
        </is>
      </c>
      <c r="F1734" s="17" t="inlineStr">
        <is>
          <t>Aspirateur balai 18V ONE+™ brushless | Idéal pour aspirer la saleté et les débris sur les tapis, les moquettes et les sols de la maison. Profitez en dès maintenant</t>
        </is>
      </c>
      <c r="G1734" s="19" t="inlineStr">
        <is>
          <t>https://action.metaffiliation.com/trk.php?mclic=P513ABF5874B115S1U9413adf035V4</t>
        </is>
      </c>
      <c r="H1734" s="20" t="n">
        <v>1529</v>
      </c>
      <c r="I1734" s="20" t="n">
        <v>6</v>
      </c>
      <c r="J1734" s="21">
        <f>IF(H1734=0,0,I1734/H1734)</f>
        <v/>
      </c>
    </row>
    <row r="1735">
      <c r="A1735" s="17" t="inlineStr">
        <is>
          <t>Ryobi</t>
        </is>
      </c>
      <c r="B1735" s="17" t="inlineStr">
        <is>
          <t>Terminé</t>
        </is>
      </c>
      <c r="C1735" s="17" t="inlineStr">
        <is>
          <t>Ryobi</t>
        </is>
      </c>
      <c r="D1735" s="17" t="inlineStr">
        <is>
          <t>Outils manuels, matériel et équipement de protection</t>
        </is>
      </c>
      <c r="E1735" s="18" t="inlineStr">
        <is>
          <t>Lampe flexible à pince 18V ONE+™ (Vendue sans batterie ni</t>
        </is>
      </c>
      <c r="F1735" s="17" t="inlineStr">
        <is>
          <t>Nos outils d</t>
        </is>
      </c>
      <c r="G1735" s="19" t="inlineStr">
        <is>
          <t>https://action.metaffiliation.com/trk.php?mclic=P513ABF5874B115S1UA413adf0913V4</t>
        </is>
      </c>
      <c r="H1735" s="20" t="n">
        <v>1526</v>
      </c>
      <c r="I1735" s="20" t="n">
        <v>3</v>
      </c>
      <c r="J1735" s="21">
        <f>IF(H1735=0,0,I1735/H1735)</f>
        <v/>
      </c>
    </row>
    <row r="1736">
      <c r="A1736" s="17" t="inlineStr">
        <is>
          <t>Ryobi</t>
        </is>
      </c>
      <c r="B1736" s="17" t="inlineStr">
        <is>
          <t>Terminé</t>
        </is>
      </c>
      <c r="C1736" s="17" t="inlineStr">
        <is>
          <t>Ryobi</t>
        </is>
      </c>
      <c r="D1736" s="17" t="inlineStr">
        <is>
          <t>Outils électroportatifs</t>
        </is>
      </c>
      <c r="E1736" s="18" t="inlineStr">
        <is>
          <t>Perceuse-visseuse à percussion 2 vitesses 18V ONE+™ (Vendue</t>
        </is>
      </c>
      <c r="F1736" s="17" t="inlineStr">
        <is>
          <t>Percez maçonnerie et béton avec nos perceuses à percussion puissantes. Force de frappe adaptée pour chevilles et perçages dans les matériaux durs.</t>
        </is>
      </c>
      <c r="G1736" s="19" t="inlineStr">
        <is>
          <t>https://action.metaffiliation.com/trk.php?mclic=P513ABF5874B115S1UA413adf0552V4</t>
        </is>
      </c>
      <c r="H1736" s="20" t="n">
        <v>1520</v>
      </c>
      <c r="I1736" s="20" t="n">
        <v>8</v>
      </c>
      <c r="J1736" s="21">
        <f>IF(H1736=0,0,I1736/H1736)</f>
        <v/>
      </c>
    </row>
    <row r="1737">
      <c r="A1737" s="17" t="inlineStr">
        <is>
          <t>Ryobi</t>
        </is>
      </c>
      <c r="B1737" s="17" t="inlineStr">
        <is>
          <t>Terminé</t>
        </is>
      </c>
      <c r="C1737" s="17" t="inlineStr">
        <is>
          <t>Ryobi</t>
        </is>
      </c>
      <c r="D1737" s="17" t="inlineStr">
        <is>
          <t>Outils de jardin motorisés</t>
        </is>
      </c>
      <c r="E1737" s="18" t="inlineStr">
        <is>
          <t>Coupe-bordures / Dresse-bordures 18V ONE+™ - 25/30 cm (1 x</t>
        </is>
      </c>
      <c r="F1737" s="17" t="inlineStr">
        <is>
          <t>Soignez les finitions de votre pelouse avec nos coupe-bordures 18V ONE+™ sans fil performants. Bordures nettes le long des allées, murs et massifs.</t>
        </is>
      </c>
      <c r="G1737" s="19" t="inlineStr">
        <is>
          <t>https://action.metaffiliation.com/trk.php?mclic=P513ABF5874B115S1UA413adf0228V4</t>
        </is>
      </c>
      <c r="H1737" s="20" t="n">
        <v>1512</v>
      </c>
      <c r="I1737" s="20" t="n">
        <v>5</v>
      </c>
      <c r="J1737" s="21">
        <f>IF(H1737=0,0,I1737/H1737)</f>
        <v/>
      </c>
    </row>
    <row r="1738">
      <c r="A1738" s="17" t="inlineStr">
        <is>
          <t>Ryobi</t>
        </is>
      </c>
      <c r="B1738" s="17" t="inlineStr">
        <is>
          <t>Terminé</t>
        </is>
      </c>
      <c r="C1738" s="17" t="inlineStr">
        <is>
          <t>Ryobi</t>
        </is>
      </c>
      <c r="D1738" s="17" t="inlineStr">
        <is>
          <t>Outils de jardin motorisés</t>
        </is>
      </c>
      <c r="E1738" s="18" t="inlineStr">
        <is>
          <t>Taille-haies LINEA 18V ONE+™ - 45 cm (1 x 2,0 Ah) | Ryobi</t>
        </is>
      </c>
      <c r="F1738" s="17" t="inlineStr">
        <is>
          <t>Découvrez notre sélection de taille-haies Ryobi ainsi que notre gamme complète d</t>
        </is>
      </c>
      <c r="G1738" s="19" t="inlineStr">
        <is>
          <t>https://action.metaffiliation.com/trk.php?mclic=P513ABF5874B115S1UA413adf0272V4</t>
        </is>
      </c>
      <c r="H1738" s="20" t="n">
        <v>1497</v>
      </c>
      <c r="I1738" s="20" t="n">
        <v>7</v>
      </c>
      <c r="J1738" s="21">
        <f>IF(H1738=0,0,I1738/H1738)</f>
        <v/>
      </c>
    </row>
    <row r="1739">
      <c r="A1739" s="17" t="inlineStr">
        <is>
          <t>Ryobi</t>
        </is>
      </c>
      <c r="B1739" s="17" t="inlineStr">
        <is>
          <t>Terminé</t>
        </is>
      </c>
      <c r="C1739" s="17" t="inlineStr">
        <is>
          <t>Ryobi</t>
        </is>
      </c>
      <c r="D1739" s="17" t="inlineStr">
        <is>
          <t>Outils manuels, matériel et équipement de protection</t>
        </is>
      </c>
      <c r="E1739" s="18" t="inlineStr">
        <is>
          <t>Jeu de tournevis magnétiques 6 pièces | Ryobi</t>
        </is>
      </c>
      <c r="F1739" s="17" t="inlineStr">
        <is>
          <t>Vissez avec précision grâce à nos tournevis de qualité professionnelle. Un outillage de base indispensable pour bricolage et réparations du quotidien.</t>
        </is>
      </c>
      <c r="G1739" s="19" t="inlineStr">
        <is>
          <t>https://action.metaffiliation.com/trk.php?mclic=P513ABF5874B115S1UA413adf0642V4</t>
        </is>
      </c>
      <c r="H1739" s="20" t="n">
        <v>1468</v>
      </c>
      <c r="I1739" s="20" t="n">
        <v>3</v>
      </c>
      <c r="J1739" s="21">
        <f>IF(H1739=0,0,I1739/H1739)</f>
        <v/>
      </c>
    </row>
    <row r="1740">
      <c r="A1740" s="17" t="inlineStr">
        <is>
          <t>Ryobi</t>
        </is>
      </c>
      <c r="B1740" s="17" t="inlineStr">
        <is>
          <t>Terminé</t>
        </is>
      </c>
      <c r="C1740" s="17" t="inlineStr">
        <is>
          <t>Ryobi</t>
        </is>
      </c>
      <c r="D1740" s="17" t="inlineStr">
        <is>
          <t>Outils électroportatifs</t>
        </is>
      </c>
      <c r="E1740" s="18" t="inlineStr">
        <is>
          <t>Scie à Coupe d'Onglet Radiale filaire 2000 W | Outils</t>
        </is>
      </c>
      <c r="F1740" s="17" t="inlineStr">
        <is>
          <t>Découvrez nos outils électriques performants et compacts tels que la scie à coupe d</t>
        </is>
      </c>
      <c r="G1740" s="19" t="inlineStr">
        <is>
          <t>https://action.metaffiliation.com/trk.php?mclic=P513ABF5874B115S1UA413adf0688V4</t>
        </is>
      </c>
      <c r="H1740" s="20" t="n">
        <v>1456</v>
      </c>
      <c r="I1740" s="20" t="n">
        <v>8</v>
      </c>
      <c r="J1740" s="21">
        <f>IF(H1740=0,0,I1740/H1740)</f>
        <v/>
      </c>
    </row>
    <row r="1741">
      <c r="A1741" s="17" t="inlineStr">
        <is>
          <t>Ryobi</t>
        </is>
      </c>
      <c r="B1741" s="17" t="inlineStr">
        <is>
          <t>Terminé</t>
        </is>
      </c>
      <c r="C1741" s="17" t="inlineStr">
        <is>
          <t>Ryobi</t>
        </is>
      </c>
      <c r="D1741" s="17" t="inlineStr">
        <is>
          <t>Outils électroportatifs</t>
        </is>
      </c>
      <c r="E1741" s="18" t="inlineStr">
        <is>
          <t>Kit pour tournevis 4V USB Lithium (1x 2,0 Ah) | RYOBI |</t>
        </is>
      </c>
      <c r="F1741" s="17" t="inlineStr">
        <is>
          <t>Kit pour tournevis 4V USB Lithium (1x 2,0 Ah) | Idéal pour assembler des meubles et effectuer d</t>
        </is>
      </c>
      <c r="G1741" s="19" t="inlineStr">
        <is>
          <t>https://action.metaffiliation.com/trk.php?mclic=P513ABF5874B115S1UA413adf0318V4</t>
        </is>
      </c>
      <c r="H1741" s="20" t="n">
        <v>1440</v>
      </c>
      <c r="I1741" s="20" t="n">
        <v>10</v>
      </c>
      <c r="J1741" s="21">
        <f>IF(H1741=0,0,I1741/H1741)</f>
        <v/>
      </c>
    </row>
    <row r="1742">
      <c r="A1742" s="17" t="inlineStr">
        <is>
          <t>Ryobi</t>
        </is>
      </c>
      <c r="B1742" s="17" t="inlineStr">
        <is>
          <t>Terminé</t>
        </is>
      </c>
      <c r="C1742" s="17" t="inlineStr">
        <is>
          <t>Ryobi</t>
        </is>
      </c>
      <c r="D1742" s="17" t="inlineStr">
        <is>
          <t>Outils de jardin motorisés</t>
        </is>
      </c>
      <c r="E1742" s="18" t="inlineStr">
        <is>
          <t>Pistolet à pression 18V ONE+™ (1 x 2,5 Ah) | Ryobi</t>
        </is>
      </c>
      <c r="F1742" s="17" t="inlineStr">
        <is>
          <t>Grâce à leur jet puissant, les nettoyeurs haute pression Ryobi peuvent retirer les saletés et taches sur vos terrasses. Ils vous permettent aussi de nettoyer votre voiture, votre</t>
        </is>
      </c>
      <c r="G1742" s="19" t="inlineStr">
        <is>
          <t>https://action.metaffiliation.com/trk.php?mclic=P513ABF5874B115S1UA413adf0423V4</t>
        </is>
      </c>
      <c r="H1742" s="20" t="n">
        <v>1438</v>
      </c>
      <c r="I1742" s="20" t="n">
        <v>10</v>
      </c>
      <c r="J1742" s="21">
        <f>IF(H1742=0,0,I1742/H1742)</f>
        <v/>
      </c>
    </row>
    <row r="1743">
      <c r="A1743" s="17" t="inlineStr">
        <is>
          <t>Ryobi</t>
        </is>
      </c>
      <c r="B1743" s="17" t="inlineStr">
        <is>
          <t>Terminé</t>
        </is>
      </c>
      <c r="C1743" s="17" t="inlineStr">
        <is>
          <t>Ryobi</t>
        </is>
      </c>
      <c r="D1743" s="17" t="inlineStr">
        <is>
          <t>Outils de jardin motorisés</t>
        </is>
      </c>
      <c r="E1743" s="18" t="inlineStr">
        <is>
          <t>Souffleur Turbo Jet 18V ONE+™ (vendu sans batterie ni</t>
        </is>
      </c>
      <c r="F1743" s="17" t="inlineStr">
        <is>
          <t>Découvrez notre sélection de Souffleurs Ryobi ainsi que notre gamme complète d</t>
        </is>
      </c>
      <c r="G1743" s="19" t="inlineStr">
        <is>
          <t>https://action.metaffiliation.com/trk.php?mclic=P513ABF5874B115S1UA413adf0202V4</t>
        </is>
      </c>
      <c r="H1743" s="20" t="n">
        <v>1437</v>
      </c>
      <c r="I1743" s="20" t="n">
        <v>8</v>
      </c>
      <c r="J1743" s="21">
        <f>IF(H1743=0,0,I1743/H1743)</f>
        <v/>
      </c>
    </row>
    <row r="1744">
      <c r="A1744" s="17" t="inlineStr">
        <is>
          <t>Ryobi</t>
        </is>
      </c>
      <c r="B1744" s="17" t="inlineStr">
        <is>
          <t>Terminé</t>
        </is>
      </c>
      <c r="C1744" s="17" t="inlineStr">
        <is>
          <t>Ryobi</t>
        </is>
      </c>
      <c r="D1744" s="17" t="inlineStr">
        <is>
          <t>Outils électroportatifs</t>
        </is>
      </c>
      <c r="E1744" s="18" t="inlineStr">
        <is>
          <t>Scie sabre Brushless 18V ONE+™ HP™ Performance (Vendue sans</t>
        </is>
      </c>
      <c r="F1744" s="17" t="inlineStr">
        <is>
          <t>Démolissez efficacement avec nos scies sabres sans fil à mouvement pendulaire. Puissance extrême pour cloisons, bois épais, métaux et tuyauteries.</t>
        </is>
      </c>
      <c r="G1744" s="19" t="inlineStr">
        <is>
          <t>https://action.metaffiliation.com/trk.php?mclic=P513ABF5874B115S1UA413adf0489V4</t>
        </is>
      </c>
      <c r="H1744" s="20" t="n">
        <v>1432</v>
      </c>
      <c r="I1744" s="20" t="n">
        <v>9</v>
      </c>
      <c r="J1744" s="21">
        <f>IF(H1744=0,0,I1744/H1744)</f>
        <v/>
      </c>
    </row>
    <row r="1745">
      <c r="A1745" s="17" t="inlineStr">
        <is>
          <t>Iopole</t>
        </is>
      </c>
      <c r="B1745" s="17" t="inlineStr">
        <is>
          <t>Terminé</t>
        </is>
      </c>
      <c r="C1745" s="17" t="inlineStr">
        <is>
          <t>Iopole 2 Noto</t>
        </is>
      </c>
      <c r="D1745" s="17" t="inlineStr">
        <is>
          <t>Tax Preparation Services</t>
        </is>
      </c>
      <c r="E1745" s="18" t="inlineStr">
        <is>
          <t>E-reporting et facturation électronique - Iopole</t>
        </is>
      </c>
      <c r="F1745" s="17" t="inlineStr">
        <is>
          <t>Le guide Iopole détaille le Flux 10 de l’e-reporting : périmètre B2C, transactions internationales et données de paiement, face au e-invoicing.</t>
        </is>
      </c>
      <c r="G1745" s="19" t="inlineStr">
        <is>
          <t>https://www.iopole.com/post/e-reporting?utm_medium=cpc&amp;utm_source=lemrock&amp;utm_campaign=lemrock%20ressources%20q3%2026</t>
        </is>
      </c>
      <c r="H1745" s="20" t="n">
        <v>116698</v>
      </c>
      <c r="I1745" s="20" t="n">
        <v>306</v>
      </c>
      <c r="J1745" s="21">
        <f>IF(H1745=0,0,I1745/H1745)</f>
        <v/>
      </c>
    </row>
    <row r="1746">
      <c r="A1746" s="17" t="inlineStr">
        <is>
          <t>Iopole</t>
        </is>
      </c>
      <c r="B1746" s="17" t="inlineStr">
        <is>
          <t>Terminé</t>
        </is>
      </c>
      <c r="C1746" s="17" t="inlineStr">
        <is>
          <t>Iopole 2 Ventes</t>
        </is>
      </c>
      <c r="D1746" s="17" t="inlineStr">
        <is>
          <t>Iopole</t>
        </is>
      </c>
      <c r="E1746" s="18" t="inlineStr">
        <is>
          <t>IOPOLE : Facturation électronique par API</t>
        </is>
      </c>
      <c r="F1746" s="17" t="inlineStr">
        <is>
          <t>Intégrez simplement la facturation électronique via API 🔗 conforme 2026. Sandbox gratuite, PAS &amp; Peppol inclus. Iopole gère le réglementaire.</t>
        </is>
      </c>
      <c r="G1746" s="19" t="inlineStr">
        <is>
          <t>https://www.iopole.com/?utm_medium=cpc&amp;utm_source=lemrock&amp;utm_campaign=lemrock%20conversion%20q3%2026</t>
        </is>
      </c>
      <c r="H1746" s="20" t="n">
        <v>99969</v>
      </c>
      <c r="I1746" s="20" t="n">
        <v>493</v>
      </c>
      <c r="J1746" s="21">
        <f>IF(H1746=0,0,I1746/H1746)</f>
        <v/>
      </c>
    </row>
    <row r="1747">
      <c r="A1747" s="17" t="inlineStr">
        <is>
          <t>Iopole</t>
        </is>
      </c>
      <c r="B1747" s="17" t="inlineStr">
        <is>
          <t>Terminé</t>
        </is>
      </c>
      <c r="C1747" s="17" t="inlineStr">
        <is>
          <t>Iopole 2 Noto</t>
        </is>
      </c>
      <c r="D1747" s="17" t="inlineStr">
        <is>
          <t>Iopole</t>
        </is>
      </c>
      <c r="E1747" s="18" t="inlineStr">
        <is>
          <t>Iopole | API de facturation électronique pour éditeurs</t>
        </is>
      </c>
      <c r="F1747" s="17" t="inlineStr">
        <is>
          <t>Replay du webinaire Iopole x DGFiP : calendrier, obligations et plateformes agréées. Tout sur la réforme de facturation électronique.</t>
        </is>
      </c>
      <c r="G1747" s="19" t="inlineStr">
        <is>
          <t>https://www.iopole.com/post/french-e-invoicing-reform-webinar-replay-dgfip?utm_medium=cpc&amp;utm_source=lemrock&amp;utm_campaign=lemrock%20ressources%20q3%2027</t>
        </is>
      </c>
      <c r="H1747" s="20" t="n">
        <v>73907</v>
      </c>
      <c r="I1747" s="20" t="n">
        <v>333</v>
      </c>
      <c r="J1747" s="21">
        <f>IF(H1747=0,0,I1747/H1747)</f>
        <v/>
      </c>
    </row>
    <row r="1748">
      <c r="A1748" s="17" t="inlineStr">
        <is>
          <t>Iopole</t>
        </is>
      </c>
      <c r="B1748" s="17" t="inlineStr">
        <is>
          <t>Terminé</t>
        </is>
      </c>
      <c r="C1748" s="17" t="inlineStr">
        <is>
          <t>Iopole 2 Ventes</t>
        </is>
      </c>
      <c r="D1748" s="17" t="inlineStr">
        <is>
          <t>Enterprise Computer Software</t>
        </is>
      </c>
      <c r="E1748" s="18" t="inlineStr">
        <is>
          <t>Logiciel de facturation électronique - Iopole</t>
        </is>
      </c>
      <c r="F1748" s="17" t="inlineStr">
        <is>
          <t>L’API Iopole branche la facturation électronique sur votre produit : conformité 2026, sandbox gratuite, PAS et Peppol inclus, réglementaire pris en charge.</t>
        </is>
      </c>
      <c r="G1748" s="19" t="inlineStr">
        <is>
          <t>https://www.iopole.com/?utm_medium=cpc&amp;utm_source=lemrock&amp;utm_campaign=lemrock%20conversion%20q3%2026</t>
        </is>
      </c>
      <c r="H1748" s="20" t="n">
        <v>71487</v>
      </c>
      <c r="I1748" s="20" t="n">
        <v>392</v>
      </c>
      <c r="J1748" s="21">
        <f>IF(H1748=0,0,I1748/H1748)</f>
        <v/>
      </c>
    </row>
    <row r="1749">
      <c r="A1749" s="17" t="inlineStr">
        <is>
          <t>Iopole</t>
        </is>
      </c>
      <c r="B1749" s="17" t="inlineStr">
        <is>
          <t>Terminé</t>
        </is>
      </c>
      <c r="C1749" s="17" t="inlineStr">
        <is>
          <t>Iopole 2 Noto</t>
        </is>
      </c>
      <c r="D1749" s="17" t="inlineStr">
        <is>
          <t>Iopole</t>
        </is>
      </c>
      <c r="E1749" s="18" t="inlineStr">
        <is>
          <t>Iopole | API de facturation électronique pour éditeurs</t>
        </is>
      </c>
      <c r="F1749" s="17" t="inlineStr">
        <is>
          <t>Guide technique et métier : e-reporting et le Flux 10 : périmètre B2C, transactions internationales et données de paiement. Différences avec le e-invoicing</t>
        </is>
      </c>
      <c r="G1749" s="19" t="inlineStr">
        <is>
          <t>https://www.iopole.com/post/e-reporting?utm_medium=cpc&amp;utm_source=lemrock&amp;utm_campaign=lemrock%20ressources%20q3%2026</t>
        </is>
      </c>
      <c r="H1749" s="20" t="n">
        <v>68003</v>
      </c>
      <c r="I1749" s="20" t="n">
        <v>356</v>
      </c>
      <c r="J1749" s="21">
        <f>IF(H1749=0,0,I1749/H1749)</f>
        <v/>
      </c>
    </row>
    <row r="1750">
      <c r="A1750" s="17" t="inlineStr">
        <is>
          <t>Iopole</t>
        </is>
      </c>
      <c r="B1750" s="17" t="inlineStr">
        <is>
          <t>Terminé</t>
        </is>
      </c>
      <c r="C1750" s="17" t="inlineStr">
        <is>
          <t>Iopole 2 Noto</t>
        </is>
      </c>
      <c r="D1750" s="17" t="inlineStr">
        <is>
          <t>Iopole</t>
        </is>
      </c>
      <c r="E1750" s="18" t="inlineStr">
        <is>
          <t>Iopole | API de facturation électronique pour éditeurs</t>
        </is>
      </c>
      <c r="F1750" s="17" t="inlineStr">
        <is>
          <t>Découvrez le guide Archimag sur les plateformes agréées de facturation électronique : critères clés, comparatifs et conseils pour réussir votre transition</t>
        </is>
      </c>
      <c r="G1750" s="19" t="inlineStr">
        <is>
          <t>https://www.iopole.com/post/guide-plateformes-agrees?utm_medium=cpc&amp;utm_source=lemrock&amp;utm_campaign=lemrock%20ressources%20q3%2028</t>
        </is>
      </c>
      <c r="H1750" s="20" t="n">
        <v>67888</v>
      </c>
      <c r="I1750" s="20" t="n">
        <v>355</v>
      </c>
      <c r="J1750" s="21">
        <f>IF(H1750=0,0,I1750/H1750)</f>
        <v/>
      </c>
    </row>
    <row r="1751">
      <c r="A1751" s="17" t="inlineStr">
        <is>
          <t>Iopole</t>
        </is>
      </c>
      <c r="B1751" s="17" t="inlineStr">
        <is>
          <t>Terminé</t>
        </is>
      </c>
      <c r="C1751" s="17" t="inlineStr">
        <is>
          <t>Iopole 2 Ventes</t>
        </is>
      </c>
      <c r="D1751" s="17" t="inlineStr">
        <is>
          <t>Enterprise Computer Software</t>
        </is>
      </c>
      <c r="E1751" s="18" t="inlineStr">
        <is>
          <t>Facturation électronique et e-reporting - Iopole</t>
        </is>
      </c>
      <c r="F1751" s="17" t="inlineStr">
        <is>
          <t>Le guide Archimag des plateformes agréées de facturation électronique : critères de choix, comparatifs et conseils pour réussir votre transition.</t>
        </is>
      </c>
      <c r="G1751" s="19" t="inlineStr">
        <is>
          <t>https://www.iopole.com/post/guide-plateformes-agrees?utm_medium=cpc&amp;utm_source=lemrock&amp;utm_campaign=lemrock%20ressources%20q3%2028</t>
        </is>
      </c>
      <c r="H1751" s="20" t="n">
        <v>55302</v>
      </c>
      <c r="I1751" s="20" t="n">
        <v>254</v>
      </c>
      <c r="J1751" s="21">
        <f>IF(H1751=0,0,I1751/H1751)</f>
        <v/>
      </c>
    </row>
    <row r="1752">
      <c r="A1752" s="17" t="inlineStr">
        <is>
          <t>Iopole</t>
        </is>
      </c>
      <c r="B1752" s="17" t="inlineStr">
        <is>
          <t>Terminé</t>
        </is>
      </c>
      <c r="C1752" s="17" t="inlineStr">
        <is>
          <t>Iopole 2 Ventes</t>
        </is>
      </c>
      <c r="D1752" s="17" t="inlineStr">
        <is>
          <t>Enterprise Computer Software</t>
        </is>
      </c>
      <c r="E1752" s="18" t="inlineStr">
        <is>
          <t>Facturation électronique et e-reporting - Iopole</t>
        </is>
      </c>
      <c r="F1752" s="17" t="inlineStr">
        <is>
          <t>Guide technique et métier Iopole sur le e-reporting et le Flux 10 : périmètre B2C, transactions internationales, données de paiement et écart avec le e-invoicing.</t>
        </is>
      </c>
      <c r="G1752" s="19" t="inlineStr">
        <is>
          <t>https://www.iopole.com/post/e-reporting?utm_medium=cpc&amp;utm_source=lemrock&amp;utm_campaign=lemrock%20ressources%20q3%2026</t>
        </is>
      </c>
      <c r="H1752" s="20" t="n">
        <v>54797</v>
      </c>
      <c r="I1752" s="20" t="n">
        <v>248</v>
      </c>
      <c r="J1752" s="21">
        <f>IF(H1752=0,0,I1752/H1752)</f>
        <v/>
      </c>
    </row>
    <row r="1753">
      <c r="A1753" s="17" t="inlineStr">
        <is>
          <t>Iopole</t>
        </is>
      </c>
      <c r="B1753" s="17" t="inlineStr">
        <is>
          <t>Terminé</t>
        </is>
      </c>
      <c r="C1753" s="17" t="inlineStr">
        <is>
          <t>Iopole 2 Noto</t>
        </is>
      </c>
      <c r="D1753" s="17" t="inlineStr">
        <is>
          <t>Iopole</t>
        </is>
      </c>
      <c r="E1753" s="18" t="inlineStr">
        <is>
          <t>IOPOLE : Facturation électronique par API</t>
        </is>
      </c>
      <c r="F1753" s="17" t="inlineStr">
        <is>
          <t>Intégrez simplement la facturation électronique via API 🔗 conforme 2026. Sandbox gratuite, PAS &amp; Peppol inclus. Iopole gère le réglementaire.</t>
        </is>
      </c>
      <c r="G1753" s="19" t="inlineStr">
        <is>
          <t>https://www.iopole.com/?utm_medium=cpc&amp;utm_source=lemrock&amp;utm_campaign=lemrock%20conversion%20q3%2026</t>
        </is>
      </c>
      <c r="H1753" s="20" t="n">
        <v>54330</v>
      </c>
      <c r="I1753" s="20" t="n">
        <v>292</v>
      </c>
      <c r="J1753" s="21">
        <f>IF(H1753=0,0,I1753/H1753)</f>
        <v/>
      </c>
    </row>
    <row r="1754">
      <c r="A1754" s="17" t="inlineStr">
        <is>
          <t>Iopole</t>
        </is>
      </c>
      <c r="B1754" s="17" t="inlineStr">
        <is>
          <t>Terminé</t>
        </is>
      </c>
      <c r="C1754" s="17" t="inlineStr">
        <is>
          <t>Iopole 2 Ventes</t>
        </is>
      </c>
      <c r="D1754" s="17" t="inlineStr">
        <is>
          <t>Enterprise Computer Software</t>
        </is>
      </c>
      <c r="E1754" s="18" t="inlineStr">
        <is>
          <t>Facturation électronique et e-reporting - Iopole</t>
        </is>
      </c>
      <c r="F1754" s="17" t="inlineStr">
        <is>
          <t>Replay du webinaire Iopole x DGFiP sur la réforme de la facturation électronique : calendrier, obligations des entreprises et plateformes agréées.</t>
        </is>
      </c>
      <c r="G1754" s="19" t="inlineStr">
        <is>
          <t>https://www.iopole.com/post/french-e-invoicing-reform-webinar-replay-dgfip?utm_medium=cpc&amp;utm_source=lemrock&amp;utm_campaign=lemrock%20ressources%20q3%2027</t>
        </is>
      </c>
      <c r="H1754" s="20" t="n">
        <v>52273</v>
      </c>
      <c r="I1754" s="20" t="n">
        <v>244</v>
      </c>
      <c r="J1754" s="21">
        <f>IF(H1754=0,0,I1754/H1754)</f>
        <v/>
      </c>
    </row>
    <row r="1755">
      <c r="A1755" s="17" t="inlineStr">
        <is>
          <t>Iopole</t>
        </is>
      </c>
      <c r="B1755" s="17" t="inlineStr">
        <is>
          <t>Terminé</t>
        </is>
      </c>
      <c r="C1755" s="17" t="inlineStr">
        <is>
          <t>Iopole 2 Ventes</t>
        </is>
      </c>
      <c r="D1755" s="17" t="inlineStr">
        <is>
          <t>Accountants and Bookkeepers</t>
        </is>
      </c>
      <c r="E1755" s="18" t="inlineStr">
        <is>
          <t>Facturation électronique par API - Iopole</t>
        </is>
      </c>
      <c r="F1755" s="17" t="inlineStr">
        <is>
          <t>Iopole connecte la facturation électronique par API, conforme à la réforme de 2026, avec une sandbox gratuite et le PAS comme Peppol inclus.</t>
        </is>
      </c>
      <c r="G1755" s="19" t="inlineStr">
        <is>
          <t>https://www.iopole.com/?utm_medium=cpc&amp;utm_source=lemrock&amp;utm_campaign=lemrock%20conversion%20q3%2026</t>
        </is>
      </c>
      <c r="H1755" s="20" t="n">
        <v>50581</v>
      </c>
      <c r="I1755" s="20" t="n">
        <v>250</v>
      </c>
      <c r="J1755" s="21">
        <f>IF(H1755=0,0,I1755/H1755)</f>
        <v/>
      </c>
    </row>
    <row r="1756">
      <c r="A1756" s="17" t="inlineStr">
        <is>
          <t>La redoute</t>
        </is>
      </c>
      <c r="B1756" s="17" t="inlineStr">
        <is>
          <t>Terminé</t>
        </is>
      </c>
      <c r="C1756" s="17" t="inlineStr">
        <is>
          <t>La redoute 5</t>
        </is>
      </c>
      <c r="D1756" s="17" t="inlineStr">
        <is>
          <t>Meubles et luminaires</t>
        </is>
      </c>
      <c r="E1756" s="18" t="inlineStr">
        <is>
          <t>Fauteuil noyer massif et bouclette, izag Couleur ecru Am.Pm</t>
        </is>
      </c>
      <c r="F1756" s="17" t="inlineStr">
        <is>
          <t>Fauteuil noyer massif et bouclette, Izag AM.PM Inspiré des plus beaux meubles des années 1950, Izag met en avant sa structure apparente et géométrique. Véritable colonne</t>
        </is>
      </c>
      <c r="G175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-559729566.aspx%253F</t>
        </is>
      </c>
      <c r="H1756" s="20" t="n">
        <v>18392</v>
      </c>
      <c r="I1756" s="20" t="n">
        <v>114</v>
      </c>
      <c r="J1756" s="21">
        <f>IF(H1756=0,0,I1756/H1756)</f>
        <v/>
      </c>
    </row>
    <row r="1757">
      <c r="A1757" s="17" t="inlineStr">
        <is>
          <t>La redoute</t>
        </is>
      </c>
      <c r="B1757" s="17" t="inlineStr">
        <is>
          <t>Terminé</t>
        </is>
      </c>
      <c r="C1757" s="17" t="inlineStr">
        <is>
          <t>La redoute 5</t>
        </is>
      </c>
      <c r="D1757" s="17" t="inlineStr">
        <is>
          <t>Vêtements et accessoires</t>
        </is>
      </c>
      <c r="E1757" s="18" t="inlineStr">
        <is>
          <t>Débardeur, pur coton peigné Anne Weyburn | La Redoute</t>
        </is>
      </c>
      <c r="F1757" s="17" t="inlineStr">
        <is>
          <t>Débardeur, pur coton peigné ANNE WEYBURN Le débardeur, un indispensable pour la saison. Encolure carrée. Larges bretelles en côtes. Beau jersey pur coton peigné.Détails</t>
        </is>
      </c>
      <c r="G175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-504848233.aspx%253F</t>
        </is>
      </c>
      <c r="H1757" s="20" t="n">
        <v>16173</v>
      </c>
      <c r="I1757" s="20" t="n">
        <v>78</v>
      </c>
      <c r="J1757" s="21">
        <f>IF(H1757=0,0,I1757/H1757)</f>
        <v/>
      </c>
    </row>
    <row r="1758">
      <c r="A1758" s="17" t="inlineStr">
        <is>
          <t>La redoute</t>
        </is>
      </c>
      <c r="B1758" s="17" t="inlineStr">
        <is>
          <t>Terminé</t>
        </is>
      </c>
      <c r="C1758" s="17" t="inlineStr">
        <is>
          <t>La redoute 5</t>
        </is>
      </c>
      <c r="D1758" s="17" t="inlineStr">
        <is>
          <t>Women's Clothing</t>
        </is>
      </c>
      <c r="E1758" s="18" t="inlineStr">
        <is>
          <t>Vêtements femme au meilleur prix | La Redoute</t>
        </is>
      </c>
      <c r="F1758" s="17" t="inlineStr">
        <is>
          <t>Le débardeur Anne Weyburn est taillé dans un beau jersey pur coton peigné, encolure carrée et larges bretelles en côtes, pour la saison.</t>
        </is>
      </c>
      <c r="G175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-504848233.aspx%253F</t>
        </is>
      </c>
      <c r="H1758" s="20" t="n">
        <v>15359</v>
      </c>
      <c r="I1758" s="20" t="n">
        <v>95</v>
      </c>
      <c r="J1758" s="21">
        <f>IF(H1758=0,0,I1758/H1758)</f>
        <v/>
      </c>
    </row>
    <row r="1759">
      <c r="A1759" s="17" t="inlineStr">
        <is>
          <t>La redoute</t>
        </is>
      </c>
      <c r="B1759" s="17" t="inlineStr">
        <is>
          <t>Terminé</t>
        </is>
      </c>
      <c r="C1759" s="17" t="inlineStr">
        <is>
          <t>La redoute 5</t>
        </is>
      </c>
      <c r="D1759" s="17" t="inlineStr">
        <is>
          <t>Chaussures</t>
        </is>
      </c>
      <c r="E1759" s="18" t="inlineStr">
        <is>
          <t>Sabots classic k Crocs | La Redoute</t>
        </is>
      </c>
      <c r="F1759" s="17" t="inlineStr">
        <is>
          <t>Sabots Classic K CROCS Détails produit •  Sabots •  Fermeture : A enfiler •  Bout rondComposition et Entretien •  Dessus/Tige : 100% eva •  Doublure : 100% eva •  Semelle...</t>
        </is>
      </c>
      <c r="G175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-552243605.aspx%253F</t>
        </is>
      </c>
      <c r="H1759" s="20" t="n">
        <v>13265</v>
      </c>
      <c r="I1759" s="20" t="n">
        <v>70</v>
      </c>
      <c r="J1759" s="21">
        <f>IF(H1759=0,0,I1759/H1759)</f>
        <v/>
      </c>
    </row>
    <row r="1760">
      <c r="A1760" s="17" t="inlineStr">
        <is>
          <t>La redoute</t>
        </is>
      </c>
      <c r="B1760" s="17" t="inlineStr">
        <is>
          <t>Terminé</t>
        </is>
      </c>
      <c r="C1760" s="17" t="inlineStr">
        <is>
          <t>La redoute 5</t>
        </is>
      </c>
      <c r="D1760" s="17" t="inlineStr">
        <is>
          <t>Baby and Toddler Products</t>
        </is>
      </c>
      <c r="E1760" s="18" t="inlineStr">
        <is>
          <t>Cape De Bain Gaze De Coton 380 G/m2, Kumla</t>
        </is>
      </c>
      <c r="F1760" s="17" t="inlineStr">
        <is>
          <t>La Cape De Bain Bi-matière En Gaze De Coton Et Éponge KUMLA. Douce Et Jolie Avec Ses Petites Oreilles, Elle Emmitouflera Bébé Dès La Sortie Du Bain. Intérieur Éponge Bouclette</t>
        </is>
      </c>
      <c r="G176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-528977353.aspx%253F</t>
        </is>
      </c>
      <c r="H1760" s="20" t="n">
        <v>11245</v>
      </c>
      <c r="I1760" s="20" t="n">
        <v>40</v>
      </c>
      <c r="J1760" s="21">
        <f>IF(H1760=0,0,I1760/H1760)</f>
        <v/>
      </c>
    </row>
    <row r="1761">
      <c r="A1761" s="17" t="inlineStr">
        <is>
          <t>La redoute</t>
        </is>
      </c>
      <c r="B1761" s="17" t="inlineStr">
        <is>
          <t>Terminé</t>
        </is>
      </c>
      <c r="C1761" s="17" t="inlineStr">
        <is>
          <t>La redoute 5</t>
        </is>
      </c>
      <c r="D1761" s="17" t="inlineStr">
        <is>
          <t>Vêtements et accessoires</t>
        </is>
      </c>
      <c r="E1761" s="18" t="inlineStr">
        <is>
          <t>Jean droit 501® Levi's | La Redoute</t>
        </is>
      </c>
      <c r="F1761" s="17" t="inlineStr">
        <is>
          <t>Jean droit 501® LEVI'S Détails produit •  Regular, droit •  Taille standard •  Regular au niveau des cuisses •  Se porte sur la taille •  Jambe droite •  Modèle à 5...</t>
        </is>
      </c>
      <c r="G176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-509515474.aspx%253F</t>
        </is>
      </c>
      <c r="H1761" s="20" t="n">
        <v>11166</v>
      </c>
      <c r="I1761" s="20" t="n">
        <v>52</v>
      </c>
      <c r="J1761" s="21">
        <f>IF(H1761=0,0,I1761/H1761)</f>
        <v/>
      </c>
    </row>
    <row r="1762">
      <c r="A1762" s="17" t="inlineStr">
        <is>
          <t>La redoute</t>
        </is>
      </c>
      <c r="B1762" s="17" t="inlineStr">
        <is>
          <t>Terminé</t>
        </is>
      </c>
      <c r="C1762" s="17" t="inlineStr">
        <is>
          <t>La redoute 5</t>
        </is>
      </c>
      <c r="D1762" s="17" t="inlineStr">
        <is>
          <t>Lawn and Garden Products</t>
        </is>
      </c>
      <c r="E1762" s="18" t="inlineStr">
        <is>
          <t>Parasol de jardin à toile déperlante prix bas | La Redoute</t>
        </is>
      </c>
      <c r="F1762" s="17" t="inlineStr">
        <is>
          <t>Ce parasol Savana à motif léopard et finition frangée abrite la terrasse sous une toile en polyester déperlante, signé La Redoute Intérieurs.</t>
        </is>
      </c>
      <c r="G176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-602459542.aspx%253F</t>
        </is>
      </c>
      <c r="H1762" s="20" t="n">
        <v>10932</v>
      </c>
      <c r="I1762" s="20" t="n">
        <v>40</v>
      </c>
      <c r="J1762" s="21">
        <f>IF(H1762=0,0,I1762/H1762)</f>
        <v/>
      </c>
    </row>
    <row r="1763">
      <c r="A1763" s="17" t="inlineStr">
        <is>
          <t>La redoute</t>
        </is>
      </c>
      <c r="B1763" s="17" t="inlineStr">
        <is>
          <t>Terminé</t>
        </is>
      </c>
      <c r="C1763" s="17" t="inlineStr">
        <is>
          <t>La redoute 5</t>
        </is>
      </c>
      <c r="D1763" s="17" t="inlineStr">
        <is>
          <t>Vêtements et accessoires</t>
        </is>
      </c>
      <c r="E1763" s="18" t="inlineStr">
        <is>
          <t>T-shirt manches courtes Polo Ralph Lauren | La Redoute</t>
        </is>
      </c>
      <c r="F1763" s="17" t="inlineStr">
        <is>
          <t>T-shirt manches courtes POLO RALPH LAUREN Détails produit •  Manches courtes •  Col rond •  Logo brodé poitrineComposition et Entretien •  100% coton •  Pour l'entretien, merci de</t>
        </is>
      </c>
      <c r="G176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-551611083.aspx%253F</t>
        </is>
      </c>
      <c r="H1763" s="20" t="n">
        <v>10527</v>
      </c>
      <c r="I1763" s="20" t="n">
        <v>52</v>
      </c>
      <c r="J1763" s="21">
        <f>IF(H1763=0,0,I1763/H1763)</f>
        <v/>
      </c>
    </row>
    <row r="1764">
      <c r="A1764" s="17" t="inlineStr">
        <is>
          <t>La redoute</t>
        </is>
      </c>
      <c r="B1764" s="17" t="inlineStr">
        <is>
          <t>Terminé</t>
        </is>
      </c>
      <c r="C1764" s="17" t="inlineStr">
        <is>
          <t>La redoute 5</t>
        </is>
      </c>
      <c r="D1764" s="17" t="inlineStr">
        <is>
          <t>Home and Garden Products</t>
        </is>
      </c>
      <c r="E1764" s="18" t="inlineStr">
        <is>
          <t>Fauteuil noyer massif et bouclette, izag Couleur ecru Am.Pm</t>
        </is>
      </c>
      <c r="F1764" s="17" t="inlineStr">
        <is>
          <t>Fauteuil noyer massif et bouclette, Izag AM.PM Inspiré des plus beaux meubles des années 1950, Izag met en avant sa structure apparente et géométrique. Véritable colonne</t>
        </is>
      </c>
      <c r="G176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-559729566.aspx%253F</t>
        </is>
      </c>
      <c r="H1764" s="20" t="n">
        <v>10496</v>
      </c>
      <c r="I1764" s="20" t="n">
        <v>55</v>
      </c>
      <c r="J1764" s="21">
        <f>IF(H1764=0,0,I1764/H1764)</f>
        <v/>
      </c>
    </row>
    <row r="1765">
      <c r="A1765" s="17" t="inlineStr">
        <is>
          <t>La redoute</t>
        </is>
      </c>
      <c r="B1765" s="17" t="inlineStr">
        <is>
          <t>Terminé</t>
        </is>
      </c>
      <c r="C1765" s="17" t="inlineStr">
        <is>
          <t>La redoute 5</t>
        </is>
      </c>
      <c r="D1765" s="17" t="inlineStr">
        <is>
          <t>Vêtements et accessoires</t>
        </is>
      </c>
      <c r="E1765" s="18" t="inlineStr">
        <is>
          <t>Ceinture en cuir pilja marron Pieces | La Redoute</t>
        </is>
      </c>
      <c r="F1765" s="17" t="inlineStr">
        <is>
          <t>Ceinture en cuir Pilja PIECES Détails produit •  Boucle métal •  Largeur 3 cmComposition et Entretien •  100% cuir •  Pour l'entretien, merci de vous référer aux indications...</t>
        </is>
      </c>
      <c r="G176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-529482992.aspx%253F</t>
        </is>
      </c>
      <c r="H1765" s="20" t="n">
        <v>10197</v>
      </c>
      <c r="I1765" s="20" t="n">
        <v>61</v>
      </c>
      <c r="J1765" s="21">
        <f>IF(H1765=0,0,I1765/H1765)</f>
        <v/>
      </c>
    </row>
    <row r="1766">
      <c r="A1766" s="17" t="inlineStr">
        <is>
          <t>La redoute</t>
        </is>
      </c>
      <c r="B1766" s="17" t="inlineStr">
        <is>
          <t>Terminé</t>
        </is>
      </c>
      <c r="C1766" s="17" t="inlineStr">
        <is>
          <t>La redoute 5</t>
        </is>
      </c>
      <c r="D1766" s="17" t="inlineStr">
        <is>
          <t>Chaussures</t>
        </is>
      </c>
      <c r="E1766" s="18" t="inlineStr">
        <is>
          <t>Sandales gryphon en cuir atlas bordeaux foncé Dr. Martens |</t>
        </is>
      </c>
      <c r="F1766" s="17" t="inlineStr">
        <is>
          <t>Sandales Gryphon en cuir Atlas DR. MARTENS Détails produit •  Talon plat •  Hauteur de talon : 2 cm •  Fermeture : A bride/boucle •  Bout rondComposition et</t>
        </is>
      </c>
      <c r="G176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-602511404.aspx%253F</t>
        </is>
      </c>
      <c r="H1766" s="20" t="n">
        <v>10154</v>
      </c>
      <c r="I1766" s="20" t="n">
        <v>47</v>
      </c>
      <c r="J1766" s="21">
        <f>IF(H1766=0,0,I1766/H1766)</f>
        <v/>
      </c>
    </row>
    <row r="1767">
      <c r="A1767" s="17" t="inlineStr">
        <is>
          <t>La redoute</t>
        </is>
      </c>
      <c r="B1767" s="17" t="inlineStr">
        <is>
          <t>Terminé</t>
        </is>
      </c>
      <c r="C1767" s="17" t="inlineStr">
        <is>
          <t>La redoute 5</t>
        </is>
      </c>
      <c r="D1767" s="17" t="inlineStr">
        <is>
          <t>Vêtements et accessoires</t>
        </is>
      </c>
      <c r="E1767" s="18" t="inlineStr">
        <is>
          <t>Robe longue manches courtes col v Molly Bracken | La Redoute</t>
        </is>
      </c>
      <c r="F1767" s="17" t="inlineStr">
        <is>
          <t>Robe longue manches courtes col V MOLLY BRACKEN Détails produit •  Forme : évasée, patineuse •  Longue •  Manches courtes •  Col VComposition et Entretien •  100% coton •  Pour</t>
        </is>
      </c>
      <c r="G176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-602502063.aspx%253F</t>
        </is>
      </c>
      <c r="H1767" s="20" t="n">
        <v>10129</v>
      </c>
      <c r="I1767" s="20" t="n">
        <v>43</v>
      </c>
      <c r="J1767" s="21">
        <f>IF(H1767=0,0,I1767/H1767)</f>
        <v/>
      </c>
    </row>
    <row r="1768">
      <c r="A1768" s="17" t="inlineStr">
        <is>
          <t>La redoute</t>
        </is>
      </c>
      <c r="B1768" s="17" t="inlineStr">
        <is>
          <t>Terminé</t>
        </is>
      </c>
      <c r="C1768" s="17" t="inlineStr">
        <is>
          <t>La redoute 5</t>
        </is>
      </c>
      <c r="D1768" s="17" t="inlineStr">
        <is>
          <t>Vêtements et accessoires</t>
        </is>
      </c>
      <c r="E1768" s="18" t="inlineStr">
        <is>
          <t>Sac à dos kanken 16l Fjallraven | La Redoute</t>
        </is>
      </c>
      <c r="F1768" s="17" t="inlineStr">
        <is>
          <t>Sac à dos KANKEN 16L FJALLRAVEN Le sac à dos FJALLRAVEN - modèle KÅNKEN en toile robuste. Le modèle original classique de 1978 avec coussin dos amovible.Détails produit •  Forme</t>
        </is>
      </c>
      <c r="G176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-559747005.aspx%253F</t>
        </is>
      </c>
      <c r="H1768" s="20" t="n">
        <v>9979</v>
      </c>
      <c r="I1768" s="20" t="n">
        <v>60</v>
      </c>
      <c r="J1768" s="21">
        <f>IF(H1768=0,0,I1768/H1768)</f>
        <v/>
      </c>
    </row>
    <row r="1769">
      <c r="A1769" s="17" t="inlineStr">
        <is>
          <t>La redoute</t>
        </is>
      </c>
      <c r="B1769" s="17" t="inlineStr">
        <is>
          <t>Terminé</t>
        </is>
      </c>
      <c r="C1769" s="17" t="inlineStr">
        <is>
          <t>La redoute 5</t>
        </is>
      </c>
      <c r="D1769" s="17" t="inlineStr">
        <is>
          <t>Chaussures</t>
        </is>
      </c>
      <c r="E1769" s="18" t="inlineStr">
        <is>
          <t>Baskets chuck taylor all star core canvas hi Converse | La</t>
        </is>
      </c>
      <c r="F1769" s="17" t="inlineStr">
        <is>
          <t>Baskets Chuck Taylor All Star Core Canvas Hi CONVERSE Détails produit •  Vous revenez toujours aux origines. •  La chaussure de basket qui est devenue une icône culturelle. En</t>
        </is>
      </c>
      <c r="G176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-601013113.aspx%253F</t>
        </is>
      </c>
      <c r="H1769" s="20" t="n">
        <v>9907</v>
      </c>
      <c r="I1769" s="20" t="n">
        <v>38</v>
      </c>
      <c r="J1769" s="21">
        <f>IF(H1769=0,0,I1769/H1769)</f>
        <v/>
      </c>
    </row>
    <row r="1770">
      <c r="A1770" s="17" t="inlineStr">
        <is>
          <t>La redoute</t>
        </is>
      </c>
      <c r="B1770" s="17" t="inlineStr">
        <is>
          <t>Terminé</t>
        </is>
      </c>
      <c r="C1770" s="17" t="inlineStr">
        <is>
          <t>La redoute 5</t>
        </is>
      </c>
      <c r="D1770" s="17" t="inlineStr">
        <is>
          <t>Kitchen and Dining Products</t>
        </is>
      </c>
      <c r="E1770" s="18" t="inlineStr">
        <is>
          <t>Poêles et ustensiles de cuisine à prix bas | La Redoute</t>
        </is>
      </c>
      <c r="F1770" s="17" t="inlineStr">
        <is>
          <t>La batterie Ingenio Emotion de Tefal réunit 20 pièces : 3 poêles, 3 casseroles, un wok de 26 cm et une sauteuse, pour équiper toute la cuisine.</t>
        </is>
      </c>
      <c r="G177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-602486640.aspx%253F</t>
        </is>
      </c>
      <c r="H1770" s="20" t="n">
        <v>9711</v>
      </c>
      <c r="I1770" s="20" t="n">
        <v>33</v>
      </c>
      <c r="J1770" s="21">
        <f>IF(H1770=0,0,I1770/H1770)</f>
        <v/>
      </c>
    </row>
    <row r="1771">
      <c r="A1771" s="17" t="inlineStr">
        <is>
          <t>La redoute</t>
        </is>
      </c>
      <c r="B1771" s="17" t="inlineStr">
        <is>
          <t>Terminé</t>
        </is>
      </c>
      <c r="C1771" s="17" t="inlineStr">
        <is>
          <t>La redoute 5</t>
        </is>
      </c>
      <c r="D1771" s="17" t="inlineStr">
        <is>
          <t>Enfant et bébé</t>
        </is>
      </c>
      <c r="E1771" s="18" t="inlineStr">
        <is>
          <t>Cape De Bain Gaze De Coton 380 G/m2, Kumla</t>
        </is>
      </c>
      <c r="F1771" s="17" t="inlineStr">
        <is>
          <t>La Cape De Bain Bi-matière En Gaze De Coton Et Éponge KUMLA. Douce Et Jolie Avec Ses Petites Oreilles, Elle Emmitouflera Bébé Dès La Sortie Du Bain. Intérieur Éponge Bouclette</t>
        </is>
      </c>
      <c r="G177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-528977353.aspx%253F</t>
        </is>
      </c>
      <c r="H1771" s="20" t="n">
        <v>9575</v>
      </c>
      <c r="I1771" s="20" t="n">
        <v>44</v>
      </c>
      <c r="J1771" s="21">
        <f>IF(H1771=0,0,I1771/H1771)</f>
        <v/>
      </c>
    </row>
    <row r="1772">
      <c r="A1772" s="17" t="inlineStr">
        <is>
          <t>La redoute</t>
        </is>
      </c>
      <c r="B1772" s="17" t="inlineStr">
        <is>
          <t>Terminé</t>
        </is>
      </c>
      <c r="C1772" s="17" t="inlineStr">
        <is>
          <t>La redoute 5</t>
        </is>
      </c>
      <c r="D1772" s="17" t="inlineStr">
        <is>
          <t>Meubles et luminaires</t>
        </is>
      </c>
      <c r="E1772" s="18" t="inlineStr">
        <is>
          <t>Pied tulipe métal acier, aradan Am.Pm | La Redoute</t>
        </is>
      </c>
      <c r="F1772" s="17" t="inlineStr">
        <is>
          <t>Pied tulipe métal acier, Aradan AM.PM Beauté des matériaux et lignes contemporaines. Une table à personnaliser selon votre espace et vos envies. Associez plateau et pied, mixez</t>
        </is>
      </c>
      <c r="G177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-502586506.aspx%253F</t>
        </is>
      </c>
      <c r="H1772" s="20" t="n">
        <v>9437</v>
      </c>
      <c r="I1772" s="20" t="n">
        <v>42</v>
      </c>
      <c r="J1772" s="21">
        <f>IF(H1772=0,0,I1772/H1772)</f>
        <v/>
      </c>
    </row>
    <row r="1773">
      <c r="A1773" s="17" t="inlineStr">
        <is>
          <t>La redoute</t>
        </is>
      </c>
      <c r="B1773" s="17" t="inlineStr">
        <is>
          <t>Terminé</t>
        </is>
      </c>
      <c r="C1773" s="17" t="inlineStr">
        <is>
          <t>La redoute 5</t>
        </is>
      </c>
      <c r="D1773" s="17" t="inlineStr">
        <is>
          <t>Vêtements et accessoires</t>
        </is>
      </c>
      <c r="E1773" s="18" t="inlineStr">
        <is>
          <t>Casquette classic baseball cap Tommy Hilfiger | La Redoute</t>
        </is>
      </c>
      <c r="F1773" s="17" t="inlineStr">
        <is>
          <t>Casquette Classic Baseball Cap TOMMY HILFIGER Revenez à l'essentiel avec cette casquette de baseball décontractée. Fabriquée en pur coton, elle vous donnera une impression de</t>
        </is>
      </c>
      <c r="G177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-540882058.aspx%253F</t>
        </is>
      </c>
      <c r="H1773" s="20" t="n">
        <v>9182</v>
      </c>
      <c r="I1773" s="20" t="n">
        <v>37</v>
      </c>
      <c r="J1773" s="21">
        <f>IF(H1773=0,0,I1773/H1773)</f>
        <v/>
      </c>
    </row>
    <row r="1774">
      <c r="A1774" s="17" t="inlineStr">
        <is>
          <t>La redoute</t>
        </is>
      </c>
      <c r="B1774" s="17" t="inlineStr">
        <is>
          <t>Terminé</t>
        </is>
      </c>
      <c r="C1774" s="17" t="inlineStr">
        <is>
          <t>La redoute 5</t>
        </is>
      </c>
      <c r="D1774" s="17" t="inlineStr">
        <is>
          <t>Meubles et luminaires</t>
        </is>
      </c>
      <c r="E1774" s="18" t="inlineStr">
        <is>
          <t>Tête de lit rotin, tio La Redoute Interieurs | La Redoute</t>
        </is>
      </c>
      <c r="F1774" s="17" t="inlineStr">
        <is>
          <t>Tête de lit rotin, TIO LA REDOUTE INTERIEURS Tête de lit en rotin Tio. Élégance d'un design forme demi-lune et ambiance bohème pour une chambre pleine de</t>
        </is>
      </c>
      <c r="G177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-529060765.aspx%253F</t>
        </is>
      </c>
      <c r="H1774" s="20" t="n">
        <v>9085</v>
      </c>
      <c r="I1774" s="20" t="n">
        <v>41</v>
      </c>
      <c r="J1774" s="21">
        <f>IF(H1774=0,0,I1774/H1774)</f>
        <v/>
      </c>
    </row>
    <row r="1775">
      <c r="A1775" s="17" t="inlineStr">
        <is>
          <t>La redoute</t>
        </is>
      </c>
      <c r="B1775" s="17" t="inlineStr">
        <is>
          <t>Terminé</t>
        </is>
      </c>
      <c r="C1775" s="17" t="inlineStr">
        <is>
          <t>La redoute 5</t>
        </is>
      </c>
      <c r="D1775" s="17" t="inlineStr">
        <is>
          <t>Lighting</t>
        </is>
      </c>
      <c r="E1775" s="18" t="inlineStr">
        <is>
          <t>La Redoute - Lampadaires et suspensions</t>
        </is>
      </c>
      <c r="F1775" s="17" t="inlineStr">
        <is>
          <t>Lampadaire Jihana AM.PM : pied en métal et laiton, abat-jour en lin et un design traditionnel qui pose une lumière douce dans un angle du salon.</t>
        </is>
      </c>
      <c r="G177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-547929086.aspx%253F</t>
        </is>
      </c>
      <c r="H1775" s="20" t="n">
        <v>8967</v>
      </c>
      <c r="I1775" s="20" t="n">
        <v>57</v>
      </c>
      <c r="J1775" s="21">
        <f>IF(H1775=0,0,I1775/H1775)</f>
        <v/>
      </c>
    </row>
    <row r="1776">
      <c r="A1776" s="17" t="inlineStr">
        <is>
          <t>La redoute</t>
        </is>
      </c>
      <c r="B1776" s="17" t="inlineStr">
        <is>
          <t>Terminé</t>
        </is>
      </c>
      <c r="C1776" s="17" t="inlineStr">
        <is>
          <t>La redoute 5</t>
        </is>
      </c>
      <c r="D1776" s="17" t="inlineStr">
        <is>
          <t>Home and Garden Products</t>
        </is>
      </c>
      <c r="E1776" s="18" t="inlineStr">
        <is>
          <t>La Redoute Intérieurs</t>
        </is>
      </c>
      <c r="F1776" s="17" t="inlineStr">
        <is>
          <t>La marque déco et maison de La Redoute : meubles, linge de maison et décoration dessinés en France.</t>
        </is>
      </c>
      <c r="G1776" s="19" t="inlineStr">
        <is>
          <t>https://lb.affilae.com/r/?p=64a5b1cce48e0dec93102752&amp;af=2339&amp;lp=https%3A%2F%2Flr.app.link%2FQqc5Di3etCb%3F%25243p%3Da_affilae%26%257Eclick_id%3D%257BClickID%257D%26%257Ecampaign%3DAffilae%26affid%3D2339%26cod%3DAFF00080861FR%26%2524fallback_url%3Dhttps%253A%252F%252Fwww.laredoute.fr%252Fla-redoute-interieurs.aspx%253F</t>
        </is>
      </c>
      <c r="H1776" s="20" t="n">
        <v>8949</v>
      </c>
      <c r="I1776" s="20" t="n">
        <v>54</v>
      </c>
      <c r="J1776" s="21">
        <f>IF(H1776=0,0,I1776/H1776)</f>
        <v/>
      </c>
    </row>
    <row r="1777">
      <c r="A1777" s="17" t="inlineStr">
        <is>
          <t>La redoute</t>
        </is>
      </c>
      <c r="B1777" s="17" t="inlineStr">
        <is>
          <t>Terminé</t>
        </is>
      </c>
      <c r="C1777" s="17" t="inlineStr">
        <is>
          <t>La redoute 5</t>
        </is>
      </c>
      <c r="D1777" s="17" t="inlineStr">
        <is>
          <t>Flooring</t>
        </is>
      </c>
      <c r="E1777" s="18" t="inlineStr">
        <is>
          <t>Tapis en jute tressé main prix bas | La Redoute</t>
        </is>
      </c>
      <c r="F1777" s="17" t="inlineStr">
        <is>
          <t>Le tapis Hempy d’AM.PM est tressé main en jute en Inde, dans des tons naturels nuancés qui réchauffent le sol d’un salon.</t>
        </is>
      </c>
      <c r="G177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-500808352.aspx%253F</t>
        </is>
      </c>
      <c r="H1777" s="20" t="n">
        <v>8841</v>
      </c>
      <c r="I1777" s="20" t="n">
        <v>36</v>
      </c>
      <c r="J1777" s="21">
        <f>IF(H1777=0,0,I1777/H1777)</f>
        <v/>
      </c>
    </row>
    <row r="1778">
      <c r="A1778" s="17" t="inlineStr">
        <is>
          <t>La redoute</t>
        </is>
      </c>
      <c r="B1778" s="17" t="inlineStr">
        <is>
          <t>Terminé</t>
        </is>
      </c>
      <c r="C1778" s="17" t="inlineStr">
        <is>
          <t>La redoute 5</t>
        </is>
      </c>
      <c r="D1778" s="17" t="inlineStr">
        <is>
          <t>Bedroom Furniture and Accessories</t>
        </is>
      </c>
      <c r="E1778" s="18" t="inlineStr">
        <is>
          <t>La Redoute - Têtes de lit et matelas</t>
        </is>
      </c>
      <c r="F1778" s="17" t="inlineStr">
        <is>
          <t>Tête de lit Tio en rotin, dessinée en demi-lune : une pièce légère et bohème qui habille le mur de la chambre sans l’encombrer.</t>
        </is>
      </c>
      <c r="G177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-529060765.aspx%253F</t>
        </is>
      </c>
      <c r="H1778" s="20" t="n">
        <v>8723</v>
      </c>
      <c r="I1778" s="20" t="n">
        <v>46</v>
      </c>
      <c r="J1778" s="21">
        <f>IF(H1778=0,0,I1778/H1778)</f>
        <v/>
      </c>
    </row>
    <row r="1779">
      <c r="A1779" s="17" t="inlineStr">
        <is>
          <t>La redoute</t>
        </is>
      </c>
      <c r="B1779" s="17" t="inlineStr">
        <is>
          <t>Terminé</t>
        </is>
      </c>
      <c r="C1779" s="17" t="inlineStr">
        <is>
          <t>La redoute 5</t>
        </is>
      </c>
      <c r="D1779" s="17" t="inlineStr">
        <is>
          <t>Clothing and Accessories</t>
        </is>
      </c>
      <c r="E1779" s="18" t="inlineStr">
        <is>
          <t>Mode, chaussures et sacs pas chers | La Redoute</t>
        </is>
      </c>
      <c r="F1779" s="17" t="inlineStr">
        <is>
          <t>Débardeur Anne Weyburn en pur coton peigné : encolure carrée, larges bretelles en côtes et un beau jersey, l’indispensable de la saison.</t>
        </is>
      </c>
      <c r="G177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-504848233.aspx%253F</t>
        </is>
      </c>
      <c r="H1779" s="20" t="n">
        <v>8713</v>
      </c>
      <c r="I1779" s="20" t="n">
        <v>52</v>
      </c>
      <c r="J1779" s="21">
        <f>IF(H1779=0,0,I1779/H1779)</f>
        <v/>
      </c>
    </row>
    <row r="1780">
      <c r="A1780" s="17" t="inlineStr">
        <is>
          <t>La redoute</t>
        </is>
      </c>
      <c r="B1780" s="17" t="inlineStr">
        <is>
          <t>Terminé</t>
        </is>
      </c>
      <c r="C1780" s="17" t="inlineStr">
        <is>
          <t>La redoute 5</t>
        </is>
      </c>
      <c r="D1780" s="17" t="inlineStr">
        <is>
          <t>Chaussures</t>
        </is>
      </c>
      <c r="E1780" s="18" t="inlineStr">
        <is>
          <t>Tongs compensées slim flatform noir Havaianas | La Redoute</t>
        </is>
      </c>
      <c r="F1780" s="17" t="inlineStr">
        <is>
          <t>Tongs compensées Slim Flatform HAVAIANAS Détails produit •  Tongs •  Fermeture : A enfiler •  Bout rondComposition et Entretien •  Dessus/Tige : 100% pvc (polychlorure de</t>
        </is>
      </c>
      <c r="G178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-537300332.aspx%253F</t>
        </is>
      </c>
      <c r="H1780" s="20" t="n">
        <v>8591</v>
      </c>
      <c r="I1780" s="20" t="n">
        <v>48</v>
      </c>
      <c r="J1780" s="21">
        <f>IF(H1780=0,0,I1780/H1780)</f>
        <v/>
      </c>
    </row>
    <row r="1781">
      <c r="A1781" s="17" t="inlineStr">
        <is>
          <t>La redoute</t>
        </is>
      </c>
      <c r="B1781" s="17" t="inlineStr">
        <is>
          <t>Terminé</t>
        </is>
      </c>
      <c r="C1781" s="17" t="inlineStr">
        <is>
          <t>La redoute 5</t>
        </is>
      </c>
      <c r="D1781" s="17" t="inlineStr">
        <is>
          <t>Women's Clothing</t>
        </is>
      </c>
      <c r="E1781" s="18" t="inlineStr">
        <is>
          <t>Vêtements et ceintures femme prix bas | La Redoute</t>
        </is>
      </c>
      <c r="F1781" s="17" t="inlineStr">
        <is>
          <t>Ceinture Pilja Pieces en cuir, 3 cm de large et boucle en métal : elle marque la taille sur un jean droit comme sur une robe longue.</t>
        </is>
      </c>
      <c r="G178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-529482992.aspx%253F</t>
        </is>
      </c>
      <c r="H1781" s="20" t="n">
        <v>8271</v>
      </c>
      <c r="I1781" s="20" t="n">
        <v>43</v>
      </c>
      <c r="J1781" s="21">
        <f>IF(H1781=0,0,I1781/H1781)</f>
        <v/>
      </c>
    </row>
    <row r="1782">
      <c r="A1782" s="17" t="inlineStr">
        <is>
          <t>La redoute</t>
        </is>
      </c>
      <c r="B1782" s="17" t="inlineStr">
        <is>
          <t>Terminé</t>
        </is>
      </c>
      <c r="C1782" s="17" t="inlineStr">
        <is>
          <t>La redoute 5</t>
        </is>
      </c>
      <c r="D1782" s="17" t="inlineStr">
        <is>
          <t>Vêtements et accessoires</t>
        </is>
      </c>
      <c r="E1782" s="18" t="inlineStr">
        <is>
          <t>Lot de 3 boxers coton stretch Dim | La Redoute</t>
        </is>
      </c>
      <c r="F1782" s="17" t="inlineStr">
        <is>
          <t>Lot de 3 boxers Coton Stretch DIM Détails produit •  Boxer •  Ceinture plate siglée et élastiquée •  Matière : coton •  Lot de 3Composition et Entretien •  96% coton, 4%...</t>
        </is>
      </c>
      <c r="G178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-523872017.aspx%253F</t>
        </is>
      </c>
      <c r="H1782" s="20" t="n">
        <v>8198</v>
      </c>
      <c r="I1782" s="20" t="n">
        <v>48</v>
      </c>
      <c r="J1782" s="21">
        <f>IF(H1782=0,0,I1782/H1782)</f>
        <v/>
      </c>
    </row>
    <row r="1783">
      <c r="A1783" s="17" t="inlineStr">
        <is>
          <t>La redoute</t>
        </is>
      </c>
      <c r="B1783" s="17" t="inlineStr">
        <is>
          <t>Terminé</t>
        </is>
      </c>
      <c r="C1783" s="17" t="inlineStr">
        <is>
          <t>La redoute 5</t>
        </is>
      </c>
      <c r="D1783" s="17" t="inlineStr">
        <is>
          <t>Bedroom Furniture and Accessories</t>
        </is>
      </c>
      <c r="E1783" s="18" t="inlineStr">
        <is>
          <t>La Redoute - Têtes de lit et matelas</t>
        </is>
      </c>
      <c r="F1783" s="17" t="inlineStr">
        <is>
          <t>Matelas 580 ressorts ensachés, 5 zones de confort et accueil en mousse viscoélastique : un soutien ferme et un accueil enveloppant.</t>
        </is>
      </c>
      <c r="G178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-601852174.aspx%253F</t>
        </is>
      </c>
      <c r="H1783" s="20" t="n">
        <v>8167</v>
      </c>
      <c r="I1783" s="20" t="n">
        <v>80</v>
      </c>
      <c r="J1783" s="21">
        <f>IF(H1783=0,0,I1783/H1783)</f>
        <v/>
      </c>
    </row>
    <row r="1784">
      <c r="A1784" s="17" t="inlineStr">
        <is>
          <t>La redoute</t>
        </is>
      </c>
      <c r="B1784" s="17" t="inlineStr">
        <is>
          <t>Terminé</t>
        </is>
      </c>
      <c r="C1784" s="17" t="inlineStr">
        <is>
          <t>La redoute 5</t>
        </is>
      </c>
      <c r="D1784" s="17" t="inlineStr">
        <is>
          <t>Women's Clothing</t>
        </is>
      </c>
      <c r="E1784" s="18" t="inlineStr">
        <is>
          <t>Vêtements et ceintures femme prix bas | La Redoute</t>
        </is>
      </c>
      <c r="F1784" s="17" t="inlineStr">
        <is>
          <t>Robe longue Molly Bracken en 100 % coton : forme évasée et patineuse, manches courtes et col V, à porter en été comme à la mi-saison.</t>
        </is>
      </c>
      <c r="G178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-602502063.aspx%253F</t>
        </is>
      </c>
      <c r="H1784" s="20" t="n">
        <v>8130</v>
      </c>
      <c r="I1784" s="20" t="n">
        <v>30</v>
      </c>
      <c r="J1784" s="21">
        <f>IF(H1784=0,0,I1784/H1784)</f>
        <v/>
      </c>
    </row>
    <row r="1785">
      <c r="A1785" s="17" t="inlineStr">
        <is>
          <t>La redoute</t>
        </is>
      </c>
      <c r="B1785" s="17" t="inlineStr">
        <is>
          <t>Terminé</t>
        </is>
      </c>
      <c r="C1785" s="17" t="inlineStr">
        <is>
          <t>La redoute 5</t>
        </is>
      </c>
      <c r="D1785" s="17" t="inlineStr">
        <is>
          <t>Lighting</t>
        </is>
      </c>
      <c r="E1785" s="18" t="inlineStr">
        <is>
          <t>La Redoute - Lampadaires et suspensions</t>
        </is>
      </c>
      <c r="F1785" s="17" t="inlineStr">
        <is>
          <t>Suspension Kinoko en verre coloré de 30,5 cm de diamètre, signée par le studio de design de La Redoute Intérieurs : une lumière colorée au-dessus de la table.</t>
        </is>
      </c>
      <c r="G178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-538299236.aspx%253F</t>
        </is>
      </c>
      <c r="H1785" s="20" t="n">
        <v>8105</v>
      </c>
      <c r="I1785" s="20" t="n">
        <v>28</v>
      </c>
      <c r="J1785" s="21">
        <f>IF(H1785=0,0,I1785/H1785)</f>
        <v/>
      </c>
    </row>
    <row r="1786">
      <c r="A1786" s="17" t="inlineStr">
        <is>
          <t>La redoute</t>
        </is>
      </c>
      <c r="B1786" s="17" t="inlineStr">
        <is>
          <t>Terminé</t>
        </is>
      </c>
      <c r="C1786" s="17" t="inlineStr">
        <is>
          <t>La redoute 5</t>
        </is>
      </c>
      <c r="D1786" s="17" t="inlineStr">
        <is>
          <t>Tapis et décoration</t>
        </is>
      </c>
      <c r="E1786" s="18" t="inlineStr">
        <is>
          <t>Tapis en jute, tressé main, hempy Couleur naturel Am.Pm |</t>
        </is>
      </c>
      <c r="F1786" s="17" t="inlineStr">
        <is>
          <t>Tapis en jute, tressé main, Hempy AM.PM Texture authentique nuancée, tons naturels, rusticité contemporaine... Hempy est un tapis en jute tressé à la main en Inde par des</t>
        </is>
      </c>
      <c r="G178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-500808352.aspx%253F</t>
        </is>
      </c>
      <c r="H1786" s="20" t="n">
        <v>8060</v>
      </c>
      <c r="I1786" s="20" t="n">
        <v>49</v>
      </c>
      <c r="J1786" s="21">
        <f>IF(H1786=0,0,I1786/H1786)</f>
        <v/>
      </c>
    </row>
    <row r="1787">
      <c r="A1787" s="17" t="inlineStr">
        <is>
          <t>La redoute</t>
        </is>
      </c>
      <c r="B1787" s="17" t="inlineStr">
        <is>
          <t>Terminé</t>
        </is>
      </c>
      <c r="C1787" s="17" t="inlineStr">
        <is>
          <t>La redoute 5</t>
        </is>
      </c>
      <c r="D1787" s="17" t="inlineStr">
        <is>
          <t>Meubles et luminaires</t>
        </is>
      </c>
      <c r="E1787" s="18" t="inlineStr">
        <is>
          <t>Canapé velours, lazare Am.Pm | La Redoute</t>
        </is>
      </c>
      <c r="F1787" s="17" t="inlineStr">
        <is>
          <t>Canapé velours, Lazare AM.PM Classique intemporel aux volumes contemporains, Lazare est un Iconique AMPM. Une création exclusive, ancrée dans l’ADN de la marque. Plus qu’un...</t>
        </is>
      </c>
      <c r="G178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-500807014.aspx%253F</t>
        </is>
      </c>
      <c r="H1787" s="20" t="n">
        <v>8032</v>
      </c>
      <c r="I1787" s="20" t="n">
        <v>37</v>
      </c>
      <c r="J1787" s="21">
        <f>IF(H1787=0,0,I1787/H1787)</f>
        <v/>
      </c>
    </row>
    <row r="1788">
      <c r="A1788" s="17" t="inlineStr">
        <is>
          <t>La redoute</t>
        </is>
      </c>
      <c r="B1788" s="17" t="inlineStr">
        <is>
          <t>Terminé</t>
        </is>
      </c>
      <c r="C1788" s="17" t="inlineStr">
        <is>
          <t>La redoute 5</t>
        </is>
      </c>
      <c r="D1788" s="17" t="inlineStr">
        <is>
          <t>Home and Garden Products</t>
        </is>
      </c>
      <c r="E1788" s="18" t="inlineStr">
        <is>
          <t>La Redoute - Meubles, linge de maison et déco</t>
        </is>
      </c>
      <c r="F1788" s="17" t="inlineStr">
        <is>
          <t>Lot de 4 assiettes plates Gogain en grès ondulé bicolore : du petit-déjeuner au dîner, elles tiennent la table en famille comme entre amis.</t>
        </is>
      </c>
      <c r="G178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t>
        </is>
      </c>
      <c r="H1788" s="20" t="n">
        <v>8002</v>
      </c>
      <c r="I1788" s="20" t="n">
        <v>23</v>
      </c>
      <c r="J1788" s="21">
        <f>IF(H1788=0,0,I1788/H1788)</f>
        <v/>
      </c>
    </row>
    <row r="1789">
      <c r="A1789" s="17" t="inlineStr">
        <is>
          <t>La redoute</t>
        </is>
      </c>
      <c r="B1789" s="17" t="inlineStr">
        <is>
          <t>Terminé</t>
        </is>
      </c>
      <c r="C1789" s="17" t="inlineStr">
        <is>
          <t>La redoute 5</t>
        </is>
      </c>
      <c r="D1789" s="17" t="inlineStr">
        <is>
          <t>Home and Garden Products</t>
        </is>
      </c>
      <c r="E1789" s="18" t="inlineStr">
        <is>
          <t>La Redoute - Meubles, linge de maison et déco</t>
        </is>
      </c>
      <c r="F1789" s="17" t="inlineStr">
        <is>
          <t>Matelas 580 ressorts ensachés, 5 zones de confort et accueil en mousse viscoélastique : un soutien ferme et un accueil enveloppant.</t>
        </is>
      </c>
      <c r="G178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-601852174.aspx%253F</t>
        </is>
      </c>
      <c r="H1789" s="20" t="n">
        <v>7873</v>
      </c>
      <c r="I1789" s="20" t="n">
        <v>41</v>
      </c>
      <c r="J1789" s="21">
        <f>IF(H1789=0,0,I1789/H1789)</f>
        <v/>
      </c>
    </row>
    <row r="1790">
      <c r="A1790" s="17" t="inlineStr">
        <is>
          <t>La redoute</t>
        </is>
      </c>
      <c r="B1790" s="17" t="inlineStr">
        <is>
          <t>Terminé</t>
        </is>
      </c>
      <c r="C1790" s="17" t="inlineStr">
        <is>
          <t>La redoute 5</t>
        </is>
      </c>
      <c r="D1790" s="17" t="inlineStr">
        <is>
          <t>Home and Garden Products</t>
        </is>
      </c>
      <c r="E1790" s="18" t="inlineStr">
        <is>
          <t>La Redoute - Meubles, linge de maison et déco</t>
        </is>
      </c>
      <c r="F1790" s="17" t="inlineStr">
        <is>
          <t>Tête de lit Tio en rotin, dessinée en demi-lune : une pièce légère et bohème qui habille le mur de la chambre sans l’encombrer.</t>
        </is>
      </c>
      <c r="G179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-529060765.aspx%253F</t>
        </is>
      </c>
      <c r="H1790" s="20" t="n">
        <v>7823</v>
      </c>
      <c r="I1790" s="20" t="n">
        <v>34</v>
      </c>
      <c r="J1790" s="21">
        <f>IF(H1790=0,0,I1790/H1790)</f>
        <v/>
      </c>
    </row>
    <row r="1791">
      <c r="A1791" s="17" t="inlineStr">
        <is>
          <t>La redoute</t>
        </is>
      </c>
      <c r="B1791" s="17" t="inlineStr">
        <is>
          <t>Terminé</t>
        </is>
      </c>
      <c r="C1791" s="17" t="inlineStr">
        <is>
          <t>La redoute 5</t>
        </is>
      </c>
      <c r="D1791" s="17" t="inlineStr">
        <is>
          <t>Meubles et luminaires</t>
        </is>
      </c>
      <c r="E1791" s="18" t="inlineStr">
        <is>
          <t>Lit en chêne massif abouté avec sommier, zulda Couleur</t>
        </is>
      </c>
      <c r="F1791" s="17" t="inlineStr">
        <is>
          <t>Lit en chêne massif abouté avec sommier, Zulda LA REDOUTE INTERIEURS Ce lit en chêne massif Zulda avec sommier s'associe parfaitement avec les têtes de lit vendues sur le</t>
        </is>
      </c>
      <c r="G179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-529030220.aspx%253F</t>
        </is>
      </c>
      <c r="H1791" s="20" t="n">
        <v>7786</v>
      </c>
      <c r="I1791" s="20" t="n">
        <v>35</v>
      </c>
      <c r="J1791" s="21">
        <f>IF(H1791=0,0,I1791/H1791)</f>
        <v/>
      </c>
    </row>
    <row r="1792">
      <c r="A1792" s="17" t="inlineStr">
        <is>
          <t>La redoute</t>
        </is>
      </c>
      <c r="B1792" s="17" t="inlineStr">
        <is>
          <t>Terminé</t>
        </is>
      </c>
      <c r="C1792" s="17" t="inlineStr">
        <is>
          <t>La redoute 5</t>
        </is>
      </c>
      <c r="D1792" s="17" t="inlineStr">
        <is>
          <t>Meubles et luminaires</t>
        </is>
      </c>
      <c r="E1792" s="18" t="inlineStr">
        <is>
          <t>Lampadaire métal fer, laiton et lin, jihana Couleur</t>
        </is>
      </c>
      <c r="F1792" s="17" t="inlineStr">
        <is>
          <t>Lampadaire métal fer, laiton et lin, Jihana AM.PM Abat-jour en lin et design traditionnel... le lampadaire Jihana ose une association de matières éclectique : le pied est</t>
        </is>
      </c>
      <c r="G179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-547929086.aspx%253F</t>
        </is>
      </c>
      <c r="H1792" s="20" t="n">
        <v>7709</v>
      </c>
      <c r="I1792" s="20" t="n">
        <v>28</v>
      </c>
      <c r="J1792" s="21">
        <f>IF(H1792=0,0,I1792/H1792)</f>
        <v/>
      </c>
    </row>
    <row r="1793">
      <c r="A1793" s="17" t="inlineStr">
        <is>
          <t>La redoute</t>
        </is>
      </c>
      <c r="B1793" s="17" t="inlineStr">
        <is>
          <t>Terminé</t>
        </is>
      </c>
      <c r="C1793" s="17" t="inlineStr">
        <is>
          <t>La redoute 5</t>
        </is>
      </c>
      <c r="D1793" s="17" t="inlineStr">
        <is>
          <t>Meubles et luminaires</t>
        </is>
      </c>
      <c r="E1793" s="18" t="inlineStr">
        <is>
          <t>Suspension en verre coloré ø30,5 cm, kinoko La Redoute</t>
        </is>
      </c>
      <c r="F1793" s="17" t="inlineStr">
        <is>
          <t>Suspension en verre coloré Ø30,5 cm, KINOKO LA REDOUTE INTERIEURS La suspension Kinoko fait partie des Signatures : des créations exclusives, signées par notre studio de design.</t>
        </is>
      </c>
      <c r="G179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-538299236.aspx%253F</t>
        </is>
      </c>
      <c r="H1793" s="20" t="n">
        <v>7706</v>
      </c>
      <c r="I1793" s="20" t="n">
        <v>34</v>
      </c>
      <c r="J1793" s="21">
        <f>IF(H1793=0,0,I1793/H1793)</f>
        <v/>
      </c>
    </row>
    <row r="1794">
      <c r="A1794" s="17" t="inlineStr">
        <is>
          <t>La redoute</t>
        </is>
      </c>
      <c r="B1794" s="17" t="inlineStr">
        <is>
          <t>Terminé</t>
        </is>
      </c>
      <c r="C1794" s="17" t="inlineStr">
        <is>
          <t>La redoute 5</t>
        </is>
      </c>
      <c r="D1794" s="17" t="inlineStr">
        <is>
          <t>Clothing and Accessories</t>
        </is>
      </c>
      <c r="E1794" s="18" t="inlineStr">
        <is>
          <t>Mode, chaussures et sacs pas chers | La Redoute</t>
        </is>
      </c>
      <c r="F1794" s="17" t="inlineStr">
        <is>
          <t>Les articles les plus vendus sur La Redoute, mode, maison et déco réunis : de quoi voir ce que les clients choisissent avant de commander.</t>
        </is>
      </c>
      <c r="G1794" s="19" t="inlineStr">
        <is>
          <t>https://lb.affilae.com/r/?p=64a5b1cce48e0dec93102752&amp;af=2339&amp;lp=https%3A%2F%2Flr.app.link%2FQqc5Di3etCb%3F%25243p%3Da_affilae%26%257Eclick_id%3D%257BClickID%257D%26%257Ecampaign%3DAffilae%26affid%3D2339%26cod%3DAFF00080861FR%26%2524fallback_url%3Dhttps%253A%252F%252Fwww.laredoute.fr%252Fpplp%252Fcat-385755.aspx%253F</t>
        </is>
      </c>
      <c r="H1794" s="20" t="n">
        <v>7651</v>
      </c>
      <c r="I1794" s="20" t="n">
        <v>45</v>
      </c>
      <c r="J1794" s="21">
        <f>IF(H1794=0,0,I1794/H1794)</f>
        <v/>
      </c>
    </row>
    <row r="1795">
      <c r="A1795" s="17" t="inlineStr">
        <is>
          <t>La redoute</t>
        </is>
      </c>
      <c r="B1795" s="17" t="inlineStr">
        <is>
          <t>Terminé</t>
        </is>
      </c>
      <c r="C1795" s="17" t="inlineStr">
        <is>
          <t>La redoute 5</t>
        </is>
      </c>
      <c r="D1795" s="17" t="inlineStr">
        <is>
          <t>Enfant et bébé</t>
        </is>
      </c>
      <c r="E1795" s="18" t="inlineStr">
        <is>
          <t>Gigoteuse Coton Nid D'abeille, Tifly</t>
        </is>
      </c>
      <c r="F1795" s="17" t="inlineStr">
        <is>
          <t>Voici Tifly. Une Gigoteuse Douce Et Moelleuse : Parfaite Pour Emmitoufler Les Petits Lapins. Un Design Exclusif La Redoute Intérieurs.Le Coton Fait Partie De Notre Quotidien. On</t>
        </is>
      </c>
      <c r="G179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-549114393.aspx%253F</t>
        </is>
      </c>
      <c r="H1795" s="20" t="n">
        <v>7613</v>
      </c>
      <c r="I1795" s="20" t="n">
        <v>30</v>
      </c>
      <c r="J1795" s="21">
        <f>IF(H1795=0,0,I1795/H1795)</f>
        <v/>
      </c>
    </row>
    <row r="1796">
      <c r="A1796" s="17" t="inlineStr">
        <is>
          <t>La redoute</t>
        </is>
      </c>
      <c r="B1796" s="17" t="inlineStr">
        <is>
          <t>Terminé</t>
        </is>
      </c>
      <c r="C1796" s="17" t="inlineStr">
        <is>
          <t>La redoute 5</t>
        </is>
      </c>
      <c r="D1796" s="17" t="inlineStr">
        <is>
          <t>Clothing and Accessories</t>
        </is>
      </c>
      <c r="E1796" s="18" t="inlineStr">
        <is>
          <t>Mode, chaussures et sacs pas chers | La Redoute</t>
        </is>
      </c>
      <c r="F1796" s="17" t="inlineStr">
        <is>
          <t>Ceinture Pilja Pieces en cuir, 3 cm de large et boucle en métal : elle marque la taille sur un jean droit comme sur une robe longue.</t>
        </is>
      </c>
      <c r="G179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-529482992.aspx%253F</t>
        </is>
      </c>
      <c r="H1796" s="20" t="n">
        <v>7412</v>
      </c>
      <c r="I1796" s="20" t="n">
        <v>57</v>
      </c>
      <c r="J1796" s="21">
        <f>IF(H1796=0,0,I1796/H1796)</f>
        <v/>
      </c>
    </row>
    <row r="1797">
      <c r="A1797" s="17" t="inlineStr">
        <is>
          <t>La redoute</t>
        </is>
      </c>
      <c r="B1797" s="17" t="inlineStr">
        <is>
          <t>Terminé</t>
        </is>
      </c>
      <c r="C1797" s="17" t="inlineStr">
        <is>
          <t>La redoute 5</t>
        </is>
      </c>
      <c r="D1797" s="17" t="inlineStr">
        <is>
          <t>Baby and Toddler Products</t>
        </is>
      </c>
      <c r="E1797" s="18" t="inlineStr">
        <is>
          <t>Gigoteuse Coton Nid D'abeille, Tifly</t>
        </is>
      </c>
      <c r="F1797" s="17" t="inlineStr">
        <is>
          <t>Voici Tifly. Une Gigoteuse Douce Et Moelleuse : Parfaite Pour Emmitoufler Les Petits Lapins. Un Design Exclusif La Redoute Intérieurs.Le Coton Fait Partie De Notre Quotidien. On</t>
        </is>
      </c>
      <c r="G179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-549114393.aspx%253F</t>
        </is>
      </c>
      <c r="H1797" s="20" t="n">
        <v>7311</v>
      </c>
      <c r="I1797" s="20" t="n">
        <v>22</v>
      </c>
      <c r="J1797" s="21">
        <f>IF(H1797=0,0,I1797/H1797)</f>
        <v/>
      </c>
    </row>
    <row r="1798">
      <c r="A1798" s="17" t="inlineStr">
        <is>
          <t>La redoute</t>
        </is>
      </c>
      <c r="B1798" s="17" t="inlineStr">
        <is>
          <t>Terminé</t>
        </is>
      </c>
      <c r="C1798" s="17" t="inlineStr">
        <is>
          <t>La redoute 5</t>
        </is>
      </c>
      <c r="D1798" s="17" t="inlineStr">
        <is>
          <t>Vaisselle et ustensiles de cuisine</t>
        </is>
      </c>
      <c r="E1798" s="18" t="inlineStr">
        <is>
          <t>Lot 4 assiettes plates craquelées, gogain La Redoute</t>
        </is>
      </c>
      <c r="F1798" s="17" t="inlineStr">
        <is>
          <t>Lot 4 assiettes plates craquelées, GOGAIN LA REDOUTE INTERIEURS Les 4 assiettes plates en grès ondulé bicolore Gogain. Du petit déjeuner au dîner, en famille ou entre amis, La</t>
        </is>
      </c>
      <c r="G179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t>
        </is>
      </c>
      <c r="H1798" s="20" t="n">
        <v>7299</v>
      </c>
      <c r="I1798" s="20" t="n">
        <v>36</v>
      </c>
      <c r="J1798" s="21">
        <f>IF(H1798=0,0,I1798/H1798)</f>
        <v/>
      </c>
    </row>
    <row r="1799">
      <c r="A1799" s="17" t="inlineStr">
        <is>
          <t>La redoute</t>
        </is>
      </c>
      <c r="B1799" s="17" t="inlineStr">
        <is>
          <t>Terminé</t>
        </is>
      </c>
      <c r="C1799" s="17" t="inlineStr">
        <is>
          <t>La redoute 5</t>
        </is>
      </c>
      <c r="D1799" s="17" t="inlineStr">
        <is>
          <t>Clothing and Accessories</t>
        </is>
      </c>
      <c r="E1799" s="18" t="inlineStr">
        <is>
          <t>La Redoute Collections</t>
        </is>
      </c>
      <c r="F1799" s="17" t="inlineStr">
        <is>
          <t>La marque de mode de La Redoute : vêtements femme, homme et enfant dessinés à Paris.</t>
        </is>
      </c>
      <c r="G1799" s="19" t="inlineStr">
        <is>
          <t>https://lb.affilae.com/r/?p=64a5b1cce48e0dec93102752&amp;af=2339&amp;lp=https%3A%2F%2Flr.app.link%2FQqc5Di3etCb%3F%25243p%3Da_affilae%26%257Eclick_id%3D%257BClickID%257D%26%257Ecampaign%3DAffilae%26affid%3D2339%26cod%3DAFF00080861FR%26%2524fallback_url%3Dhttps%253A%252F%252Fwww.laredoute.fr%252Falt%252Flaredoutecollections.aspx%253F</t>
        </is>
      </c>
      <c r="H1799" s="20" t="n">
        <v>7280</v>
      </c>
      <c r="I1799" s="20" t="n">
        <v>77</v>
      </c>
      <c r="J1799" s="21">
        <f>IF(H1799=0,0,I1799/H1799)</f>
        <v/>
      </c>
    </row>
    <row r="1800">
      <c r="A1800" s="17" t="inlineStr">
        <is>
          <t>La redoute</t>
        </is>
      </c>
      <c r="B1800" s="17" t="inlineStr">
        <is>
          <t>Terminé</t>
        </is>
      </c>
      <c r="C1800" s="17" t="inlineStr">
        <is>
          <t>La redoute 5</t>
        </is>
      </c>
      <c r="D1800" s="17" t="inlineStr">
        <is>
          <t>Bedroom Furniture and Accessories</t>
        </is>
      </c>
      <c r="E1800" s="18" t="inlineStr">
        <is>
          <t>Mobilier de chambre à prix bas | La Redoute</t>
        </is>
      </c>
      <c r="F1800" s="17" t="inlineStr">
        <is>
          <t>Le lit Zulda en chêne massif abouté est vendu avec son sommier et se marie aux têtes de lit proposées sur le site La Redoute Intérieurs.</t>
        </is>
      </c>
      <c r="G180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-529030220.aspx%253F</t>
        </is>
      </c>
      <c r="H1800" s="20" t="n">
        <v>7081</v>
      </c>
      <c r="I1800" s="20" t="n">
        <v>41</v>
      </c>
      <c r="J1800" s="21">
        <f>IF(H1800=0,0,I1800/H1800)</f>
        <v/>
      </c>
    </row>
    <row r="1801">
      <c r="A1801" s="17" t="inlineStr">
        <is>
          <t>La redoute</t>
        </is>
      </c>
      <c r="B1801" s="17" t="inlineStr">
        <is>
          <t>Terminé</t>
        </is>
      </c>
      <c r="C1801" s="17" t="inlineStr">
        <is>
          <t>La redoute 5</t>
        </is>
      </c>
      <c r="D1801" s="17" t="inlineStr">
        <is>
          <t>Home and Garden Products</t>
        </is>
      </c>
      <c r="E1801" s="18" t="inlineStr">
        <is>
          <t>Canapé velours, lazare Am.Pm | La Redoute</t>
        </is>
      </c>
      <c r="F1801" s="17" t="inlineStr">
        <is>
          <t>Canapé velours, Lazare AM.PM Classique intemporel aux volumes contemporains, Lazare est un Iconique AMPM. Une création exclusive, ancrée dans l’ADN de la marque. Plus qu’un...</t>
        </is>
      </c>
      <c r="G180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-500807014.aspx%253F</t>
        </is>
      </c>
      <c r="H1801" s="20" t="n">
        <v>7038</v>
      </c>
      <c r="I1801" s="20" t="n">
        <v>25</v>
      </c>
      <c r="J1801" s="21">
        <f>IF(H1801=0,0,I1801/H1801)</f>
        <v/>
      </c>
    </row>
    <row r="1802">
      <c r="A1802" s="17" t="inlineStr">
        <is>
          <t>La redoute</t>
        </is>
      </c>
      <c r="B1802" s="17" t="inlineStr">
        <is>
          <t>Terminé</t>
        </is>
      </c>
      <c r="C1802" s="17" t="inlineStr">
        <is>
          <t>La redoute 5</t>
        </is>
      </c>
      <c r="D1802" s="17" t="inlineStr">
        <is>
          <t>Mobilier de jardin</t>
        </is>
      </c>
      <c r="E1802" s="18" t="inlineStr">
        <is>
          <t>Parasol motif léopard, finition frangée, savana imprimé</t>
        </is>
      </c>
      <c r="F1802" s="17" t="inlineStr">
        <is>
          <t>Parasol motif léopard, finition frangée, SAVANA LA REDOUTE INTERIEURS Créez votre espace ombragé et convivial avec ce parasol motif léopard. Sa toile en polyester déperlante vous</t>
        </is>
      </c>
      <c r="G180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-602459542.aspx%253F</t>
        </is>
      </c>
      <c r="H1802" s="20" t="n">
        <v>7030</v>
      </c>
      <c r="I1802" s="20" t="n">
        <v>32</v>
      </c>
      <c r="J1802" s="21">
        <f>IF(H1802=0,0,I1802/H1802)</f>
        <v/>
      </c>
    </row>
    <row r="1803">
      <c r="A1803" s="17" t="inlineStr">
        <is>
          <t>La redoute</t>
        </is>
      </c>
      <c r="B1803" s="17" t="inlineStr">
        <is>
          <t>Terminé</t>
        </is>
      </c>
      <c r="C1803" s="17" t="inlineStr">
        <is>
          <t>La redoute 5</t>
        </is>
      </c>
      <c r="D1803" s="17" t="inlineStr">
        <is>
          <t>Enfant et bébé</t>
        </is>
      </c>
      <c r="E1803" s="18" t="inlineStr">
        <is>
          <t>Drap Housse En Coton, Lit Enfant, Scenario</t>
        </is>
      </c>
      <c r="F1803" s="17" t="inlineStr">
        <is>
          <t>La Housse De Couette, Lit Enfant, SCENARIO En Toile Pur Coton Au Tissage Bien Serré, Douce Et Confortable.Une Superbe Gamme De Coloris Très Actuels, À Mixer À Volonté Avec Les</t>
        </is>
      </c>
      <c r="G180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-501071118.aspx%253F</t>
        </is>
      </c>
      <c r="H1803" s="20" t="n">
        <v>7022</v>
      </c>
      <c r="I1803" s="20" t="n">
        <v>40</v>
      </c>
      <c r="J1803" s="21">
        <f>IF(H1803=0,0,I1803/H1803)</f>
        <v/>
      </c>
    </row>
    <row r="1804">
      <c r="A1804" s="17" t="inlineStr">
        <is>
          <t>La redoute</t>
        </is>
      </c>
      <c r="B1804" s="17" t="inlineStr">
        <is>
          <t>Terminé</t>
        </is>
      </c>
      <c r="C1804" s="17" t="inlineStr">
        <is>
          <t>La redoute 5</t>
        </is>
      </c>
      <c r="D1804" s="17" t="inlineStr">
        <is>
          <t>Home and Garden Products</t>
        </is>
      </c>
      <c r="E1804" s="18" t="inlineStr">
        <is>
          <t>Couette tempérée essentielle anti-acarien Couleur blanc La</t>
        </is>
      </c>
      <c r="F1804" s="17" t="inlineStr">
        <is>
          <t>Couette tempérée Essentielle anti-acarien LA REDOUTE INTERIEURS La couette 100% polyester, fibre creuse siliconée pour plus de confort traitée Acaristop Green. Une couette</t>
        </is>
      </c>
      <c r="G180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-500787402.aspx%253F</t>
        </is>
      </c>
      <c r="H1804" s="20" t="n">
        <v>6871</v>
      </c>
      <c r="I1804" s="20" t="n">
        <v>28</v>
      </c>
      <c r="J1804" s="21">
        <f>IF(H1804=0,0,I1804/H1804)</f>
        <v/>
      </c>
    </row>
    <row r="1805">
      <c r="A1805" s="17" t="inlineStr">
        <is>
          <t>La redoute</t>
        </is>
      </c>
      <c r="B1805" s="17" t="inlineStr">
        <is>
          <t>Terminé</t>
        </is>
      </c>
      <c r="C1805" s="17" t="inlineStr">
        <is>
          <t>La redoute 5</t>
        </is>
      </c>
      <c r="D1805" s="17" t="inlineStr">
        <is>
          <t>Vaisselle et ustensiles de cuisine</t>
        </is>
      </c>
      <c r="E1805" s="18" t="inlineStr">
        <is>
          <t>Lot de 6 verres à pied verre bullé, faraji La Redoute</t>
        </is>
      </c>
      <c r="F1805" s="17" t="inlineStr">
        <is>
          <t>Lot de 6 verres à pied verre bullé, Faraji LA REDOUTE INTERIEURS Une texture bullée réalisée dans la matière, une forme tout en rondeur, on craque ! Ce lot de 6 verres à pied de</t>
        </is>
      </c>
      <c r="G180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-543516906.aspx%253F</t>
        </is>
      </c>
      <c r="H1805" s="20" t="n">
        <v>6857</v>
      </c>
      <c r="I1805" s="20" t="n">
        <v>32</v>
      </c>
      <c r="J1805" s="21">
        <f>IF(H1805=0,0,I1805/H1805)</f>
        <v/>
      </c>
    </row>
    <row r="1806">
      <c r="A1806" s="17" t="inlineStr">
        <is>
          <t>La redoute</t>
        </is>
      </c>
      <c r="B1806" s="17" t="inlineStr">
        <is>
          <t>Terminé</t>
        </is>
      </c>
      <c r="C1806" s="17" t="inlineStr">
        <is>
          <t>La redoute 5</t>
        </is>
      </c>
      <c r="D1806" s="17" t="inlineStr">
        <is>
          <t>Home and Garden Products</t>
        </is>
      </c>
      <c r="E1806" s="18" t="inlineStr">
        <is>
          <t>La Redoute - Meubles, linge de maison et déco</t>
        </is>
      </c>
      <c r="F1806" s="17" t="inlineStr">
        <is>
          <t>Batterie de cuisine Ingenio Emotion Tefal en inox, 20 pièces : 3 poêles, 3 casseroles, un wok et une sauteuse pour équiper la cuisine d’un coup.</t>
        </is>
      </c>
      <c r="G180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-602486640.aspx%253F</t>
        </is>
      </c>
      <c r="H1806" s="20" t="n">
        <v>6600</v>
      </c>
      <c r="I1806" s="20" t="n">
        <v>29</v>
      </c>
      <c r="J1806" s="21">
        <f>IF(H1806=0,0,I1806/H1806)</f>
        <v/>
      </c>
    </row>
    <row r="1807">
      <c r="A1807" s="17" t="inlineStr">
        <is>
          <t>La redoute</t>
        </is>
      </c>
      <c r="B1807" s="17" t="inlineStr">
        <is>
          <t>Terminé</t>
        </is>
      </c>
      <c r="C1807" s="17" t="inlineStr">
        <is>
          <t>La redoute 5</t>
        </is>
      </c>
      <c r="D1807" s="17" t="inlineStr">
        <is>
          <t>Vaisselle et ustensiles de cuisine</t>
        </is>
      </c>
      <c r="E1807" s="18" t="inlineStr">
        <is>
          <t>Batterie de cuisine 20 pièces ingénio emotion inox Tefal |</t>
        </is>
      </c>
      <c r="F1807" s="17" t="inlineStr">
        <is>
          <t>Batterie de cuisine 20 pièces Ingénio Emotion TEFAL Ingenio, bien plus qu’une poêle !Ce set se compose de  : 3 Poêles 22/26/28 cm, 3 Casseroles 16/18/20 cm, 1 Wok 26 cm + Sauteuse</t>
        </is>
      </c>
      <c r="G180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-602486640.aspx%253F</t>
        </is>
      </c>
      <c r="H1807" s="20" t="n">
        <v>6569</v>
      </c>
      <c r="I1807" s="20" t="n">
        <v>31</v>
      </c>
      <c r="J1807" s="21">
        <f>IF(H1807=0,0,I1807/H1807)</f>
        <v/>
      </c>
    </row>
    <row r="1808">
      <c r="A1808" s="17" t="inlineStr">
        <is>
          <t>La redoute</t>
        </is>
      </c>
      <c r="B1808" s="17" t="inlineStr">
        <is>
          <t>Terminé</t>
        </is>
      </c>
      <c r="C1808" s="17" t="inlineStr">
        <is>
          <t>La redoute 5</t>
        </is>
      </c>
      <c r="D1808" s="17" t="inlineStr">
        <is>
          <t>Home and Garden Products</t>
        </is>
      </c>
      <c r="E1808" s="18" t="inlineStr">
        <is>
          <t>La Redoute - Meubles, linge de maison et déco</t>
        </is>
      </c>
      <c r="F1808" s="17" t="inlineStr">
        <is>
          <t>Lot de 6 verres à pied Faraji en verre bullé, La Redoute Intérieurs : une texture réalisée dans la matière et une forme tout en rondeur.</t>
        </is>
      </c>
      <c r="G180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-543516906.aspx%253F</t>
        </is>
      </c>
      <c r="H1808" s="20" t="n">
        <v>6445</v>
      </c>
      <c r="I1808" s="20" t="n">
        <v>27</v>
      </c>
      <c r="J1808" s="21">
        <f>IF(H1808=0,0,I1808/H1808)</f>
        <v/>
      </c>
    </row>
    <row r="1809">
      <c r="A1809" s="17" t="inlineStr">
        <is>
          <t>La redoute</t>
        </is>
      </c>
      <c r="B1809" s="17" t="inlineStr">
        <is>
          <t>Terminé</t>
        </is>
      </c>
      <c r="C1809" s="17" t="inlineStr">
        <is>
          <t>La redoute 5</t>
        </is>
      </c>
      <c r="D1809" s="17" t="inlineStr">
        <is>
          <t>Home and Garden Products</t>
        </is>
      </c>
      <c r="E1809" s="18" t="inlineStr">
        <is>
          <t>Pied tulipe métal acier, aradan Am.Pm | La Redoute</t>
        </is>
      </c>
      <c r="F1809" s="17" t="inlineStr">
        <is>
          <t>Pied tulipe métal acier, Aradan AM.PM Beauté des matériaux et lignes contemporaines. Une table à personnaliser selon votre espace et vos envies. Associez plateau et pied, mixez</t>
        </is>
      </c>
      <c r="G180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-502586506.aspx%253F</t>
        </is>
      </c>
      <c r="H1809" s="20" t="n">
        <v>6380</v>
      </c>
      <c r="I1809" s="20" t="n">
        <v>33</v>
      </c>
      <c r="J1809" s="21">
        <f>IF(H1809=0,0,I1809/H1809)</f>
        <v/>
      </c>
    </row>
    <row r="1810">
      <c r="A1810" s="17" t="inlineStr">
        <is>
          <t>La redoute</t>
        </is>
      </c>
      <c r="B1810" s="17" t="inlineStr">
        <is>
          <t>Terminé</t>
        </is>
      </c>
      <c r="C1810" s="17" t="inlineStr">
        <is>
          <t>La redoute 5</t>
        </is>
      </c>
      <c r="D1810" s="17" t="inlineStr">
        <is>
          <t>Home and Garden Products</t>
        </is>
      </c>
      <c r="E1810" s="18" t="inlineStr">
        <is>
          <t>Décoration, meubles et jardin à prix bas | La Redoute</t>
        </is>
      </c>
      <c r="F1810" s="17" t="inlineStr">
        <is>
          <t>Du parasol Savana en toile déperlante aux meubles et à la décoration, La Redoute habille la maison, le balcon et le jardin, saison par saison.</t>
        </is>
      </c>
      <c r="G181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-602459542.aspx%253F</t>
        </is>
      </c>
      <c r="H1810" s="20" t="n">
        <v>6352</v>
      </c>
      <c r="I1810" s="20" t="n">
        <v>33</v>
      </c>
      <c r="J1810" s="21">
        <f>IF(H1810=0,0,I1810/H1810)</f>
        <v/>
      </c>
    </row>
    <row r="1811">
      <c r="A1811" s="17" t="inlineStr">
        <is>
          <t>La redoute</t>
        </is>
      </c>
      <c r="B1811" s="17" t="inlineStr">
        <is>
          <t>Terminé</t>
        </is>
      </c>
      <c r="C1811" s="17" t="inlineStr">
        <is>
          <t>La redoute 5</t>
        </is>
      </c>
      <c r="D1811" s="17" t="inlineStr">
        <is>
          <t>Enfant et bébé</t>
        </is>
      </c>
      <c r="E1811" s="18" t="inlineStr">
        <is>
          <t>Couette tempérée essentielle anti-acarien Couleur blanc La</t>
        </is>
      </c>
      <c r="F1811" s="17" t="inlineStr">
        <is>
          <t>Couette tempérée Essentielle anti-acarien LA REDOUTE INTERIEURS La couette 100% polyester, fibre creuse siliconée pour plus de confort traitée Acaristop Green. Une couette</t>
        </is>
      </c>
      <c r="G181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-500787402.aspx%253F</t>
        </is>
      </c>
      <c r="H1811" s="20" t="n">
        <v>6297</v>
      </c>
      <c r="I1811" s="20" t="n">
        <v>30</v>
      </c>
      <c r="J1811" s="21">
        <f>IF(H1811=0,0,I1811/H1811)</f>
        <v/>
      </c>
    </row>
    <row r="1812">
      <c r="A1812" s="17" t="inlineStr">
        <is>
          <t>La redoute</t>
        </is>
      </c>
      <c r="B1812" s="17" t="inlineStr">
        <is>
          <t>Terminé</t>
        </is>
      </c>
      <c r="C1812" s="17" t="inlineStr">
        <is>
          <t>La redoute 5</t>
        </is>
      </c>
      <c r="D1812" s="17" t="inlineStr">
        <is>
          <t>Home and Garden Products</t>
        </is>
      </c>
      <c r="E1812" s="18" t="inlineStr">
        <is>
          <t>Drap housse en coton bonnet 25 cm, scenario bleu de</t>
        </is>
      </c>
      <c r="F1812" s="17" t="inlineStr">
        <is>
          <t>Drap housse en coton bonnet 25 cm, Scenario LA REDOUTE INTERIEURS Le drap housse en toile de coton.Le coton fait partie de notre quotidien. On l'aime pour sa souplesse et sa</t>
        </is>
      </c>
      <c r="G181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-500772605.aspx%253F</t>
        </is>
      </c>
      <c r="H1812" s="20" t="n">
        <v>6115</v>
      </c>
      <c r="I1812" s="20" t="n">
        <v>34</v>
      </c>
      <c r="J1812" s="21">
        <f>IF(H1812=0,0,I1812/H1812)</f>
        <v/>
      </c>
    </row>
    <row r="1813">
      <c r="A1813" s="17" t="inlineStr">
        <is>
          <t>La redoute</t>
        </is>
      </c>
      <c r="B1813" s="17" t="inlineStr">
        <is>
          <t>Terminé</t>
        </is>
      </c>
      <c r="C1813" s="17" t="inlineStr">
        <is>
          <t>La redoute 5</t>
        </is>
      </c>
      <c r="D1813" s="17" t="inlineStr">
        <is>
          <t>Home and Garden Products</t>
        </is>
      </c>
      <c r="E1813" s="18" t="inlineStr">
        <is>
          <t>La Redoute - Meubles, linge de maison et déco</t>
        </is>
      </c>
      <c r="F1813" s="17" t="inlineStr">
        <is>
          <t>Lot de 2 serviettes en éponge Zavara de 600 g/m² : extra moelleuses, elles offrent un vrai pouvoir d’absorption, du gonflant et du confort.</t>
        </is>
      </c>
      <c r="G181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-500786762.aspx%253F</t>
        </is>
      </c>
      <c r="H1813" s="20" t="n">
        <v>5994</v>
      </c>
      <c r="I1813" s="20" t="n">
        <v>30</v>
      </c>
      <c r="J1813" s="21">
        <f>IF(H1813=0,0,I1813/H1813)</f>
        <v/>
      </c>
    </row>
    <row r="1814">
      <c r="A1814" s="17" t="inlineStr">
        <is>
          <t>La redoute</t>
        </is>
      </c>
      <c r="B1814" s="17" t="inlineStr">
        <is>
          <t>Terminé</t>
        </is>
      </c>
      <c r="C1814" s="17" t="inlineStr">
        <is>
          <t>La redoute 5</t>
        </is>
      </c>
      <c r="D1814" s="17" t="inlineStr">
        <is>
          <t>Clothing and Accessories</t>
        </is>
      </c>
      <c r="E1814" s="18" t="inlineStr">
        <is>
          <t>Tongs compensées slim flatform noir Havaianas | La Redoute</t>
        </is>
      </c>
      <c r="F1814" s="17" t="inlineStr">
        <is>
          <t>Tongs compensées Slim Flatform HAVAIANAS Détails produit •  Tongs •  Fermeture : A enfiler •  Bout rondComposition et Entretien •  Dessus/Tige : 100% pvc (polychlorure de</t>
        </is>
      </c>
      <c r="G181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-537300332.aspx%253F</t>
        </is>
      </c>
      <c r="H1814" s="20" t="n">
        <v>5954</v>
      </c>
      <c r="I1814" s="20" t="n">
        <v>22</v>
      </c>
      <c r="J1814" s="21">
        <f>IF(H1814=0,0,I1814/H1814)</f>
        <v/>
      </c>
    </row>
    <row r="1815">
      <c r="A1815" s="17" t="inlineStr">
        <is>
          <t>La redoute</t>
        </is>
      </c>
      <c r="B1815" s="17" t="inlineStr">
        <is>
          <t>Terminé</t>
        </is>
      </c>
      <c r="C1815" s="17" t="inlineStr">
        <is>
          <t>La redoute 5</t>
        </is>
      </c>
      <c r="D1815" s="17" t="inlineStr">
        <is>
          <t>Home and Garden Products</t>
        </is>
      </c>
      <c r="E1815" s="18" t="inlineStr">
        <is>
          <t>La Redoute - Meubles, linge de maison et déco</t>
        </is>
      </c>
      <c r="F1815" s="17" t="inlineStr">
        <is>
          <t>Lit Zulda en chêne massif abouté, sommier compris : il s’associe aux têtes de lit vendues séparément sur le site pour composer la chambre.</t>
        </is>
      </c>
      <c r="G181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-529030220.aspx%253F</t>
        </is>
      </c>
      <c r="H1815" s="20" t="n">
        <v>5838</v>
      </c>
      <c r="I1815" s="20" t="n">
        <v>25</v>
      </c>
      <c r="J1815" s="21">
        <f>IF(H1815=0,0,I1815/H1815)</f>
        <v/>
      </c>
    </row>
    <row r="1816">
      <c r="A1816" s="17" t="inlineStr">
        <is>
          <t>La redoute</t>
        </is>
      </c>
      <c r="B1816" s="17" t="inlineStr">
        <is>
          <t>Terminé</t>
        </is>
      </c>
      <c r="C1816" s="17" t="inlineStr">
        <is>
          <t>La redoute 5</t>
        </is>
      </c>
      <c r="D1816" s="17" t="inlineStr">
        <is>
          <t>Clothing and Accessories</t>
        </is>
      </c>
      <c r="E1816" s="18" t="inlineStr">
        <is>
          <t>Sandales gryphon en cuir atlas bordeaux foncé Dr. Martens |</t>
        </is>
      </c>
      <c r="F1816" s="17" t="inlineStr">
        <is>
          <t>Sandales Gryphon en cuir Atlas DR. MARTENS Détails produit •  Talon plat •  Hauteur de talon : 2 cm •  Fermeture : A bride/boucle •  Bout rondComposition et</t>
        </is>
      </c>
      <c r="G181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-602511404.aspx%253F</t>
        </is>
      </c>
      <c r="H1816" s="20" t="n">
        <v>5837</v>
      </c>
      <c r="I1816" s="20" t="n">
        <v>28</v>
      </c>
      <c r="J1816" s="21">
        <f>IF(H1816=0,0,I1816/H1816)</f>
        <v/>
      </c>
    </row>
    <row r="1817">
      <c r="A1817" s="17" t="inlineStr">
        <is>
          <t>La redoute</t>
        </is>
      </c>
      <c r="B1817" s="17" t="inlineStr">
        <is>
          <t>Terminé</t>
        </is>
      </c>
      <c r="C1817" s="17" t="inlineStr">
        <is>
          <t>La redoute 5</t>
        </is>
      </c>
      <c r="D1817" s="17" t="inlineStr">
        <is>
          <t>Baby and Toddler Products</t>
        </is>
      </c>
      <c r="E1817" s="18" t="inlineStr">
        <is>
          <t>Linge de lit et de bain bébé au meilleur prix | La Redoute</t>
        </is>
      </c>
      <c r="F1817" s="17" t="inlineStr">
        <is>
          <t>Gigoteuses, capes de bain et draps-housses pour lit d’enfant, en coton et en gaze, taillés pour les berceaux comme pour les lits évolutifs.</t>
        </is>
      </c>
      <c r="G181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-501071118.aspx%253F</t>
        </is>
      </c>
      <c r="H1817" s="20" t="n">
        <v>5834</v>
      </c>
      <c r="I1817" s="20" t="n">
        <v>36</v>
      </c>
      <c r="J1817" s="21">
        <f>IF(H1817=0,0,I1817/H1817)</f>
        <v/>
      </c>
    </row>
    <row r="1818">
      <c r="A1818" s="17" t="inlineStr">
        <is>
          <t>La redoute</t>
        </is>
      </c>
      <c r="B1818" s="17" t="inlineStr">
        <is>
          <t>Terminé</t>
        </is>
      </c>
      <c r="C1818" s="17" t="inlineStr">
        <is>
          <t>La redoute 5</t>
        </is>
      </c>
      <c r="D1818" s="17" t="inlineStr">
        <is>
          <t>Home and Garden Products</t>
        </is>
      </c>
      <c r="E1818" s="18" t="inlineStr">
        <is>
          <t>La Redoute - Meubles, linge de maison et déco</t>
        </is>
      </c>
      <c r="F1818" s="17" t="inlineStr">
        <is>
          <t>Tapis Hempy AM.PM en jute tressé à la main en Inde : des tons naturels, une texture nuancée et une rusticité contemporaine qui réchauffe le salon.</t>
        </is>
      </c>
      <c r="G181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-500808352.aspx%253F</t>
        </is>
      </c>
      <c r="H1818" s="20" t="n">
        <v>5739</v>
      </c>
      <c r="I1818" s="20" t="n">
        <v>30</v>
      </c>
      <c r="J1818" s="21">
        <f>IF(H1818=0,0,I1818/H1818)</f>
        <v/>
      </c>
    </row>
    <row r="1819">
      <c r="A1819" s="17" t="inlineStr">
        <is>
          <t>La redoute</t>
        </is>
      </c>
      <c r="B1819" s="17" t="inlineStr">
        <is>
          <t>Terminé</t>
        </is>
      </c>
      <c r="C1819" s="17" t="inlineStr">
        <is>
          <t>La redoute 5</t>
        </is>
      </c>
      <c r="D1819" s="17" t="inlineStr">
        <is>
          <t>Home and Garden Products</t>
        </is>
      </c>
      <c r="E1819" s="18" t="inlineStr">
        <is>
          <t>Oreiller medium - cocooning &amp;  anti-acariens Couleur blanc</t>
        </is>
      </c>
      <c r="F1819" s="17" t="inlineStr">
        <is>
          <t>Oreiller MEDIUM - Cocooning &amp;  Anti-Acariens DODO Toucher moelleux et superbes finitions pour l'oreiller Suprelle® Allerban DODO. •  Oreiller moelleux •  Idéal si vous dormez sur</t>
        </is>
      </c>
      <c r="G181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-500990638.aspx%253F</t>
        </is>
      </c>
      <c r="H1819" s="20" t="n">
        <v>5690</v>
      </c>
      <c r="I1819" s="20" t="n">
        <v>18</v>
      </c>
      <c r="J1819" s="21">
        <f>IF(H1819=0,0,I1819/H1819)</f>
        <v/>
      </c>
    </row>
    <row r="1820">
      <c r="A1820" s="17" t="inlineStr">
        <is>
          <t>La redoute</t>
        </is>
      </c>
      <c r="B1820" s="17" t="inlineStr">
        <is>
          <t>Terminé</t>
        </is>
      </c>
      <c r="C1820" s="17" t="inlineStr">
        <is>
          <t>La redoute 5</t>
        </is>
      </c>
      <c r="D1820" s="17" t="inlineStr">
        <is>
          <t>Home and Garden Products</t>
        </is>
      </c>
      <c r="E1820" s="18" t="inlineStr">
        <is>
          <t>La Redoute - Meubles, linge de maison et déco</t>
        </is>
      </c>
      <c r="F1820" s="17" t="inlineStr">
        <is>
          <t>Les articles les plus vendus sur La Redoute, mode, maison et déco réunis : de quoi voir ce que les clients choisissent avant de commander.</t>
        </is>
      </c>
      <c r="G1820" s="19" t="inlineStr">
        <is>
          <t>https://lb.affilae.com/r/?p=64a5b1cce48e0dec93102752&amp;af=2339&amp;lp=https%3A%2F%2Flr.app.link%2FQqc5Di3etCb%3F%25243p%3Da_affilae%26%257Eclick_id%3D%257BClickID%257D%26%257Ecampaign%3DAffilae%26affid%3D2339%26cod%3DAFF00080861FR%26%2524fallback_url%3Dhttps%253A%252F%252Fwww.laredoute.fr%252Fpplp%252Fcat-385755.aspx%253F</t>
        </is>
      </c>
      <c r="H1820" s="20" t="n">
        <v>5606</v>
      </c>
      <c r="I1820" s="20" t="n">
        <v>40</v>
      </c>
      <c r="J1820" s="21">
        <f>IF(H1820=0,0,I1820/H1820)</f>
        <v/>
      </c>
    </row>
    <row r="1821">
      <c r="A1821" s="17" t="inlineStr">
        <is>
          <t>La redoute</t>
        </is>
      </c>
      <c r="B1821" s="17" t="inlineStr">
        <is>
          <t>Terminé</t>
        </is>
      </c>
      <c r="C1821" s="17" t="inlineStr">
        <is>
          <t>La redoute 5</t>
        </is>
      </c>
      <c r="D1821" s="17" t="inlineStr">
        <is>
          <t>Home and Garden Products</t>
        </is>
      </c>
      <c r="E1821" s="18" t="inlineStr">
        <is>
          <t>La Redoute - Meubles, linge de maison et déco</t>
        </is>
      </c>
      <c r="F1821" s="17" t="inlineStr">
        <is>
          <t>Suspension Kinoko en verre coloré de 30,5 cm de diamètre, signée par le studio de design de La Redoute Intérieurs : une lumière colorée au-dessus de la table.</t>
        </is>
      </c>
      <c r="G182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-538299236.aspx%253F</t>
        </is>
      </c>
      <c r="H1821" s="20" t="n">
        <v>5585</v>
      </c>
      <c r="I1821" s="20" t="n">
        <v>35</v>
      </c>
      <c r="J1821" s="21">
        <f>IF(H1821=0,0,I1821/H1821)</f>
        <v/>
      </c>
    </row>
    <row r="1822">
      <c r="A1822" s="17" t="inlineStr">
        <is>
          <t>La redoute</t>
        </is>
      </c>
      <c r="B1822" s="17" t="inlineStr">
        <is>
          <t>Terminé</t>
        </is>
      </c>
      <c r="C1822" s="17" t="inlineStr">
        <is>
          <t>La redoute 5</t>
        </is>
      </c>
      <c r="D1822" s="17" t="inlineStr">
        <is>
          <t>Home and Garden Products</t>
        </is>
      </c>
      <c r="E1822" s="18" t="inlineStr">
        <is>
          <t>La Redoute - Meubles, linge de maison et déco</t>
        </is>
      </c>
      <c r="F1822" s="17" t="inlineStr">
        <is>
          <t>Drap housse Scenario pour lit enfant, en toile de pur coton au tissage serré : douce et confortable, elle existe en de nombreux coloris à mixer.</t>
        </is>
      </c>
      <c r="G182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-501071118.aspx%253F</t>
        </is>
      </c>
      <c r="H1822" s="20" t="n">
        <v>5544</v>
      </c>
      <c r="I1822" s="20" t="n">
        <v>27</v>
      </c>
      <c r="J1822" s="21">
        <f>IF(H1822=0,0,I1822/H1822)</f>
        <v/>
      </c>
    </row>
    <row r="1823">
      <c r="A1823" s="17" t="inlineStr">
        <is>
          <t>La redoute</t>
        </is>
      </c>
      <c r="B1823" s="17" t="inlineStr">
        <is>
          <t>Terminé</t>
        </is>
      </c>
      <c r="C1823" s="17" t="inlineStr">
        <is>
          <t>La redoute 5</t>
        </is>
      </c>
      <c r="D1823" s="17" t="inlineStr">
        <is>
          <t>Kitchen and Dining Products</t>
        </is>
      </c>
      <c r="E1823" s="18" t="inlineStr">
        <is>
          <t>La Redoute - Assiettes et verres à pied</t>
        </is>
      </c>
      <c r="F1823" s="17" t="inlineStr">
        <is>
          <t>Lot de 4 assiettes plates Gogain en grès ondulé bicolore : du petit-déjeuner au dîner, elles tiennent la table en famille comme entre amis.</t>
        </is>
      </c>
      <c r="G182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t>
        </is>
      </c>
      <c r="H1823" s="20" t="n">
        <v>5531</v>
      </c>
      <c r="I1823" s="20" t="n">
        <v>27</v>
      </c>
      <c r="J1823" s="21">
        <f>IF(H1823=0,0,I1823/H1823)</f>
        <v/>
      </c>
    </row>
    <row r="1824">
      <c r="A1824" s="17" t="inlineStr">
        <is>
          <t>La redoute</t>
        </is>
      </c>
      <c r="B1824" s="17" t="inlineStr">
        <is>
          <t>Terminé</t>
        </is>
      </c>
      <c r="C1824" s="17" t="inlineStr">
        <is>
          <t>La redoute 5</t>
        </is>
      </c>
      <c r="D1824" s="17" t="inlineStr">
        <is>
          <t>Housewares</t>
        </is>
      </c>
      <c r="E1824" s="18" t="inlineStr">
        <is>
          <t>Serviettes éponge 600 g/m² prix bas | La Redoute</t>
        </is>
      </c>
      <c r="F1824" s="17" t="inlineStr">
        <is>
          <t>Ce lot de deux serviettes éponge Zavara pèse 600 g/m² pour un tissu moelleux et très absorbant, signé La Redoute Intérieurs.</t>
        </is>
      </c>
      <c r="G182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-500786762.aspx%253F</t>
        </is>
      </c>
      <c r="H1824" s="20" t="n">
        <v>5517</v>
      </c>
      <c r="I1824" s="20" t="n">
        <v>25</v>
      </c>
      <c r="J1824" s="21">
        <f>IF(H1824=0,0,I1824/H1824)</f>
        <v/>
      </c>
    </row>
    <row r="1825">
      <c r="A1825" s="17" t="inlineStr">
        <is>
          <t>La redoute</t>
        </is>
      </c>
      <c r="B1825" s="17" t="inlineStr">
        <is>
          <t>Terminé</t>
        </is>
      </c>
      <c r="C1825" s="17" t="inlineStr">
        <is>
          <t>La redoute 5</t>
        </is>
      </c>
      <c r="D1825" s="17" t="inlineStr">
        <is>
          <t>Clothing and Accessories</t>
        </is>
      </c>
      <c r="E1825" s="18" t="inlineStr">
        <is>
          <t>Sabots classic k Crocs | La Redoute</t>
        </is>
      </c>
      <c r="F1825" s="17" t="inlineStr">
        <is>
          <t>Sabots Classic K CROCS Détails produit •  Sabots •  Fermeture : A enfiler •  Bout rondComposition et Entretien •  Dessus/Tige : 100% eva •  Doublure : 100% eva •  Semelle...</t>
        </is>
      </c>
      <c r="G182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-552243605.aspx%253F</t>
        </is>
      </c>
      <c r="H1825" s="20" t="n">
        <v>5489</v>
      </c>
      <c r="I1825" s="20" t="n">
        <v>19</v>
      </c>
      <c r="J1825" s="21">
        <f>IF(H1825=0,0,I1825/H1825)</f>
        <v/>
      </c>
    </row>
    <row r="1826">
      <c r="A1826" s="17" t="inlineStr">
        <is>
          <t>La redoute</t>
        </is>
      </c>
      <c r="B1826" s="17" t="inlineStr">
        <is>
          <t>Terminé</t>
        </is>
      </c>
      <c r="C1826" s="17" t="inlineStr">
        <is>
          <t>La redoute 5</t>
        </is>
      </c>
      <c r="D1826" s="17" t="inlineStr">
        <is>
          <t>Clothing and Accessories</t>
        </is>
      </c>
      <c r="E1826" s="18" t="inlineStr">
        <is>
          <t>Jean droit 501® Levi's | La Redoute</t>
        </is>
      </c>
      <c r="F1826" s="17" t="inlineStr">
        <is>
          <t>Jean droit 501® LEVI'S Détails produit •  Regular, droit •  Taille standard •  Regular au niveau des cuisses •  Se porte sur la taille •  Jambe droite •  Modèle à 5...</t>
        </is>
      </c>
      <c r="G182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-509515474.aspx%253F</t>
        </is>
      </c>
      <c r="H1826" s="20" t="n">
        <v>5459</v>
      </c>
      <c r="I1826" s="20" t="n">
        <v>34</v>
      </c>
      <c r="J1826" s="21">
        <f>IF(H1826=0,0,I1826/H1826)</f>
        <v/>
      </c>
    </row>
    <row r="1827">
      <c r="A1827" s="17" t="inlineStr">
        <is>
          <t>La redoute</t>
        </is>
      </c>
      <c r="B1827" s="17" t="inlineStr">
        <is>
          <t>Terminé</t>
        </is>
      </c>
      <c r="C1827" s="17" t="inlineStr">
        <is>
          <t>La redoute 5</t>
        </is>
      </c>
      <c r="D1827" s="17" t="inlineStr">
        <is>
          <t>Home and Garden Products</t>
        </is>
      </c>
      <c r="E1827" s="18" t="inlineStr">
        <is>
          <t>La Redoute - Meubles, linge de maison et déco</t>
        </is>
      </c>
      <c r="F1827" s="17" t="inlineStr">
        <is>
          <t>Lampadaire Jihana AM.PM : pied en métal et laiton, abat-jour en lin et un design traditionnel qui pose une lumière douce dans un angle du salon.</t>
        </is>
      </c>
      <c r="G182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-547929086.aspx%253F</t>
        </is>
      </c>
      <c r="H1827" s="20" t="n">
        <v>5357</v>
      </c>
      <c r="I1827" s="20" t="n">
        <v>21</v>
      </c>
      <c r="J1827" s="21">
        <f>IF(H1827=0,0,I1827/H1827)</f>
        <v/>
      </c>
    </row>
    <row r="1828">
      <c r="A1828" s="17" t="inlineStr">
        <is>
          <t>La redoute</t>
        </is>
      </c>
      <c r="B1828" s="17" t="inlineStr">
        <is>
          <t>Terminé</t>
        </is>
      </c>
      <c r="C1828" s="17" t="inlineStr">
        <is>
          <t>La redoute 5</t>
        </is>
      </c>
      <c r="D1828" s="17" t="inlineStr">
        <is>
          <t>Housewares</t>
        </is>
      </c>
      <c r="E1828" s="18" t="inlineStr">
        <is>
          <t>Assiettes en grès bicolore prix bas | La Redoute</t>
        </is>
      </c>
      <c r="F1828" s="17" t="inlineStr">
        <is>
          <t>Ces quatre assiettes plates Gogain en grès ondulé bicolore passent du petit déjeuner au dîner, en famille comme entre amis.</t>
        </is>
      </c>
      <c r="G182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-501039239.aspx%253F</t>
        </is>
      </c>
      <c r="H1828" s="20" t="n">
        <v>5293</v>
      </c>
      <c r="I1828" s="20" t="n">
        <v>28</v>
      </c>
      <c r="J1828" s="21">
        <f>IF(H1828=0,0,I1828/H1828)</f>
        <v/>
      </c>
    </row>
    <row r="1829">
      <c r="A1829" s="17" t="inlineStr">
        <is>
          <t>La redoute</t>
        </is>
      </c>
      <c r="B1829" s="17" t="inlineStr">
        <is>
          <t>Terminé</t>
        </is>
      </c>
      <c r="C1829" s="17" t="inlineStr">
        <is>
          <t>La redoute 5</t>
        </is>
      </c>
      <c r="D1829" s="17" t="inlineStr">
        <is>
          <t>Clothing and Accessories</t>
        </is>
      </c>
      <c r="E1829" s="18" t="inlineStr">
        <is>
          <t>Mode femme, homme et enfant à prix bas | La Redoute</t>
        </is>
      </c>
      <c r="F1829" s="17" t="inlineStr">
        <is>
          <t>Robes, jeans et t-shirts pour toute la famille chez La Redoute, comme cette robe longue Molly Bracken en 100 % coton, évasée et à col V.</t>
        </is>
      </c>
      <c r="G182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-602502063.aspx%253F</t>
        </is>
      </c>
      <c r="H1829" s="20" t="n">
        <v>5240</v>
      </c>
      <c r="I1829" s="20" t="n">
        <v>24</v>
      </c>
      <c r="J1829" s="21">
        <f>IF(H1829=0,0,I1829/H1829)</f>
        <v/>
      </c>
    </row>
    <row r="1830">
      <c r="A1830" s="17" t="inlineStr">
        <is>
          <t>La redoute</t>
        </is>
      </c>
      <c r="B1830" s="17" t="inlineStr">
        <is>
          <t>Terminé</t>
        </is>
      </c>
      <c r="C1830" s="17" t="inlineStr">
        <is>
          <t>La redoute 5</t>
        </is>
      </c>
      <c r="D1830" s="17" t="inlineStr">
        <is>
          <t>Clothing and Accessories</t>
        </is>
      </c>
      <c r="E1830" s="18" t="inlineStr">
        <is>
          <t>T-shirt manches courtes Polo Ralph Lauren | La Redoute</t>
        </is>
      </c>
      <c r="F1830" s="17" t="inlineStr">
        <is>
          <t>T-shirt manches courtes POLO RALPH LAUREN Détails produit •  Manches courtes •  Col rond •  Logo brodé poitrineComposition et Entretien •  100% coton •  Pour l'entretien, merci de</t>
        </is>
      </c>
      <c r="G183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-551611083.aspx%253F</t>
        </is>
      </c>
      <c r="H1830" s="20" t="n">
        <v>5213</v>
      </c>
      <c r="I1830" s="20" t="n">
        <v>21</v>
      </c>
      <c r="J1830" s="21">
        <f>IF(H1830=0,0,I1830/H1830)</f>
        <v/>
      </c>
    </row>
    <row r="1831">
      <c r="A1831" s="17" t="inlineStr">
        <is>
          <t>La redoute</t>
        </is>
      </c>
      <c r="B1831" s="17" t="inlineStr">
        <is>
          <t>Terminé</t>
        </is>
      </c>
      <c r="C1831" s="17" t="inlineStr">
        <is>
          <t>La redoute 5</t>
        </is>
      </c>
      <c r="D1831" s="17" t="inlineStr">
        <is>
          <t>Home and Garden Products</t>
        </is>
      </c>
      <c r="E1831" s="18" t="inlineStr">
        <is>
          <t>Housse de couette lin lavé, elina Am.Pm | La Redoute</t>
        </is>
      </c>
      <c r="F1831" s="17" t="inlineStr">
        <is>
          <t>Housse de couette lin lavé, Elina AM.PM La housse de couette en lin lavé Elina, mélange unique d'authenticité, de confort et d'élégance, le lin lavé est léger, frais l'été</t>
        </is>
      </c>
      <c r="G183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-501738570.aspx%253F</t>
        </is>
      </c>
      <c r="H1831" s="20" t="n">
        <v>5188</v>
      </c>
      <c r="I1831" s="20" t="n">
        <v>21</v>
      </c>
      <c r="J1831" s="21">
        <f>IF(H1831=0,0,I1831/H1831)</f>
        <v/>
      </c>
    </row>
    <row r="1832">
      <c r="A1832" s="17" t="inlineStr">
        <is>
          <t>La redoute</t>
        </is>
      </c>
      <c r="B1832" s="17" t="inlineStr">
        <is>
          <t>Terminé</t>
        </is>
      </c>
      <c r="C1832" s="17" t="inlineStr">
        <is>
          <t>La redoute 5</t>
        </is>
      </c>
      <c r="D1832" s="17" t="inlineStr">
        <is>
          <t>Kitchen and Dining Products</t>
        </is>
      </c>
      <c r="E1832" s="18" t="inlineStr">
        <is>
          <t>La Redoute - Assiettes et verres à pied</t>
        </is>
      </c>
      <c r="F1832" s="17" t="inlineStr">
        <is>
          <t>Lot de 6 verres à pied Faraji en verre bullé, La Redoute Intérieurs : une texture réalisée dans la matière et une forme tout en rondeur.</t>
        </is>
      </c>
      <c r="G183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-543516906.aspx%253F</t>
        </is>
      </c>
      <c r="H1832" s="20" t="n">
        <v>5178</v>
      </c>
      <c r="I1832" s="20" t="n">
        <v>17</v>
      </c>
      <c r="J1832" s="21">
        <f>IF(H1832=0,0,I1832/H1832)</f>
        <v/>
      </c>
    </row>
    <row r="1833">
      <c r="A1833" s="17" t="inlineStr">
        <is>
          <t>La redoute</t>
        </is>
      </c>
      <c r="B1833" s="17" t="inlineStr">
        <is>
          <t>Terminé</t>
        </is>
      </c>
      <c r="C1833" s="17" t="inlineStr">
        <is>
          <t>La redoute 5</t>
        </is>
      </c>
      <c r="D1833" s="17" t="inlineStr">
        <is>
          <t>Clothing and Accessories</t>
        </is>
      </c>
      <c r="E1833" s="18" t="inlineStr">
        <is>
          <t>Lot de 3 boxers coton stretch Dim | La Redoute</t>
        </is>
      </c>
      <c r="F1833" s="17" t="inlineStr">
        <is>
          <t>Lot de 3 boxers Coton Stretch DIM Détails produit •  Boxer •  Ceinture plate siglée et élastiquée •  Matière : coton •  Lot de 3Composition et Entretien •  96% coton, 4%...</t>
        </is>
      </c>
      <c r="G183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-523872017.aspx%253F</t>
        </is>
      </c>
      <c r="H1833" s="20" t="n">
        <v>5103</v>
      </c>
      <c r="I1833" s="20" t="n">
        <v>23</v>
      </c>
      <c r="J1833" s="21">
        <f>IF(H1833=0,0,I1833/H1833)</f>
        <v/>
      </c>
    </row>
    <row r="1834">
      <c r="A1834" s="17" t="inlineStr">
        <is>
          <t>La redoute</t>
        </is>
      </c>
      <c r="B1834" s="17" t="inlineStr">
        <is>
          <t>Terminé</t>
        </is>
      </c>
      <c r="C1834" s="17" t="inlineStr">
        <is>
          <t>La redoute 5</t>
        </is>
      </c>
      <c r="D1834" s="17" t="inlineStr">
        <is>
          <t>Clothing and Accessories</t>
        </is>
      </c>
      <c r="E1834" s="18" t="inlineStr">
        <is>
          <t>Sac à dos kanken 16l Fjallraven | La Redoute</t>
        </is>
      </c>
      <c r="F1834" s="17" t="inlineStr">
        <is>
          <t>Sac à dos KANKEN 16L FJALLRAVEN Le sac à dos FJALLRAVEN - modèle KÅNKEN en toile robuste. Le modèle original classique de 1978 avec coussin dos amovible.Détails produit •  Forme</t>
        </is>
      </c>
      <c r="G183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-559747005.aspx%253F</t>
        </is>
      </c>
      <c r="H1834" s="20" t="n">
        <v>5073</v>
      </c>
      <c r="I1834" s="20" t="n">
        <v>25</v>
      </c>
      <c r="J1834" s="21">
        <f>IF(H1834=0,0,I1834/H1834)</f>
        <v/>
      </c>
    </row>
    <row r="1835">
      <c r="A1835" s="17" t="inlineStr">
        <is>
          <t>La redoute</t>
        </is>
      </c>
      <c r="B1835" s="17" t="inlineStr">
        <is>
          <t>Terminé</t>
        </is>
      </c>
      <c r="C1835" s="17" t="inlineStr">
        <is>
          <t>La redoute 5</t>
        </is>
      </c>
      <c r="D1835" s="17" t="inlineStr">
        <is>
          <t>Clothing and Accessories</t>
        </is>
      </c>
      <c r="E1835" s="18" t="inlineStr">
        <is>
          <t>Baskets chuck taylor all star core canvas hi Converse | La</t>
        </is>
      </c>
      <c r="F1835" s="17" t="inlineStr">
        <is>
          <t>Baskets Chuck Taylor All Star Core Canvas Hi CONVERSE Détails produit •  Vous revenez toujours aux origines. •  La chaussure de basket qui est devenue une icône culturelle. En</t>
        </is>
      </c>
      <c r="G183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-601013113.aspx%253F</t>
        </is>
      </c>
      <c r="H1835" s="20" t="n">
        <v>5063</v>
      </c>
      <c r="I1835" s="20" t="n">
        <v>25</v>
      </c>
      <c r="J1835" s="21">
        <f>IF(H1835=0,0,I1835/H1835)</f>
        <v/>
      </c>
    </row>
    <row r="1836">
      <c r="A1836" s="17" t="inlineStr">
        <is>
          <t>La redoute</t>
        </is>
      </c>
      <c r="B1836" s="17" t="inlineStr">
        <is>
          <t>Terminé</t>
        </is>
      </c>
      <c r="C1836" s="17" t="inlineStr">
        <is>
          <t>La redoute 5</t>
        </is>
      </c>
      <c r="D1836" s="17" t="inlineStr">
        <is>
          <t>Enfant et bébé</t>
        </is>
      </c>
      <c r="E1836" s="18" t="inlineStr">
        <is>
          <t>Oreiller medium - cocooning &amp;  anti-acariens Couleur blanc</t>
        </is>
      </c>
      <c r="F1836" s="17" t="inlineStr">
        <is>
          <t>Oreiller MEDIUM - Cocooning &amp;  Anti-Acariens DODO Toucher moelleux et superbes finitions pour l'oreiller Suprelle® Allerban DODO. •  Oreiller moelleux •  Idéal si vous dormez sur</t>
        </is>
      </c>
      <c r="G1836"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-500990638.aspx%253F</t>
        </is>
      </c>
      <c r="H1836" s="20" t="n">
        <v>5033</v>
      </c>
      <c r="I1836" s="20" t="n">
        <v>23</v>
      </c>
      <c r="J1836" s="21">
        <f>IF(H1836=0,0,I1836/H1836)</f>
        <v/>
      </c>
    </row>
    <row r="1837">
      <c r="A1837" s="17" t="inlineStr">
        <is>
          <t>La redoute</t>
        </is>
      </c>
      <c r="B1837" s="17" t="inlineStr">
        <is>
          <t>Terminé</t>
        </is>
      </c>
      <c r="C1837" s="17" t="inlineStr">
        <is>
          <t>La redoute 5</t>
        </is>
      </c>
      <c r="D1837" s="17" t="inlineStr">
        <is>
          <t>Enfant et bébé</t>
        </is>
      </c>
      <c r="E1837" s="18" t="inlineStr">
        <is>
          <t>Housse de couette lin lavé, elina Am.Pm | La Redoute</t>
        </is>
      </c>
      <c r="F1837" s="17" t="inlineStr">
        <is>
          <t>Housse de couette lin lavé, Elina AM.PM La housse de couette en lin lavé Elina, mélange unique d'authenticité, de confort et d'élégance, le lin lavé est léger, frais l'été</t>
        </is>
      </c>
      <c r="G1837"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-501738570.aspx%253F</t>
        </is>
      </c>
      <c r="H1837" s="20" t="n">
        <v>5004</v>
      </c>
      <c r="I1837" s="20" t="n">
        <v>34</v>
      </c>
      <c r="J1837" s="21">
        <f>IF(H1837=0,0,I1837/H1837)</f>
        <v/>
      </c>
    </row>
    <row r="1838">
      <c r="A1838" s="17" t="inlineStr">
        <is>
          <t>La redoute</t>
        </is>
      </c>
      <c r="B1838" s="17" t="inlineStr">
        <is>
          <t>Terminé</t>
        </is>
      </c>
      <c r="C1838" s="17" t="inlineStr">
        <is>
          <t>La redoute 5</t>
        </is>
      </c>
      <c r="D1838" s="17" t="inlineStr">
        <is>
          <t>Enfant et bébé</t>
        </is>
      </c>
      <c r="E1838" s="18" t="inlineStr">
        <is>
          <t>Drap housse en coton bonnet 25 cm, scenario bleu de</t>
        </is>
      </c>
      <c r="F1838" s="17" t="inlineStr">
        <is>
          <t>Drap housse en coton bonnet 25 cm, Scenario LA REDOUTE INTERIEURS Le drap housse en toile de coton.Le coton fait partie de notre quotidien. On l'aime pour sa souplesse et sa</t>
        </is>
      </c>
      <c r="G1838"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-500772605.aspx%253F</t>
        </is>
      </c>
      <c r="H1838" s="20" t="n">
        <v>4951</v>
      </c>
      <c r="I1838" s="20" t="n">
        <v>18</v>
      </c>
      <c r="J1838" s="21">
        <f>IF(H1838=0,0,I1838/H1838)</f>
        <v/>
      </c>
    </row>
    <row r="1839">
      <c r="A1839" s="17" t="inlineStr">
        <is>
          <t>La redoute</t>
        </is>
      </c>
      <c r="B1839" s="17" t="inlineStr">
        <is>
          <t>Terminé</t>
        </is>
      </c>
      <c r="C1839" s="17" t="inlineStr">
        <is>
          <t>La redoute 5</t>
        </is>
      </c>
      <c r="D1839" s="17" t="inlineStr">
        <is>
          <t>Clothing and Accessories</t>
        </is>
      </c>
      <c r="E1839" s="18" t="inlineStr">
        <is>
          <t>Casquette classic baseball cap Tommy Hilfiger | La Redoute</t>
        </is>
      </c>
      <c r="F1839" s="17" t="inlineStr">
        <is>
          <t>Casquette Classic Baseball Cap TOMMY HILFIGER Revenez à l'essentiel avec cette casquette de baseball décontractée. Fabriquée en pur coton, elle vous donnera une impression de</t>
        </is>
      </c>
      <c r="G1839"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-540882058.aspx%253F</t>
        </is>
      </c>
      <c r="H1839" s="20" t="n">
        <v>4928</v>
      </c>
      <c r="I1839" s="20" t="n">
        <v>25</v>
      </c>
      <c r="J1839" s="21">
        <f>IF(H1839=0,0,I1839/H1839)</f>
        <v/>
      </c>
    </row>
    <row r="1840">
      <c r="A1840" s="17" t="inlineStr">
        <is>
          <t>La redoute</t>
        </is>
      </c>
      <c r="B1840" s="17" t="inlineStr">
        <is>
          <t>Terminé</t>
        </is>
      </c>
      <c r="C1840" s="17" t="inlineStr">
        <is>
          <t>La redoute 5</t>
        </is>
      </c>
      <c r="D1840" s="17" t="inlineStr">
        <is>
          <t>Linge de maison et literie</t>
        </is>
      </c>
      <c r="E1840" s="18" t="inlineStr">
        <is>
          <t>Matelas 580 ressorts, 5 zones, soutien ferme, accueil</t>
        </is>
      </c>
      <c r="F1840" s="17" t="inlineStr">
        <is>
          <t>Matelas 580 ressorts, 5 zones, soutien ferme, accueil enveloppant LA REDOUTE INTERIEURS Le matelas 580 ressorts ensachés avec son accueil en mousse viscoélastique offre un bon</t>
        </is>
      </c>
      <c r="G1840"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-601852174.aspx%253F</t>
        </is>
      </c>
      <c r="H1840" s="20" t="n">
        <v>1243</v>
      </c>
      <c r="I1840" s="20" t="n">
        <v>8</v>
      </c>
      <c r="J1840" s="21">
        <f>IF(H1840=0,0,I1840/H1840)</f>
        <v/>
      </c>
    </row>
    <row r="1841">
      <c r="A1841" s="17" t="inlineStr">
        <is>
          <t>La redoute</t>
        </is>
      </c>
      <c r="B1841" s="17" t="inlineStr">
        <is>
          <t>Terminé</t>
        </is>
      </c>
      <c r="C1841" s="17" t="inlineStr">
        <is>
          <t>La redoute 5</t>
        </is>
      </c>
      <c r="D1841" s="17" t="inlineStr">
        <is>
          <t>Linge de maison et literie</t>
        </is>
      </c>
      <c r="E1841" s="18" t="inlineStr">
        <is>
          <t>Drap housse en coton bonnet 25 cm, scenario bleu de</t>
        </is>
      </c>
      <c r="F1841" s="17" t="inlineStr">
        <is>
          <t>Drap housse en coton bonnet 25 cm, Scenario LA REDOUTE INTERIEURS Le drap housse en toile de coton.Le coton fait partie de notre quotidien. On l'aime pour sa souplesse et sa</t>
        </is>
      </c>
      <c r="G1841"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-500772605.aspx%253F</t>
        </is>
      </c>
      <c r="H1841" s="20" t="n">
        <v>1237</v>
      </c>
      <c r="I1841" s="20" t="n">
        <v>10</v>
      </c>
      <c r="J1841" s="21">
        <f>IF(H1841=0,0,I1841/H1841)</f>
        <v/>
      </c>
    </row>
    <row r="1842">
      <c r="A1842" s="17" t="inlineStr">
        <is>
          <t>La redoute</t>
        </is>
      </c>
      <c r="B1842" s="17" t="inlineStr">
        <is>
          <t>Terminé</t>
        </is>
      </c>
      <c r="C1842" s="17" t="inlineStr">
        <is>
          <t>La redoute 5</t>
        </is>
      </c>
      <c r="D1842" s="17" t="inlineStr">
        <is>
          <t>Linge de maison et literie</t>
        </is>
      </c>
      <c r="E1842" s="18" t="inlineStr">
        <is>
          <t>Oreiller medium - cocooning &amp;  anti-acariens Couleur blanc</t>
        </is>
      </c>
      <c r="F1842" s="17" t="inlineStr">
        <is>
          <t>Oreiller MEDIUM - Cocooning &amp;  Anti-Acariens DODO Toucher moelleux et superbes finitions pour l'oreiller Suprelle® Allerban DODO. •  Oreiller moelleux •  Idéal si vous dormez sur</t>
        </is>
      </c>
      <c r="G1842"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-500990638.aspx%253F</t>
        </is>
      </c>
      <c r="H1842" s="20" t="n">
        <v>1195</v>
      </c>
      <c r="I1842" s="20" t="n">
        <v>7</v>
      </c>
      <c r="J1842" s="21">
        <f>IF(H1842=0,0,I1842/H1842)</f>
        <v/>
      </c>
    </row>
    <row r="1843">
      <c r="A1843" s="17" t="inlineStr">
        <is>
          <t>La redoute</t>
        </is>
      </c>
      <c r="B1843" s="17" t="inlineStr">
        <is>
          <t>Terminé</t>
        </is>
      </c>
      <c r="C1843" s="17" t="inlineStr">
        <is>
          <t>La redoute 5</t>
        </is>
      </c>
      <c r="D1843" s="17" t="inlineStr">
        <is>
          <t>Linge de maison et literie</t>
        </is>
      </c>
      <c r="E1843" s="18" t="inlineStr">
        <is>
          <t>Housse de couette lin lavé, elina Am.Pm | La Redoute</t>
        </is>
      </c>
      <c r="F1843" s="17" t="inlineStr">
        <is>
          <t>Housse de couette lin lavé, Elina AM.PM La housse de couette en lin lavé Elina, mélange unique d'authenticité, de confort et d'élégance, le lin lavé est léger, frais l'été</t>
        </is>
      </c>
      <c r="G1843"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-501738570.aspx%253F</t>
        </is>
      </c>
      <c r="H1843" s="20" t="n">
        <v>1190</v>
      </c>
      <c r="I1843" s="20" t="n">
        <v>4</v>
      </c>
      <c r="J1843" s="21">
        <f>IF(H1843=0,0,I1843/H1843)</f>
        <v/>
      </c>
    </row>
    <row r="1844">
      <c r="A1844" s="17" t="inlineStr">
        <is>
          <t>La redoute</t>
        </is>
      </c>
      <c r="B1844" s="17" t="inlineStr">
        <is>
          <t>Terminé</t>
        </is>
      </c>
      <c r="C1844" s="17" t="inlineStr">
        <is>
          <t>La redoute 5</t>
        </is>
      </c>
      <c r="D1844" s="17" t="inlineStr">
        <is>
          <t>Linge de maison et literie</t>
        </is>
      </c>
      <c r="E1844" s="18" t="inlineStr">
        <is>
          <t>Lot de 2 serviettes éponge 600 g/m2, zavara La Redoute</t>
        </is>
      </c>
      <c r="F1844" s="17" t="inlineStr">
        <is>
          <t>Lot de 2 serviettes éponge 600 g/m2, Zavara LA REDOUTE INTERIEURS Un lot de 2 serviettes éponge extra moelleuses offrant un pouvoir d'absorption, un gonflant et confort</t>
        </is>
      </c>
      <c r="G1844"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-500786762.aspx%253F</t>
        </is>
      </c>
      <c r="H1844" s="20" t="n">
        <v>1188</v>
      </c>
      <c r="I1844" s="20" t="n">
        <v>10</v>
      </c>
      <c r="J1844" s="21">
        <f>IF(H1844=0,0,I1844/H1844)</f>
        <v/>
      </c>
    </row>
    <row r="1845">
      <c r="A1845" s="17" t="inlineStr">
        <is>
          <t>La redoute</t>
        </is>
      </c>
      <c r="B1845" s="17" t="inlineStr">
        <is>
          <t>Terminé</t>
        </is>
      </c>
      <c r="C1845" s="17" t="inlineStr">
        <is>
          <t>La redoute 5</t>
        </is>
      </c>
      <c r="D1845" s="17" t="inlineStr">
        <is>
          <t>Linge de maison et literie</t>
        </is>
      </c>
      <c r="E1845" s="18" t="inlineStr">
        <is>
          <t>Couette tempérée essentielle anti-acarien Couleur blanc La</t>
        </is>
      </c>
      <c r="F1845" s="17" t="inlineStr">
        <is>
          <t>Couette tempérée Essentielle anti-acarien LA REDOUTE INTERIEURS La couette 100% polyester, fibre creuse siliconée pour plus de confort traitée Acaristop Green. Une couette</t>
        </is>
      </c>
      <c r="G1845" s="19" t="inlineStr">
        <is>
          <t>https://lb.affilae.com/r/?p=64a5b1cce48e0dec93102752&amp;af=2339&amp;lp=https%3A%2F%2Flr.app.link%2FQqc5Di3etCb%3F%25243p%3Da_affilae%26%257Eclick_id%3D%257BClickID%257D%26%257Ecampaign%3DAffilae%26affid%3D2339%26cod%3DAFF00080861FR%26%2524fallback_url%3Dhttps%253A%252F%252Fwww.laredoute.fr%252Fppdp%252Fprod-500787402.aspx%253F</t>
        </is>
      </c>
      <c r="H1845" s="20" t="n">
        <v>1145</v>
      </c>
      <c r="I1845" s="20" t="n">
        <v>9</v>
      </c>
      <c r="J1845" s="21">
        <f>IF(H1845=0,0,I1845/H1845)</f>
        <v/>
      </c>
    </row>
    <row r="1846">
      <c r="A1846" s="17" t="inlineStr">
        <is>
          <t>La redoute</t>
        </is>
      </c>
      <c r="B1846" s="17" t="inlineStr">
        <is>
          <t>Terminé</t>
        </is>
      </c>
      <c r="C1846" s="17" t="inlineStr">
        <is>
          <t>La redoute 5</t>
        </is>
      </c>
      <c r="D1846" s="17" t="inlineStr">
        <is>
          <t>Collections et best sellers</t>
        </is>
      </c>
      <c r="E1846" s="18" t="inlineStr">
        <is>
          <t>La Redoute Intérieurs</t>
        </is>
      </c>
      <c r="F1846" s="17" t="inlineStr">
        <is>
          <t>La marque déco et maison de La Redoute : meubles, linge de maison et décoration dessinés en France.</t>
        </is>
      </c>
      <c r="G1846" s="19" t="inlineStr">
        <is>
          <t>https://lb.affilae.com/r/?p=64a5b1cce48e0dec93102752&amp;af=2339&amp;lp=https%3A%2F%2Flr.app.link%2FQqc5Di3etCb%3F%25243p%3Da_affilae%26%257Eclick_id%3D%257BClickID%257D%26%257Ecampaign%3DAffilae%26affid%3D2339%26cod%3DAFF00080861FR%26%2524fallback_url%3Dhttps%253A%252F%252Fwww.laredoute.fr%252Fla-redoute-interieurs.aspx%253F</t>
        </is>
      </c>
      <c r="H1846" s="20" t="n">
        <v>180</v>
      </c>
      <c r="I1846" s="20" t="n">
        <v>0</v>
      </c>
      <c r="J1846" s="21">
        <f>IF(H1846=0,0,I1846/H1846)</f>
        <v/>
      </c>
    </row>
    <row r="1847">
      <c r="A1847" s="17" t="inlineStr">
        <is>
          <t>La redoute</t>
        </is>
      </c>
      <c r="B1847" s="17" t="inlineStr">
        <is>
          <t>Terminé</t>
        </is>
      </c>
      <c r="C1847" s="17" t="inlineStr">
        <is>
          <t>La redoute 5</t>
        </is>
      </c>
      <c r="D1847" s="17" t="inlineStr">
        <is>
          <t>Collections et best sellers</t>
        </is>
      </c>
      <c r="E1847" s="18" t="inlineStr">
        <is>
          <t>Best sellers La Redoute</t>
        </is>
      </c>
      <c r="F1847" s="17" t="inlineStr">
        <is>
          <t>Les articles les plus vendus du moment sur La Redoute : mode, maison et déco plébiscitées par les clients.</t>
        </is>
      </c>
      <c r="G1847" s="19" t="inlineStr">
        <is>
          <t>https://lb.affilae.com/r/?p=64a5b1cce48e0dec93102752&amp;af=2339&amp;lp=https%3A%2F%2Flr.app.link%2FQqc5Di3etCb%3F%25243p%3Da_affilae%26%257Eclick_id%3D%257BClickID%257D%26%257Ecampaign%3DAffilae%26affid%3D2339%26cod%3DAFF00080861FR%26%2524fallback_url%3Dhttps%253A%252F%252Fwww.laredoute.fr%252Fpplp%252Fcat-385755.aspx%253F</t>
        </is>
      </c>
      <c r="H1847" s="20" t="n">
        <v>171</v>
      </c>
      <c r="I1847" s="20" t="n">
        <v>1</v>
      </c>
      <c r="J1847" s="21">
        <f>IF(H1847=0,0,I1847/H1847)</f>
        <v/>
      </c>
    </row>
    <row r="1848">
      <c r="A1848" s="17" t="inlineStr">
        <is>
          <t>La redoute</t>
        </is>
      </c>
      <c r="B1848" s="17" t="inlineStr">
        <is>
          <t>Terminé</t>
        </is>
      </c>
      <c r="C1848" s="17" t="inlineStr">
        <is>
          <t>La redoute 5</t>
        </is>
      </c>
      <c r="D1848" s="17" t="inlineStr">
        <is>
          <t>Collections et best sellers</t>
        </is>
      </c>
      <c r="E1848" s="18" t="inlineStr">
        <is>
          <t>La Redoute Collections</t>
        </is>
      </c>
      <c r="F1848" s="17" t="inlineStr">
        <is>
          <t>La marque de mode de La Redoute : vêtements femme, homme et enfant dessinés à Paris.</t>
        </is>
      </c>
      <c r="G1848" s="19" t="inlineStr">
        <is>
          <t>https://lb.affilae.com/r/?p=64a5b1cce48e0dec93102752&amp;af=2339&amp;lp=https%3A%2F%2Flr.app.link%2FQqc5Di3etCb%3F%25243p%3Da_affilae%26%257Eclick_id%3D%257BClickID%257D%26%257Ecampaign%3DAffilae%26affid%3D2339%26cod%3DAFF00080861FR%26%2524fallback_url%3Dhttps%253A%252F%252Fwww.laredoute.fr%252Falt%252Flaredoutecollections.aspx%253F</t>
        </is>
      </c>
      <c r="H1848" s="20" t="n">
        <v>146</v>
      </c>
      <c r="I1848" s="20" t="n">
        <v>0</v>
      </c>
      <c r="J1848" s="21">
        <f>IF(H1848=0,0,I1848/H1848)</f>
        <v/>
      </c>
    </row>
    <row r="1849">
      <c r="A1849" s="17" t="inlineStr">
        <is>
          <t>Bayard Jeunesse</t>
        </is>
      </c>
      <c r="B1849" s="17" t="inlineStr">
        <is>
          <t>Terminé</t>
        </is>
      </c>
      <c r="C1849" s="17" t="inlineStr">
        <is>
          <t>Bayard Jeunesse</t>
        </is>
      </c>
      <c r="D1849" s="17" t="inlineStr">
        <is>
          <t>Abonnements magazines jeunesse</t>
        </is>
      </c>
      <c r="E1849" s="18" t="inlineStr">
        <is>
          <t>Youpi Doc - Abonnement magazine - 5 à 8 ans - Sciences</t>
        </is>
      </c>
      <c r="F1849" s="17" t="inlineStr">
        <is>
          <t>Youpi Doc est l’abonnement magazine des enfants de 5 à 8 ans qui veulent comprendre le monde qui les entoure. Chaque mois, ils explorent des sujets fascinants sur la nature, les</t>
        </is>
      </c>
      <c r="G1849" s="19" t="inlineStr">
        <is>
          <t>https://action.metaffiliation.com/trk.php?mclic=P51323D5874B119S1U941389f054V4</t>
        </is>
      </c>
      <c r="H1849" s="20" t="n">
        <v>24006</v>
      </c>
      <c r="I1849" s="20" t="n">
        <v>121</v>
      </c>
      <c r="J1849" s="21">
        <f>IF(H1849=0,0,I1849/H1849)</f>
        <v/>
      </c>
    </row>
    <row r="1850">
      <c r="A1850" s="17" t="inlineStr">
        <is>
          <t>Bayard Jeunesse</t>
        </is>
      </c>
      <c r="B1850" s="17" t="inlineStr">
        <is>
          <t>Terminé</t>
        </is>
      </c>
      <c r="C1850" s="17" t="inlineStr">
        <is>
          <t>Bayard Jeunesse</t>
        </is>
      </c>
      <c r="D1850" s="17" t="inlineStr">
        <is>
          <t>Abonnements magazines jeunesse</t>
        </is>
      </c>
      <c r="E1850" s="18" t="inlineStr">
        <is>
          <t>Popi - Abonnement magazine - Dès 1 an - Éveil, histoires et</t>
        </is>
      </c>
      <c r="F1850" s="17" t="inlineStr">
        <is>
          <t>Popi est l’abonnement magazine des tout-petits dès 1 an qui découvrent le langage et le monde qui les entoure. Chaque mois, votre enfant retrouve des histoires tendres, des</t>
        </is>
      </c>
      <c r="G1850" s="19" t="inlineStr">
        <is>
          <t>https://action.metaffiliation.com/trk.php?mclic=P51323D5874B119S1U941389f052V4</t>
        </is>
      </c>
      <c r="H1850" s="20" t="n">
        <v>24002</v>
      </c>
      <c r="I1850" s="20" t="n">
        <v>134</v>
      </c>
      <c r="J1850" s="21">
        <f>IF(H1850=0,0,I1850/H1850)</f>
        <v/>
      </c>
    </row>
    <row r="1851">
      <c r="A1851" s="17" t="inlineStr">
        <is>
          <t>Bayard Jeunesse</t>
        </is>
      </c>
      <c r="B1851" s="17" t="inlineStr">
        <is>
          <t>Terminé</t>
        </is>
      </c>
      <c r="C1851" s="17" t="inlineStr">
        <is>
          <t>Bayard Jeunesse</t>
        </is>
      </c>
      <c r="D1851" s="17" t="inlineStr">
        <is>
          <t>Abonnements magazines jeunesse</t>
        </is>
      </c>
      <c r="E1851" s="18" t="inlineStr">
        <is>
          <t>Tous les abonnements magazines jeunesse - Bayard Jeunesse</t>
        </is>
      </c>
      <c r="F1851" s="17" t="inlineStr">
        <is>
          <t>Découvrez les offres d’abonnement magazine jeunesse pour enfants de 1 à 20 ans. Profitez des meilleurs prix et offres exclusives Bayard Jeunesse.</t>
        </is>
      </c>
      <c r="G1851" s="19" t="inlineStr">
        <is>
          <t>https://action.metaffiliation.com/trk.php?mclic=P51323D5874B11515</t>
        </is>
      </c>
      <c r="H1851" s="20" t="n">
        <v>23223</v>
      </c>
      <c r="I1851" s="20" t="n">
        <v>104</v>
      </c>
      <c r="J1851" s="21">
        <f>IF(H1851=0,0,I1851/H1851)</f>
        <v/>
      </c>
    </row>
    <row r="1852">
      <c r="A1852" s="17" t="inlineStr">
        <is>
          <t>Bayard Jeunesse</t>
        </is>
      </c>
      <c r="B1852" s="17" t="inlineStr">
        <is>
          <t>Terminé</t>
        </is>
      </c>
      <c r="C1852" s="17" t="inlineStr">
        <is>
          <t>Bayard Jeunesse</t>
        </is>
      </c>
      <c r="D1852" s="17" t="inlineStr">
        <is>
          <t>Abonnements magazines jeunesse</t>
        </is>
      </c>
      <c r="E1852" s="18" t="inlineStr">
        <is>
          <t>Pomme d'Api - Abonnement magazine - 3 à 7 ans - Éveil et</t>
        </is>
      </c>
      <c r="F1852" s="17" t="inlineStr">
        <is>
          <t>Pomme d’Api est l’abonnement magazine qui accompagne les enfants de 3 à 7 ans dans leurs découvertes et leurs premiers apprentissages. Chaque mois, ils retrouvent des histoires</t>
        </is>
      </c>
      <c r="G1852" s="19" t="inlineStr">
        <is>
          <t>https://action.metaffiliation.com/trk.php?mclic=P51323D5874B119S1U941389f051V4</t>
        </is>
      </c>
      <c r="H1852" s="20" t="n">
        <v>23213</v>
      </c>
      <c r="I1852" s="20" t="n">
        <v>136</v>
      </c>
      <c r="J1852" s="21">
        <f>IF(H1852=0,0,I1852/H1852)</f>
        <v/>
      </c>
    </row>
    <row r="1853">
      <c r="A1853" s="17" t="inlineStr">
        <is>
          <t>Bayard Jeunesse</t>
        </is>
      </c>
      <c r="B1853" s="17" t="inlineStr">
        <is>
          <t>Terminé</t>
        </is>
      </c>
      <c r="C1853" s="17" t="inlineStr">
        <is>
          <t>Bayard Jeunesse</t>
        </is>
      </c>
      <c r="D1853" s="17" t="inlineStr">
        <is>
          <t>Abonnements magazines jeunesse</t>
        </is>
      </c>
      <c r="E1853" s="18" t="inlineStr">
        <is>
          <t>Mes premiers J'aime lire - Abonnement magazine - 6 à 7 ans</t>
        </is>
      </c>
      <c r="F1853" s="17" t="inlineStr">
        <is>
          <t>Mes premiers J’aime lire est l’abonnement magazine des enfants de 6 à 7 ans qui apprennent à lire. Chaque mois, ils découvrent une grande histoire adaptée aux lecteurs débutants</t>
        </is>
      </c>
      <c r="G1853" s="19" t="inlineStr">
        <is>
          <t>https://action.metaffiliation.com/trk.php?mclic=P51323D5874B119S1U941389f048V4</t>
        </is>
      </c>
      <c r="H1853" s="20" t="n">
        <v>21615</v>
      </c>
      <c r="I1853" s="20" t="n">
        <v>118</v>
      </c>
      <c r="J1853" s="21">
        <f>IF(H1853=0,0,I1853/H1853)</f>
        <v/>
      </c>
    </row>
    <row r="1854">
      <c r="A1854" s="17" t="inlineStr">
        <is>
          <t>Bayard Jeunesse</t>
        </is>
      </c>
      <c r="B1854" s="17" t="inlineStr">
        <is>
          <t>Terminé</t>
        </is>
      </c>
      <c r="C1854" s="17" t="inlineStr">
        <is>
          <t>Bayard Jeunesse</t>
        </is>
      </c>
      <c r="D1854" s="17" t="inlineStr">
        <is>
          <t>Abonnements magazines jeunesse</t>
        </is>
      </c>
      <c r="E1854" s="18" t="inlineStr">
        <is>
          <t>I Love English 5-8 ans - Abonnement magazine - 5 à 8 ans</t>
        </is>
      </c>
      <c r="F1854" s="17" t="inlineStr">
        <is>
          <t>I Love English 5-8 ans est l’abonnement conçu pour permettre aux enfants de 5 à 8 ans de découvrir l’anglais de façon ludique et progressive. Grâce à une méthode innovante qui</t>
        </is>
      </c>
      <c r="G1854" s="19" t="inlineStr">
        <is>
          <t>https://action.metaffiliation.com/trk.php?mclic=P51323D5874B119S1U941389f058V4</t>
        </is>
      </c>
      <c r="H1854" s="20" t="n">
        <v>21216</v>
      </c>
      <c r="I1854" s="20" t="n">
        <v>103</v>
      </c>
      <c r="J1854" s="21">
        <f>IF(H1854=0,0,I1854/H1854)</f>
        <v/>
      </c>
    </row>
    <row r="1855">
      <c r="A1855" s="17" t="inlineStr">
        <is>
          <t>Bayard Jeunesse</t>
        </is>
      </c>
      <c r="B1855" s="17" t="inlineStr">
        <is>
          <t>Terminé</t>
        </is>
      </c>
      <c r="C1855" s="17" t="inlineStr">
        <is>
          <t>Bayard Jeunesse</t>
        </is>
      </c>
      <c r="D1855" s="17" t="inlineStr">
        <is>
          <t>Abonnements magazines jeunesse</t>
        </is>
      </c>
      <c r="E1855" s="18" t="inlineStr">
        <is>
          <t>Mes premières Belles Histoires - Abonnement magazine - 2 à</t>
        </is>
      </c>
      <c r="F1855" s="17" t="inlineStr">
        <is>
          <t>Mes premières Belles Histoires est l’abonnement magazine des enfants de 2 à 5 ans qui aiment écouter des histoires et développer leur imagination. Chaque mois, votre enfant</t>
        </is>
      </c>
      <c r="G1855" s="19" t="inlineStr">
        <is>
          <t>https://action.metaffiliation.com/trk.php?mclic=P51323D5874B119S1U941389f053V4</t>
        </is>
      </c>
      <c r="H1855" s="20" t="n">
        <v>21039</v>
      </c>
      <c r="I1855" s="20" t="n">
        <v>117</v>
      </c>
      <c r="J1855" s="21">
        <f>IF(H1855=0,0,I1855/H1855)</f>
        <v/>
      </c>
    </row>
    <row r="1856">
      <c r="A1856" s="17" t="inlineStr">
        <is>
          <t>Bayard Jeunesse</t>
        </is>
      </c>
      <c r="B1856" s="17" t="inlineStr">
        <is>
          <t>Terminé</t>
        </is>
      </c>
      <c r="C1856" s="17" t="inlineStr">
        <is>
          <t>Bayard Jeunesse</t>
        </is>
      </c>
      <c r="D1856" s="17" t="inlineStr">
        <is>
          <t>Magazine foot enfants</t>
        </is>
      </c>
      <c r="E1856" s="18" t="inlineStr">
        <is>
          <t>So Foot Club, magazine foot 10-15 ans | Bayard</t>
        </is>
      </c>
      <c r="F1856" s="17" t="inlineStr">
        <is>
          <t>Le magazine de foot des 10-15 ans : actualités des clubs, BD, photos des joueurs et plaisir de lire, livré chaque mois à la maison avec l’abonnement Bayard Jeunesse.</t>
        </is>
      </c>
      <c r="G1856" s="19" t="inlineStr">
        <is>
          <t>https://action.metaffiliation.com/trk.php?mclic=P51323D5874B119S1U941389f056V4</t>
        </is>
      </c>
      <c r="H1856" s="20" t="n">
        <v>20932</v>
      </c>
      <c r="I1856" s="20" t="n">
        <v>120</v>
      </c>
      <c r="J1856" s="21">
        <f>IF(H1856=0,0,I1856/H1856)</f>
        <v/>
      </c>
    </row>
    <row r="1857">
      <c r="A1857" s="17" t="inlineStr">
        <is>
          <t>Bayard Jeunesse</t>
        </is>
      </c>
      <c r="B1857" s="17" t="inlineStr">
        <is>
          <t>Terminé</t>
        </is>
      </c>
      <c r="C1857" s="17" t="inlineStr">
        <is>
          <t>Bayard Jeunesse</t>
        </is>
      </c>
      <c r="D1857" s="17" t="inlineStr">
        <is>
          <t>Magazines découverte, actu et école</t>
        </is>
      </c>
      <c r="E1857" s="18" t="inlineStr">
        <is>
          <t>Phosphore, hebdo numérique des 14-19 ans | Bayard</t>
        </is>
      </c>
      <c r="F1857" s="17" t="inlineStr">
        <is>
          <t>Phosphore, l’hebdo 100 % numérique des 14-19 ans : chaque semaine l’essentiel de l’actualité du monde et du lycée, l’orientation et les études, dans un format interactif.</t>
        </is>
      </c>
      <c r="G1857" s="19" t="inlineStr">
        <is>
          <t>https://action.metaffiliation.com/trk.php?mclic=P51323D5874B119S1U941389f059V4</t>
        </is>
      </c>
      <c r="H1857" s="20" t="n">
        <v>19892</v>
      </c>
      <c r="I1857" s="20" t="n">
        <v>247</v>
      </c>
      <c r="J1857" s="21">
        <f>IF(H1857=0,0,I1857/H1857)</f>
        <v/>
      </c>
    </row>
    <row r="1858">
      <c r="A1858" s="17" t="inlineStr">
        <is>
          <t>Bayard Jeunesse</t>
        </is>
      </c>
      <c r="B1858" s="17" t="inlineStr">
        <is>
          <t>Terminé</t>
        </is>
      </c>
      <c r="C1858" s="17" t="inlineStr">
        <is>
          <t>Bayard Jeunesse</t>
        </is>
      </c>
      <c r="D1858" s="17" t="inlineStr">
        <is>
          <t>Family and Parenting</t>
        </is>
      </c>
      <c r="E1858" s="18" t="inlineStr">
        <is>
          <t>Bayard Jeunesse - Lecture et éveil des enfants</t>
        </is>
      </c>
      <c r="F1858" s="17" t="inlineStr">
        <is>
          <t>Bayard Jeunesse accompagne la vie de famille avec ses abonnements magazines, comme I Love English 5-8 ans pour découvrir l’anglais dès 5 ans.</t>
        </is>
      </c>
      <c r="G1858" s="19" t="inlineStr">
        <is>
          <t>https://action.metaffiliation.com/trk.php?mclic=P51323D5874B119S1U941389f058V4</t>
        </is>
      </c>
      <c r="H1858" s="20" t="n">
        <v>17118</v>
      </c>
      <c r="I1858" s="20" t="n">
        <v>84</v>
      </c>
      <c r="J1858" s="21">
        <f>IF(H1858=0,0,I1858/H1858)</f>
        <v/>
      </c>
    </row>
    <row r="1859">
      <c r="A1859" s="17" t="inlineStr">
        <is>
          <t>Bayard Jeunesse</t>
        </is>
      </c>
      <c r="B1859" s="17" t="inlineStr">
        <is>
          <t>Terminé</t>
        </is>
      </c>
      <c r="C1859" s="17" t="inlineStr">
        <is>
          <t>Bayard Jeunesse</t>
        </is>
      </c>
      <c r="D1859" s="17" t="inlineStr">
        <is>
          <t>Books and Audio Books</t>
        </is>
      </c>
      <c r="E1859" s="18" t="inlineStr">
        <is>
          <t>Bayard Jeunesse - Abonnements magazines enfants</t>
        </is>
      </c>
      <c r="F1859" s="17" t="inlineStr">
        <is>
          <t>L’abonnement I Love English 5-8 ans fait découvrir l’anglais aux enfants, de façon progressive et ludique, numéro après numéro.</t>
        </is>
      </c>
      <c r="G1859" s="19" t="inlineStr">
        <is>
          <t>https://action.metaffiliation.com/trk.php?mclic=P51323D5874B119S1U941389f058V4</t>
        </is>
      </c>
      <c r="H1859" s="20" t="n">
        <v>16592</v>
      </c>
      <c r="I1859" s="20" t="n">
        <v>84</v>
      </c>
      <c r="J1859" s="21">
        <f>IF(H1859=0,0,I1859/H1859)</f>
        <v/>
      </c>
    </row>
    <row r="1860">
      <c r="A1860" s="17" t="inlineStr">
        <is>
          <t>Bayard Jeunesse</t>
        </is>
      </c>
      <c r="B1860" s="17" t="inlineStr">
        <is>
          <t>Terminé</t>
        </is>
      </c>
      <c r="C1860" s="17" t="inlineStr">
        <is>
          <t>Bayard Jeunesse</t>
        </is>
      </c>
      <c r="D1860" s="17" t="inlineStr">
        <is>
          <t>Family and Parenting</t>
        </is>
      </c>
      <c r="E1860" s="18" t="inlineStr">
        <is>
          <t>Popi - Abonnement magazine - Dès 1 an - Éveil, histoires et</t>
        </is>
      </c>
      <c r="F1860" s="17" t="inlineStr">
        <is>
          <t>Popi est l’abonnement magazine des tout-petits dès 1 an qui découvrent le langage et le monde qui les entoure. Chaque mois, votre enfant retrouve des histoires tendres, des</t>
        </is>
      </c>
      <c r="G1860" s="19" t="inlineStr">
        <is>
          <t>https://action.metaffiliation.com/trk.php?mclic=P51323D5874B119S1U941389f052V4</t>
        </is>
      </c>
      <c r="H1860" s="20" t="n">
        <v>16483</v>
      </c>
      <c r="I1860" s="20" t="n">
        <v>73</v>
      </c>
      <c r="J1860" s="21">
        <f>IF(H1860=0,0,I1860/H1860)</f>
        <v/>
      </c>
    </row>
    <row r="1861">
      <c r="A1861" s="17" t="inlineStr">
        <is>
          <t>Bayard Jeunesse</t>
        </is>
      </c>
      <c r="B1861" s="17" t="inlineStr">
        <is>
          <t>Terminé</t>
        </is>
      </c>
      <c r="C1861" s="17" t="inlineStr">
        <is>
          <t>Bayard Jeunesse</t>
        </is>
      </c>
      <c r="D1861" s="17" t="inlineStr">
        <is>
          <t>Family and Parenting</t>
        </is>
      </c>
      <c r="E1861" s="18" t="inlineStr">
        <is>
          <t>Pomme d'Api - Abonnement magazine - 3 à 7 ans - Éveil et</t>
        </is>
      </c>
      <c r="F1861" s="17" t="inlineStr">
        <is>
          <t>Pomme d’Api est l’abonnement magazine qui accompagne les enfants de 3 à 7 ans dans leurs découvertes et leurs premiers apprentissages. Chaque mois, ils retrouvent des histoires</t>
        </is>
      </c>
      <c r="G1861" s="19" t="inlineStr">
        <is>
          <t>https://action.metaffiliation.com/trk.php?mclic=P51323D5874B119S1U941389f051V4</t>
        </is>
      </c>
      <c r="H1861" s="20" t="n">
        <v>16416</v>
      </c>
      <c r="I1861" s="20" t="n">
        <v>89</v>
      </c>
      <c r="J1861" s="21">
        <f>IF(H1861=0,0,I1861/H1861)</f>
        <v/>
      </c>
    </row>
    <row r="1862">
      <c r="A1862" s="17" t="inlineStr">
        <is>
          <t>Bayard Jeunesse</t>
        </is>
      </c>
      <c r="B1862" s="17" t="inlineStr">
        <is>
          <t>Terminé</t>
        </is>
      </c>
      <c r="C1862" s="17" t="inlineStr">
        <is>
          <t>Bayard Jeunesse</t>
        </is>
      </c>
      <c r="D1862" s="17" t="inlineStr">
        <is>
          <t>Family and Parenting</t>
        </is>
      </c>
      <c r="E1862" s="18" t="inlineStr">
        <is>
          <t>Mes premiers J'aime lire - Abonnement magazine - 6 à 7 ans</t>
        </is>
      </c>
      <c r="F1862" s="17" t="inlineStr">
        <is>
          <t>Mes premiers J’aime lire est l’abonnement magazine des enfants de 6 à 7 ans qui apprennent à lire. Chaque mois, ils découvrent une grande histoire adaptée aux lecteurs débutants</t>
        </is>
      </c>
      <c r="G1862" s="19" t="inlineStr">
        <is>
          <t>https://action.metaffiliation.com/trk.php?mclic=P51323D5874B119S1U941389f048V4</t>
        </is>
      </c>
      <c r="H1862" s="20" t="n">
        <v>16395</v>
      </c>
      <c r="I1862" s="20" t="n">
        <v>64</v>
      </c>
      <c r="J1862" s="21">
        <f>IF(H1862=0,0,I1862/H1862)</f>
        <v/>
      </c>
    </row>
    <row r="1863">
      <c r="A1863" s="17" t="inlineStr">
        <is>
          <t>Bayard Jeunesse</t>
        </is>
      </c>
      <c r="B1863" s="17" t="inlineStr">
        <is>
          <t>Terminé</t>
        </is>
      </c>
      <c r="C1863" s="17" t="inlineStr">
        <is>
          <t>Bayard Jeunesse</t>
        </is>
      </c>
      <c r="D1863" s="17" t="inlineStr">
        <is>
          <t>Family and Parenting</t>
        </is>
      </c>
      <c r="E1863" s="18" t="inlineStr">
        <is>
          <t>Youpi Doc - Abonnement magazine - 5 à 8 ans - Sciences</t>
        </is>
      </c>
      <c r="F1863" s="17" t="inlineStr">
        <is>
          <t>Youpi Doc est l’abonnement magazine des enfants de 5 à 8 ans qui veulent comprendre le monde qui les entoure. Chaque mois, ils explorent des sujets fascinants sur la nature, les</t>
        </is>
      </c>
      <c r="G1863" s="19" t="inlineStr">
        <is>
          <t>https://action.metaffiliation.com/trk.php?mclic=P51323D5874B119S1U941389f054V4</t>
        </is>
      </c>
      <c r="H1863" s="20" t="n">
        <v>16168</v>
      </c>
      <c r="I1863" s="20" t="n">
        <v>83</v>
      </c>
      <c r="J1863" s="21">
        <f>IF(H1863=0,0,I1863/H1863)</f>
        <v/>
      </c>
    </row>
    <row r="1864">
      <c r="A1864" s="17" t="inlineStr">
        <is>
          <t>Bayard Jeunesse</t>
        </is>
      </c>
      <c r="B1864" s="17" t="inlineStr">
        <is>
          <t>Terminé</t>
        </is>
      </c>
      <c r="C1864" s="17" t="inlineStr">
        <is>
          <t>Bayard Jeunesse</t>
        </is>
      </c>
      <c r="D1864" s="17" t="inlineStr">
        <is>
          <t>Family and Parenting</t>
        </is>
      </c>
      <c r="E1864" s="18" t="inlineStr">
        <is>
          <t>Tous les abonnements magazines jeunesse - Bayard Jeunesse</t>
        </is>
      </c>
      <c r="F1864" s="17" t="inlineStr">
        <is>
          <t>Découvrez les offres d’abonnement magazine jeunesse pour enfants de 1 à 20 ans. Profitez des meilleurs prix et offres exclusives Bayard Jeunesse.</t>
        </is>
      </c>
      <c r="G1864" s="19" t="inlineStr">
        <is>
          <t>https://action.metaffiliation.com/trk.php?mclic=P51323D5874B11515</t>
        </is>
      </c>
      <c r="H1864" s="20" t="n">
        <v>16147</v>
      </c>
      <c r="I1864" s="20" t="n">
        <v>92</v>
      </c>
      <c r="J1864" s="21">
        <f>IF(H1864=0,0,I1864/H1864)</f>
        <v/>
      </c>
    </row>
    <row r="1865">
      <c r="A1865" s="17" t="inlineStr">
        <is>
          <t>Bayard Jeunesse</t>
        </is>
      </c>
      <c r="B1865" s="17" t="inlineStr">
        <is>
          <t>Terminé</t>
        </is>
      </c>
      <c r="C1865" s="17" t="inlineStr">
        <is>
          <t>Bayard Jeunesse</t>
        </is>
      </c>
      <c r="D1865" s="17" t="inlineStr">
        <is>
          <t>Family and Parenting</t>
        </is>
      </c>
      <c r="E1865" s="18" t="inlineStr">
        <is>
          <t>Mes premières Belles Histoires - Abonnement magazine - 2 à</t>
        </is>
      </c>
      <c r="F1865" s="17" t="inlineStr">
        <is>
          <t>Mes premières Belles Histoires est l’abonnement magazine des enfants de 2 à 5 ans qui aiment écouter des histoires et développer leur imagination. Chaque mois, votre enfant</t>
        </is>
      </c>
      <c r="G1865" s="19" t="inlineStr">
        <is>
          <t>https://action.metaffiliation.com/trk.php?mclic=P51323D5874B119S1U941389f053V4</t>
        </is>
      </c>
      <c r="H1865" s="20" t="n">
        <v>16090</v>
      </c>
      <c r="I1865" s="20" t="n">
        <v>81</v>
      </c>
      <c r="J1865" s="21">
        <f>IF(H1865=0,0,I1865/H1865)</f>
        <v/>
      </c>
    </row>
    <row r="1866">
      <c r="A1866" s="17" t="inlineStr">
        <is>
          <t>Bayard Jeunesse</t>
        </is>
      </c>
      <c r="B1866" s="17" t="inlineStr">
        <is>
          <t>Terminé</t>
        </is>
      </c>
      <c r="C1866" s="17" t="inlineStr">
        <is>
          <t>Bayard Jeunesse</t>
        </is>
      </c>
      <c r="D1866" s="17" t="inlineStr">
        <is>
          <t>Magazines découverte, actu et école</t>
        </is>
      </c>
      <c r="E1866" s="18" t="inlineStr">
        <is>
          <t>Okapi, magazine des collégiens 10-15 ans | Bayard</t>
        </is>
      </c>
      <c r="F1866" s="17" t="inlineStr">
        <is>
          <t>Okapi aide les 10-15 ans à comprendre l’actu, à s’ouvrir au monde et à réussir au collège, à chaque numéro, avec l’abonnement Bayard Jeunesse livré à la maison.</t>
        </is>
      </c>
      <c r="G1866" s="19" t="inlineStr">
        <is>
          <t>https://action.metaffiliation.com/trk.php?mclic=P51323D5874B119S1U941389f049V4</t>
        </is>
      </c>
      <c r="H1866" s="20" t="n">
        <v>15141</v>
      </c>
      <c r="I1866" s="20" t="n">
        <v>72</v>
      </c>
      <c r="J1866" s="21">
        <f>IF(H1866=0,0,I1866/H1866)</f>
        <v/>
      </c>
    </row>
    <row r="1867">
      <c r="A1867" s="17" t="inlineStr">
        <is>
          <t>Bayard Jeunesse</t>
        </is>
      </c>
      <c r="B1867" s="17" t="inlineStr">
        <is>
          <t>Terminé</t>
        </is>
      </c>
      <c r="C1867" s="17" t="inlineStr">
        <is>
          <t>Bayard Jeunesse</t>
        </is>
      </c>
      <c r="D1867" s="17" t="inlineStr">
        <is>
          <t>Magazines découverte, actu et école</t>
        </is>
      </c>
      <c r="E1867" s="18" t="inlineStr">
        <is>
          <t>Images Doc, magazine découvertes 8-12 ans | Bayard</t>
        </is>
      </c>
      <c r="F1867" s="17" t="inlineStr">
        <is>
          <t>Chaque mois, Images Doc répond aux questions des 8-12 ans avec des documentaires, des expériences et des BD sur les sciences, l’histoire et le monde. Livré à la maison.</t>
        </is>
      </c>
      <c r="G1867" s="19" t="inlineStr">
        <is>
          <t>https://action.metaffiliation.com/trk.php?mclic=P51323D5874B119S1U941389f043V4</t>
        </is>
      </c>
      <c r="H1867" s="20" t="n">
        <v>8400</v>
      </c>
      <c r="I1867" s="20" t="n">
        <v>107</v>
      </c>
      <c r="J1867" s="21">
        <f>IF(H1867=0,0,I1867/H1867)</f>
        <v/>
      </c>
    </row>
    <row r="1868">
      <c r="A1868" s="17" t="inlineStr">
        <is>
          <t>Bayard Jeunesse</t>
        </is>
      </c>
      <c r="B1868" s="17" t="inlineStr">
        <is>
          <t>Terminé</t>
        </is>
      </c>
      <c r="C1868" s="17" t="inlineStr">
        <is>
          <t>Bayard Jeunesse</t>
        </is>
      </c>
      <c r="D1868" s="17" t="inlineStr">
        <is>
          <t>Magazines éveil à la foi</t>
        </is>
      </c>
      <c r="E1868" s="18" t="inlineStr">
        <is>
          <t>Mon p’tit Prions en Église, éveil à la foi 3-6 ans | Bayard</t>
        </is>
      </c>
      <c r="F1868" s="17" t="inlineStr">
        <is>
          <t>Mon p’tit Prions en Église fait découvrir Dieu et l’Évangile aux 3-6 ans avec des BD, des récits, des jeux et des coloriages, dans chaque numéro livré à la maison.</t>
        </is>
      </c>
      <c r="G1868" s="19" t="inlineStr">
        <is>
          <t>https://action.metaffiliation.com/trk.php?mclic=P51323D5874B119S1U941389f061V4</t>
        </is>
      </c>
      <c r="H1868" s="20" t="n">
        <v>7727</v>
      </c>
      <c r="I1868" s="20" t="n">
        <v>27</v>
      </c>
      <c r="J1868" s="21">
        <f>IF(H1868=0,0,I1868/H1868)</f>
        <v/>
      </c>
    </row>
    <row r="1869">
      <c r="A1869" s="17" t="inlineStr">
        <is>
          <t>Bayard Jeunesse</t>
        </is>
      </c>
      <c r="B1869" s="17" t="inlineStr">
        <is>
          <t>Terminé</t>
        </is>
      </c>
      <c r="C1869" s="17" t="inlineStr">
        <is>
          <t>Bayard Jeunesse</t>
        </is>
      </c>
      <c r="D1869" s="17" t="inlineStr">
        <is>
          <t>Magazines éveil à la foi</t>
        </is>
      </c>
      <c r="E1869" s="18" t="inlineStr">
        <is>
          <t>Prions en Église Junior, magazine 8-12 ans | Bayard</t>
        </is>
      </c>
      <c r="F1869" s="17" t="inlineStr">
        <is>
          <t>Prions en Église Junior accompagne les 8-12 ans dans la découverte de la parole de Dieu et de leur foi, avec des récits et des jeux, chaque mois à la maison.</t>
        </is>
      </c>
      <c r="G1869" s="19" t="inlineStr">
        <is>
          <t>https://action.metaffiliation.com/trk.php?mclic=P51323D5874B119S1U941389f062V4</t>
        </is>
      </c>
      <c r="H1869" s="20" t="n">
        <v>7579</v>
      </c>
      <c r="I1869" s="20" t="n">
        <v>34</v>
      </c>
      <c r="J1869" s="21">
        <f>IF(H1869=0,0,I1869/H1869)</f>
        <v/>
      </c>
    </row>
    <row r="1870">
      <c r="A1870" s="17" t="inlineStr">
        <is>
          <t>Bayard Jeunesse</t>
        </is>
      </c>
      <c r="B1870" s="17" t="inlineStr">
        <is>
          <t>Terminé</t>
        </is>
      </c>
      <c r="C1870" s="17" t="inlineStr">
        <is>
          <t>Bayard Jeunesse</t>
        </is>
      </c>
      <c r="D1870" s="17" t="inlineStr">
        <is>
          <t>Magazines découverte, actu et école</t>
        </is>
      </c>
      <c r="E1870" s="18" t="inlineStr">
        <is>
          <t>Astrapi, magazine actus et BD 7-11 ans | Bayard</t>
        </is>
      </c>
      <c r="F1870" s="17" t="inlineStr">
        <is>
          <t>Astrapi accompagne les 7-11 ans à chaque numéro avec des BD, des actus, des bricolages et des jeux pour comprendre le monde et grandir en confiance. Livré chez vous.</t>
        </is>
      </c>
      <c r="G1870" s="19" t="inlineStr">
        <is>
          <t>https://action.metaffiliation.com/trk.php?mclic=P51323D5874B119S1U941389f040V4</t>
        </is>
      </c>
      <c r="H1870" s="20" t="n">
        <v>6704</v>
      </c>
      <c r="I1870" s="20" t="n">
        <v>25</v>
      </c>
      <c r="J1870" s="21">
        <f>IF(H1870=0,0,I1870/H1870)</f>
        <v/>
      </c>
    </row>
    <row r="1871">
      <c r="A1871" s="17" t="inlineStr">
        <is>
          <t>Bayard Jeunesse</t>
        </is>
      </c>
      <c r="B1871" s="17" t="inlineStr">
        <is>
          <t>Terminé</t>
        </is>
      </c>
      <c r="C1871" s="17" t="inlineStr">
        <is>
          <t>Bayard Jeunesse</t>
        </is>
      </c>
      <c r="D1871" s="17" t="inlineStr">
        <is>
          <t>Magazines lecture et histoires</t>
        </is>
      </c>
      <c r="E1871" s="18" t="inlineStr">
        <is>
          <t>Je bouquine, magazine lecture 12-15 ans | Bayard</t>
        </is>
      </c>
      <c r="F1871" s="17" t="inlineStr">
        <is>
          <t>Je bouquine offre aux 12-15 ans des nouvelles écrites par des écrivains reconnus, une sélection culturelle et des ateliers d’écriture, chaque mois à la maison.</t>
        </is>
      </c>
      <c r="G1871" s="19" t="inlineStr">
        <is>
          <t>https://action.metaffiliation.com/trk.php?mclic=P51323D5874B119S1U941389f046V4</t>
        </is>
      </c>
      <c r="H1871" s="20" t="n">
        <v>6334</v>
      </c>
      <c r="I1871" s="20" t="n">
        <v>45</v>
      </c>
      <c r="J1871" s="21">
        <f>IF(H1871=0,0,I1871/H1871)</f>
        <v/>
      </c>
    </row>
    <row r="1872">
      <c r="A1872" s="17" t="inlineStr">
        <is>
          <t>Bayard Jeunesse</t>
        </is>
      </c>
      <c r="B1872" s="17" t="inlineStr">
        <is>
          <t>Terminé</t>
        </is>
      </c>
      <c r="C1872" s="17" t="inlineStr">
        <is>
          <t>Bayard Jeunesse</t>
        </is>
      </c>
      <c r="D1872" s="17" t="inlineStr">
        <is>
          <t>Magazines lecture et histoires</t>
        </is>
      </c>
      <c r="E1872" s="18" t="inlineStr">
        <is>
          <t>Abonnement Babar, histoires 2-5 ans | Bayard</t>
        </is>
      </c>
      <c r="F1872" s="17" t="inlineStr">
        <is>
          <t>Chaque mois, Babar propose aux 2-5 ans des histoires, des jeux et des stickers à partager avec leurs parents. Un abonnement Bayard Jeunesse livré à la maison.</t>
        </is>
      </c>
      <c r="G1872" s="19" t="inlineStr">
        <is>
          <t>https://action.metaffiliation.com/trk.php?mclic=P51323D5874B119S1U941389f041V4</t>
        </is>
      </c>
      <c r="H1872" s="20" t="n">
        <v>5865</v>
      </c>
      <c r="I1872" s="20" t="n">
        <v>22</v>
      </c>
      <c r="J1872" s="21">
        <f>IF(H1872=0,0,I1872/H1872)</f>
        <v/>
      </c>
    </row>
    <row r="1873">
      <c r="A1873" s="17" t="inlineStr">
        <is>
          <t>Bayard Jeunesse</t>
        </is>
      </c>
      <c r="B1873" s="17" t="inlineStr">
        <is>
          <t>Terminé</t>
        </is>
      </c>
      <c r="C1873" s="17" t="inlineStr">
        <is>
          <t>Bayard Jeunesse</t>
        </is>
      </c>
      <c r="D1873" s="17" t="inlineStr">
        <is>
          <t>Magazines lecture et histoires</t>
        </is>
      </c>
      <c r="E1873" s="18" t="inlineStr">
        <is>
          <t>Abonnement J’aime lire, romans 7-10 ans | Bayard</t>
        </is>
      </c>
      <c r="F1873" s="17" t="inlineStr">
        <is>
          <t>Chaque mois, J’aime lire offre aux 7-10 ans un roman inédit, des BD, des jeux et des blagues : le magazine le plus lu en France, livré dans la boîte aux lettres.</t>
        </is>
      </c>
      <c r="G1873" s="19" t="inlineStr">
        <is>
          <t>https://action.metaffiliation.com/trk.php?mclic=P51323D5874B119S1U941389f044V4</t>
        </is>
      </c>
      <c r="H1873" s="20" t="n">
        <v>5315</v>
      </c>
      <c r="I1873" s="20" t="n">
        <v>26</v>
      </c>
      <c r="J1873" s="21">
        <f>IF(H1873=0,0,I1873/H1873)</f>
        <v/>
      </c>
    </row>
    <row r="1874">
      <c r="A1874" s="17" t="inlineStr">
        <is>
          <t>Bayard Jeunesse</t>
        </is>
      </c>
      <c r="B1874" s="17" t="inlineStr">
        <is>
          <t>Terminé</t>
        </is>
      </c>
      <c r="C1874" s="17" t="inlineStr">
        <is>
          <t>Bayard Jeunesse</t>
        </is>
      </c>
      <c r="D1874" s="17" t="inlineStr">
        <is>
          <t>Magazines lecture et histoires</t>
        </is>
      </c>
      <c r="E1874" s="18" t="inlineStr">
        <is>
          <t>Les Belles Histoires, magazine 4-7 ans | Bayard</t>
        </is>
      </c>
      <c r="F1874" s="17" t="inlineStr">
        <is>
          <t>Chaque mois, Les Belles Histoires apporte aux 4-7 ans une grande histoire à lire et à écouter avec sa version audio, et le retour de leurs héros préférés.</t>
        </is>
      </c>
      <c r="G1874" s="19" t="inlineStr">
        <is>
          <t>https://action.metaffiliation.com/trk.php?mclic=P51323D5874B119S1U941389f047V4</t>
        </is>
      </c>
      <c r="H1874" s="20" t="n">
        <v>5191</v>
      </c>
      <c r="I1874" s="20" t="n">
        <v>18</v>
      </c>
      <c r="J1874" s="21">
        <f>IF(H1874=0,0,I1874/H1874)</f>
        <v/>
      </c>
    </row>
    <row r="1875">
      <c r="A1875" s="17" t="inlineStr">
        <is>
          <t>Bayard Jeunesse</t>
        </is>
      </c>
      <c r="B1875" s="17" t="inlineStr">
        <is>
          <t>Terminé</t>
        </is>
      </c>
      <c r="C1875" s="17" t="inlineStr">
        <is>
          <t>Bayard Jeunesse</t>
        </is>
      </c>
      <c r="D1875" s="17" t="inlineStr">
        <is>
          <t>Magazines lecture et histoires</t>
        </is>
      </c>
      <c r="E1875" s="18" t="inlineStr">
        <is>
          <t>J’aime lire Max, grands romans 9-13 ans | Bayard</t>
        </is>
      </c>
      <c r="F1875" s="17" t="inlineStr">
        <is>
          <t>J’aime lire Max donne aux 9-13 ans un grand roman chaque mois, avec des BD et des infos pour stimuler l’envie de lire. Abonnement livré à la maison par Bayard Jeunesse.</t>
        </is>
      </c>
      <c r="G1875" s="19" t="inlineStr">
        <is>
          <t>https://action.metaffiliation.com/trk.php?mclic=P51323D5874B119S1U941389f045V4</t>
        </is>
      </c>
      <c r="H1875" s="20" t="n">
        <v>5054</v>
      </c>
      <c r="I1875" s="20" t="n">
        <v>28</v>
      </c>
      <c r="J1875" s="21">
        <f>IF(H1875=0,0,I1875/H1875)</f>
        <v/>
      </c>
    </row>
    <row r="1876">
      <c r="A1876" s="17" t="inlineStr">
        <is>
          <t>Bayard Jeunesse</t>
        </is>
      </c>
      <c r="B1876" s="17" t="inlineStr">
        <is>
          <t>Terminé</t>
        </is>
      </c>
      <c r="C1876" s="17" t="inlineStr">
        <is>
          <t>Bayard Jeunesse</t>
        </is>
      </c>
      <c r="D1876" s="17" t="inlineStr">
        <is>
          <t>Magazine anglais enfants</t>
        </is>
      </c>
      <c r="E1876" s="18" t="inlineStr">
        <is>
          <t>I Love English for Kids, anglais 8-11 ans | Bayard</t>
        </is>
      </c>
      <c r="F1876" s="17" t="inlineStr">
        <is>
          <t>Dès le CE2, I Love English for Kids fait progresser les 8-11 ans en anglais : chaque mois un magazine, sa version audio et l’e-learning Play &amp; Learn inclus.</t>
        </is>
      </c>
      <c r="G1876" s="19" t="inlineStr">
        <is>
          <t>https://action.metaffiliation.com/trk.php?mclic=P51323D5874B119S1U941389f042V4</t>
        </is>
      </c>
      <c r="H1876" s="20" t="n">
        <v>4586</v>
      </c>
      <c r="I1876" s="20" t="n">
        <v>23</v>
      </c>
      <c r="J1876" s="21">
        <f>IF(H1876=0,0,I1876/H1876)</f>
        <v/>
      </c>
    </row>
    <row r="1877">
      <c r="A1877" s="17" t="inlineStr">
        <is>
          <t>Franklin Pet Food</t>
        </is>
      </c>
      <c r="B1877" s="17" t="inlineStr">
        <is>
          <t>Terminé</t>
        </is>
      </c>
      <c r="C1877" s="17" t="inlineStr">
        <is>
          <t>Franklin Notoriété</t>
        </is>
      </c>
      <c r="D1877" s="17" t="inlineStr">
        <is>
          <t>Franklin Pet Food</t>
        </is>
      </c>
      <c r="E1877" s="18" t="inlineStr">
        <is>
          <t>Trouvez la recette idéale pour votre animal – Franklin</t>
        </is>
      </c>
      <c r="F1877" s="17" t="inlineStr">
        <is>
          <t>Vous êtes à la recherche d'une alimentation adaptée aux besoins de votre animal de compagnie ? Remplissez notre questionnaire pour découvrir la recette qui lui conviendra le mieux</t>
        </is>
      </c>
      <c r="G1877" s="19" t="inlineStr">
        <is>
          <t>https://c3po.link/QuFukU6ECk</t>
        </is>
      </c>
      <c r="H1877" s="20" t="n">
        <v>30058</v>
      </c>
      <c r="I1877" s="20" t="n">
        <v>161</v>
      </c>
      <c r="J1877" s="21">
        <f>IF(H1877=0,0,I1877/H1877)</f>
        <v/>
      </c>
    </row>
    <row r="1878">
      <c r="A1878" s="17" t="inlineStr">
        <is>
          <t>Franklin Pet Food</t>
        </is>
      </c>
      <c r="B1878" s="17" t="inlineStr">
        <is>
          <t>Terminé</t>
        </is>
      </c>
      <c r="C1878" s="17" t="inlineStr">
        <is>
          <t>Franklin Notoriété</t>
        </is>
      </c>
      <c r="D1878" s="17" t="inlineStr">
        <is>
          <t>Pet Care</t>
        </is>
      </c>
      <c r="E1878" s="18" t="inlineStr">
        <is>
          <t>MINI TUBES CRÉMEUX AU POISSON - Franklin</t>
        </is>
      </c>
      <c r="F1878" s="17" t="inlineStr">
        <is>
          <t>Cap sur un été iodé avec notre Sélection Grand Large ! Au menu 3 nouvelles recettes inspirées des saveurs de la mer : Maquereau &amp; Sardine, Thon &amp; Crevette, et Thon &amp; Pétoncle. Un</t>
        </is>
      </c>
      <c r="G1878" s="19" t="inlineStr">
        <is>
          <t>https://lb.affilae.com/r/?p=643faf32803f8b136b097905&amp;af=478&amp;lp=https%3A%2F%2Ffranklinpetfood.com%2Fproducts%2Fselection-grand-large%3Futm_source%3DAffilae%26utm_medium%3DReferral%26utm_campaign%3DLemrock%26utm_content%3DLLM</t>
        </is>
      </c>
      <c r="H1878" s="20" t="n">
        <v>7840</v>
      </c>
      <c r="I1878" s="20" t="n">
        <v>20</v>
      </c>
      <c r="J1878" s="21">
        <f>IF(H1878=0,0,I1878/H1878)</f>
        <v/>
      </c>
    </row>
    <row r="1879">
      <c r="A1879" s="17" t="inlineStr">
        <is>
          <t>Franklin Pet Food</t>
        </is>
      </c>
      <c r="B1879" s="17" t="inlineStr">
        <is>
          <t>Terminé</t>
        </is>
      </c>
      <c r="C1879" s="17" t="inlineStr">
        <is>
          <t>Franklin Notoriété</t>
        </is>
      </c>
      <c r="D1879" s="17" t="inlineStr">
        <is>
          <t>Croquettes et pâtées chien</t>
        </is>
      </c>
      <c r="E1879" s="18" t="inlineStr">
        <is>
          <t>Croquettes chien peau sensible pas chères | Franklin</t>
        </is>
      </c>
      <c r="F1879" s="17" t="inlineStr">
        <is>
          <t>Des croquettes riches en oméga-3 et nutriments pour apaiser les démangeaisons, réduire la perte de poils et redonner du brillant au pelage de votre chien.</t>
        </is>
      </c>
      <c r="G1879" s="19" t="inlineStr">
        <is>
          <t>https://c3po.link/Qs97xQPrZr</t>
        </is>
      </c>
      <c r="H1879" s="20" t="n">
        <v>5378</v>
      </c>
      <c r="I1879" s="20" t="n">
        <v>23</v>
      </c>
      <c r="J1879" s="21">
        <f>IF(H1879=0,0,I1879/H1879)</f>
        <v/>
      </c>
    </row>
    <row r="1880">
      <c r="A1880" s="17" t="inlineStr">
        <is>
          <t>Franklin Pet Food</t>
        </is>
      </c>
      <c r="B1880" s="17" t="inlineStr">
        <is>
          <t>Terminé</t>
        </is>
      </c>
      <c r="C1880" s="17" t="inlineStr">
        <is>
          <t>Franklin Notoriété</t>
        </is>
      </c>
      <c r="D1880" s="17" t="inlineStr">
        <is>
          <t>Pet Care</t>
        </is>
      </c>
      <c r="E1880" s="18" t="inlineStr">
        <is>
          <t>Croquette chat probleme urinaire- chat stérilisé CANARD</t>
        </is>
      </c>
      <c r="F1880" s="17" t="inlineStr">
        <is>
          <t>Découvrez notre recette de croquettes pour chat sans céréales au canard. Elle est mono-protéine et adaptée aux chats sensibles. Elle contient du canard, une viande peu allergène</t>
        </is>
      </c>
      <c r="G1880" s="19" t="inlineStr">
        <is>
          <t>https://lb.affilae.com/r/?p=643faf32803f8b136b097905&amp;af=478&amp;lp=https%3A%2F%2Ffranklinpetfood.com%2Fproducts%2Fcanard-courge-camomille%3Futm_source%3DAffilae%26utm_medium%3DReferral%26utm_campaign%3DLemrock%26utm_content%3DLLM</t>
        </is>
      </c>
      <c r="H1880" s="20" t="n">
        <v>4879</v>
      </c>
      <c r="I1880" s="20" t="n">
        <v>18</v>
      </c>
      <c r="J1880" s="21">
        <f>IF(H1880=0,0,I1880/H1880)</f>
        <v/>
      </c>
    </row>
    <row r="1881">
      <c r="A1881" s="17" t="inlineStr">
        <is>
          <t>Franklin Pet Food</t>
        </is>
      </c>
      <c r="B1881" s="17" t="inlineStr">
        <is>
          <t>Terminé</t>
        </is>
      </c>
      <c r="C1881" s="17" t="inlineStr">
        <is>
          <t>Franklin Notoriété</t>
        </is>
      </c>
      <c r="D1881" s="17" t="inlineStr">
        <is>
          <t>Pet Care</t>
        </is>
      </c>
      <c r="E1881" s="18" t="inlineStr">
        <is>
          <t>Croquettes, pâtées et soins pour chien et chat - Franklin</t>
        </is>
      </c>
      <c r="F1881" s="17" t="inlineStr">
        <is>
          <t>Compacte et anti-fuite, la gourde Franklin se glisse dans le sac et accompagne toutes vos balades avec votre chien, de la ville au sentier.</t>
        </is>
      </c>
      <c r="G1881" s="19" t="inlineStr">
        <is>
          <t>https://lb.affilae.com/r/?p=643faf32803f8b136b097905&amp;af=478&amp;lp=https%3A%2F%2Ffranklinpetfood.com%2Fproducts%2Fgourde-chien%3Futm_source%3DAffilae%26utm_medium%3DReferral%26utm_campaign%3DLemrock%26utm_content%3DLLM</t>
        </is>
      </c>
      <c r="H1881" s="20" t="n">
        <v>4728</v>
      </c>
      <c r="I1881" s="20" t="n">
        <v>15</v>
      </c>
      <c r="J1881" s="21">
        <f>IF(H1881=0,0,I1881/H1881)</f>
        <v/>
      </c>
    </row>
    <row r="1882">
      <c r="A1882" s="17" t="inlineStr">
        <is>
          <t>Franklin Pet Food</t>
        </is>
      </c>
      <c r="B1882" s="17" t="inlineStr">
        <is>
          <t>Terminé</t>
        </is>
      </c>
      <c r="C1882" s="17" t="inlineStr">
        <is>
          <t>Franklin Notoriété</t>
        </is>
      </c>
      <c r="D1882" s="17" t="inlineStr">
        <is>
          <t>Pet Care</t>
        </is>
      </c>
      <c r="E1882" s="18" t="inlineStr">
        <is>
          <t>Pâtée chien sensible SANGLIER, MYRTILLE, ROMARIN - pâtée</t>
        </is>
      </c>
      <c r="F1882" s="17" t="inlineStr">
        <is>
          <t>Voilà la recette idéale pour les chiens qui aiment le goût de la nature ! Formulée avec 70% de sanglier, une viande de gibier savoureuse, riche en protéines et rarement servie à</t>
        </is>
      </c>
      <c r="G1882" s="19" t="inlineStr">
        <is>
          <t>https://lb.affilae.com/r/?p=643faf32803f8b136b097905&amp;af=478&amp;lp=https%3A%2F%2Ffranklinpetfood.com%2Fproducts%2Fsanglier-myrtille-romarin%3Futm_source%3DAffilae%26utm_medium%3DReferral%26utm_campaign%3DLemrock%26utm_content%3DLLM</t>
        </is>
      </c>
      <c r="H1882" s="20" t="n">
        <v>4719</v>
      </c>
      <c r="I1882" s="20" t="n">
        <v>18</v>
      </c>
      <c r="J1882" s="21">
        <f>IF(H1882=0,0,I1882/H1882)</f>
        <v/>
      </c>
    </row>
    <row r="1883">
      <c r="A1883" s="17" t="inlineStr">
        <is>
          <t>Franklin Pet Food</t>
        </is>
      </c>
      <c r="B1883" s="17" t="inlineStr">
        <is>
          <t>Terminé</t>
        </is>
      </c>
      <c r="C1883" s="17" t="inlineStr">
        <is>
          <t>Franklin Notoriété</t>
        </is>
      </c>
      <c r="D1883" s="17" t="inlineStr">
        <is>
          <t>Pet Care</t>
        </is>
      </c>
      <c r="E1883" s="18" t="inlineStr">
        <is>
          <t>Croquettes, pâtées et friandises - Franklin Pet Food</t>
        </is>
      </c>
      <c r="F1883" s="17" t="inlineStr">
        <is>
          <t>Un tournesol à l’herbe à chat qui réveille son instinct de jeu et l’aide à se dépenser, même quand vous n’avez pas le temps de jouer avec lui.</t>
        </is>
      </c>
      <c r="G1883" s="19" t="inlineStr">
        <is>
          <t>https://lb.affilae.com/r/?p=643faf32803f8b136b097905&amp;af=478&amp;lp=https%3A%2F%2Ffranklinpetfood.com%2Fproducts%2Fjouet-tournesol-chat%3Futm_source%3DAffilae%26utm_medium%3DReferral%26utm_campaign%3DLemrock%26utm_content%3DLLM</t>
        </is>
      </c>
      <c r="H1883" s="20" t="n">
        <v>4684</v>
      </c>
      <c r="I1883" s="20" t="n">
        <v>18</v>
      </c>
      <c r="J1883" s="21">
        <f>IF(H1883=0,0,I1883/H1883)</f>
        <v/>
      </c>
    </row>
    <row r="1884">
      <c r="A1884" s="17" t="inlineStr">
        <is>
          <t>Franklin Pet Food</t>
        </is>
      </c>
      <c r="B1884" s="17" t="inlineStr">
        <is>
          <t>Terminé</t>
        </is>
      </c>
      <c r="C1884" s="17" t="inlineStr">
        <is>
          <t>Franklin Notoriété</t>
        </is>
      </c>
      <c r="D1884" s="17" t="inlineStr">
        <is>
          <t>Pet Care</t>
        </is>
      </c>
      <c r="E1884" s="18" t="inlineStr">
        <is>
          <t>Friandises lyophilisées au saumon pour chat - Franklin</t>
        </is>
      </c>
      <c r="F1884" s="17" t="inlineStr">
        <is>
          <t>Des friandises lyophilisées pour chat, élaborées avec un seul ingrédient : du saumon. Riches en protéines et en oméga-3.</t>
        </is>
      </c>
      <c r="G1884" s="19" t="inlineStr">
        <is>
          <t>https://lb.affilae.com/r/?p=643faf32803f8b136b097905&amp;af=478&amp;lp=https%3A%2F%2Ffranklinpetfood.com%2Fproducts%2Fsnack-saumon-chat%3Futm_source%3DAffilae%26utm_medium%3DReferral%26utm_campaign%3DLemrock%26utm_content%3DLLM</t>
        </is>
      </c>
      <c r="H1884" s="20" t="n">
        <v>4588</v>
      </c>
      <c r="I1884" s="20" t="n">
        <v>20</v>
      </c>
      <c r="J1884" s="21">
        <f>IF(H1884=0,0,I1884/H1884)</f>
        <v/>
      </c>
    </row>
    <row r="1885">
      <c r="A1885" s="17" t="inlineStr">
        <is>
          <t>Franklin Pet Food</t>
        </is>
      </c>
      <c r="B1885" s="17" t="inlineStr">
        <is>
          <t>Terminé</t>
        </is>
      </c>
      <c r="C1885" s="17" t="inlineStr">
        <is>
          <t>Franklin Notoriété</t>
        </is>
      </c>
      <c r="D1885" s="17" t="inlineStr">
        <is>
          <t>Pet Care</t>
        </is>
      </c>
      <c r="E1885" s="18" t="inlineStr">
        <is>
          <t>Pâtée chien SAUMON, DINDE, CANNEBERGE - pâtée sans céréales</t>
        </is>
      </c>
      <c r="F1885" s="17" t="inlineStr">
        <is>
          <t>Envie d'un poil qui brille ? D'une silhouette svelte et d'une haleine fraîche ? Notre pâtée met tout le monde d'accord ! Elle contient 70% de saumon et dinde, une parfaite</t>
        </is>
      </c>
      <c r="G1885" s="19" t="inlineStr">
        <is>
          <t>https://lb.affilae.com/r/?p=643faf32803f8b136b097905&amp;af=478&amp;lp=https%3A%2F%2Ffranklinpetfood.com%2Fproducts%2Fdinde-saumon-canneberge%3Futm_source%3DAffilae%26utm_medium%3DReferral%26utm_campaign%3DLemrock%26utm_content%3DLLM</t>
        </is>
      </c>
      <c r="H1885" s="20" t="n">
        <v>4521</v>
      </c>
      <c r="I1885" s="20" t="n">
        <v>26</v>
      </c>
      <c r="J1885" s="21">
        <f>IF(H1885=0,0,I1885/H1885)</f>
        <v/>
      </c>
    </row>
    <row r="1886">
      <c r="A1886" s="17" t="inlineStr">
        <is>
          <t>Franklin Pet Food</t>
        </is>
      </c>
      <c r="B1886" s="17" t="inlineStr">
        <is>
          <t>Terminé</t>
        </is>
      </c>
      <c r="C1886" s="17" t="inlineStr">
        <is>
          <t>Franklin Notoriété</t>
        </is>
      </c>
      <c r="D1886" s="17" t="inlineStr">
        <is>
          <t>Franklin Pet Food</t>
        </is>
      </c>
      <c r="E1886" s="18" t="inlineStr">
        <is>
          <t>Pack découverte pour chien : recettes riches en viande</t>
        </is>
      </c>
      <c r="F1886" s="17" t="inlineStr">
        <is>
          <t>Découvrez notre pack découverte pour régaler votre chien avec tous les bestsellers Franklin !</t>
        </is>
      </c>
      <c r="G1886" s="19" t="inlineStr">
        <is>
          <t>https://lb.affilae.com/r/?p=643faf32803f8b136b097905&amp;af=478&amp;lp=https%3A%2F%2Ffranklinpetfood.com%2Fproducts%2Fpack-decouverte-chien-v2%3Futm_source%3DAffilae%26utm_medium%3DReferral%26utm_campaign%3DLemrock%26utm_content%3DLLM</t>
        </is>
      </c>
      <c r="H1886" s="20" t="n">
        <v>4472</v>
      </c>
      <c r="I1886" s="20" t="n">
        <v>19</v>
      </c>
      <c r="J1886" s="21">
        <f>IF(H1886=0,0,I1886/H1886)</f>
        <v/>
      </c>
    </row>
    <row r="1887">
      <c r="A1887" s="17" t="inlineStr">
        <is>
          <t>Franklin Pet Food</t>
        </is>
      </c>
      <c r="B1887" s="17" t="inlineStr">
        <is>
          <t>Terminé</t>
        </is>
      </c>
      <c r="C1887" s="17" t="inlineStr">
        <is>
          <t>Franklin Notoriété</t>
        </is>
      </c>
      <c r="D1887" s="17" t="inlineStr">
        <is>
          <t>Pet Care</t>
        </is>
      </c>
      <c r="E1887" s="18" t="inlineStr">
        <is>
          <t>Croquette Chat saumon - 20% de réduction – Franklin</t>
        </is>
      </c>
      <c r="F1887" s="17" t="inlineStr">
        <is>
          <t>Aliment complet pour chat adulte stérilisé : des croquettes avec 70% de saumon et des ingrédients naturels. Un pelage soyeux et une peau saine.</t>
        </is>
      </c>
      <c r="G1887" s="19" t="inlineStr">
        <is>
          <t>https://lb.affilae.com/r/?p=643faf32803f8b136b097905&amp;af=478&amp;lp=https%3A%2F%2Ffranklinpetfood.com%2Fproducts%2Fsaumon-courge-camomille%3Futm_source%3DAffilae%26utm_medium%3DReferral%26utm_campaign%3DLemrock%26utm_content%3DLLM</t>
        </is>
      </c>
      <c r="H1887" s="20" t="n">
        <v>4419</v>
      </c>
      <c r="I1887" s="20" t="n">
        <v>25</v>
      </c>
      <c r="J1887" s="21">
        <f>IF(H1887=0,0,I1887/H1887)</f>
        <v/>
      </c>
    </row>
    <row r="1888">
      <c r="A1888" s="17" t="inlineStr">
        <is>
          <t>Franklin Pet Food</t>
        </is>
      </c>
      <c r="B1888" s="17" t="inlineStr">
        <is>
          <t>Terminé</t>
        </is>
      </c>
      <c r="C1888" s="17" t="inlineStr">
        <is>
          <t>Franklin Notoriété</t>
        </is>
      </c>
      <c r="D1888" s="17" t="inlineStr">
        <is>
          <t>Pet Care</t>
        </is>
      </c>
      <c r="E1888" s="18" t="inlineStr">
        <is>
          <t>Huile de chanvre biologique pour chien : 20% de réduction</t>
        </is>
      </c>
      <c r="F1888" s="17" t="inlineStr">
        <is>
          <t>Découvrez notre huile de chanvre pour chien bio et pressée à froid. Renforce l'immunité, la santé de la peau et du pelage, les articulations et régule le stress.</t>
        </is>
      </c>
      <c r="G1888" s="19" t="inlineStr">
        <is>
          <t>https://lb.affilae.com/r/?p=643faf32803f8b136b097905&amp;af=478&amp;lp=https%3A%2F%2Ffranklinpetfood.com%2Fproducts%2Fhuile-de-chanvre%3Futm_source%3DAffilae%26utm_medium%3DReferral%26utm_campaign%3DLemrock%26utm_content%3DLLM</t>
        </is>
      </c>
      <c r="H1888" s="20" t="n">
        <v>4308</v>
      </c>
      <c r="I1888" s="20" t="n">
        <v>22</v>
      </c>
      <c r="J1888" s="21">
        <f>IF(H1888=0,0,I1888/H1888)</f>
        <v/>
      </c>
    </row>
    <row r="1889">
      <c r="A1889" s="17" t="inlineStr">
        <is>
          <t>Franklin Pet Food</t>
        </is>
      </c>
      <c r="B1889" s="17" t="inlineStr">
        <is>
          <t>Terminé</t>
        </is>
      </c>
      <c r="C1889" s="17" t="inlineStr">
        <is>
          <t>Franklin Notoriété</t>
        </is>
      </c>
      <c r="D1889" s="17" t="inlineStr">
        <is>
          <t>Franklin Pet Food</t>
        </is>
      </c>
      <c r="E1889" s="18" t="inlineStr">
        <is>
          <t>Lot découverte pâtée chat - 3 saveurs hypoallergéniques</t>
        </is>
      </c>
      <c r="F1889" s="17" t="inlineStr">
        <is>
          <t>Avis aux sensibles à moustaches et aux gourmets ! Notre pack découverte de trois filets avec 75% de vrais filets de viande ou de poisson (3x70g) a tout pour plaire. Des filets au</t>
        </is>
      </c>
      <c r="G1889" s="19" t="inlineStr">
        <is>
          <t>https://lb.affilae.com/r/?p=643faf32803f8b136b097905&amp;af=478&amp;lp=https%3A%2F%2Ffranklinpetfood.com%2Fproducts%2Ftrio-decouverte-filets-chat%3Futm_source%3DAffilae%26utm_medium%3DReferral%26utm_campaign%3DLemrock%26utm_content%3DLLM</t>
        </is>
      </c>
      <c r="H1889" s="20" t="n">
        <v>4164</v>
      </c>
      <c r="I1889" s="20" t="n">
        <v>18</v>
      </c>
      <c r="J1889" s="21">
        <f>IF(H1889=0,0,I1889/H1889)</f>
        <v/>
      </c>
    </row>
    <row r="1890">
      <c r="A1890" s="17" t="inlineStr">
        <is>
          <t>Franklin Pet Food</t>
        </is>
      </c>
      <c r="B1890" s="17" t="inlineStr">
        <is>
          <t>Terminé</t>
        </is>
      </c>
      <c r="C1890" s="17" t="inlineStr">
        <is>
          <t>Franklin Notoriété</t>
        </is>
      </c>
      <c r="D1890" s="17" t="inlineStr">
        <is>
          <t>Pet Care</t>
        </is>
      </c>
      <c r="E1890" s="18" t="inlineStr">
        <is>
          <t>Lot découverte pâtée chat - 3 saveurs hypoallergéniques</t>
        </is>
      </c>
      <c r="F1890" s="17" t="inlineStr">
        <is>
          <t>Avis aux sensibles à moustaches et aux gourmets ! Notre pack découverte de trois filets avec 75% de vrais filets de viande ou de poisson (3x70g) a tout pour plaire. Des filets au</t>
        </is>
      </c>
      <c r="G1890" s="19" t="inlineStr">
        <is>
          <t>https://lb.affilae.com/r/?p=643faf32803f8b136b097905&amp;af=478&amp;lp=https%3A%2F%2Ffranklinpetfood.com%2Fproducts%2Ftrio-decouverte-filets-chat%3Futm_source%3DAffilae%26utm_medium%3DReferral%26utm_campaign%3DLemrock%26utm_content%3DLLM</t>
        </is>
      </c>
      <c r="H1890" s="20" t="n">
        <v>4133</v>
      </c>
      <c r="I1890" s="20" t="n">
        <v>26</v>
      </c>
      <c r="J1890" s="21">
        <f>IF(H1890=0,0,I1890/H1890)</f>
        <v/>
      </c>
    </row>
    <row r="1891">
      <c r="A1891" s="17" t="inlineStr">
        <is>
          <t>Franklin Pet Food</t>
        </is>
      </c>
      <c r="B1891" s="17" t="inlineStr">
        <is>
          <t>Terminé</t>
        </is>
      </c>
      <c r="C1891" s="17" t="inlineStr">
        <is>
          <t>Franklin Notoriété</t>
        </is>
      </c>
      <c r="D1891" s="17" t="inlineStr">
        <is>
          <t>Pet Care</t>
        </is>
      </c>
      <c r="E1891" s="18" t="inlineStr">
        <is>
          <t>Pâtée chien POULET, FRAMBOISE, ORIGAN - pâtée chien sans</t>
        </is>
      </c>
      <c r="F1891" s="17" t="inlineStr">
        <is>
          <t>Plutôt l'aile ou la cuisse ? Peu importe ! Notre pâtée mono-protéine contient 70% de poulet pour faire plaisir aux fans de volailles ! Formulée avec des prébiotiques et de</t>
        </is>
      </c>
      <c r="G1891" s="19" t="inlineStr">
        <is>
          <t>https://lb.affilae.com/r/?p=643faf32803f8b136b097905&amp;af=478&amp;lp=https%3A%2F%2Ffranklinpetfood.com%2Fproducts%2Fpoulet-framboise-origan%3Futm_source%3DAffilae%26utm_medium%3DReferral%26utm_campaign%3DLemrock%26utm_content%3DLLM</t>
        </is>
      </c>
      <c r="H1891" s="20" t="n">
        <v>3991</v>
      </c>
      <c r="I1891" s="20" t="n">
        <v>23</v>
      </c>
      <c r="J1891" s="21">
        <f>IF(H1891=0,0,I1891/H1891)</f>
        <v/>
      </c>
    </row>
    <row r="1892">
      <c r="A1892" s="17" t="inlineStr">
        <is>
          <t>Franklin Pet Food</t>
        </is>
      </c>
      <c r="B1892" s="17" t="inlineStr">
        <is>
          <t>Terminé</t>
        </is>
      </c>
      <c r="C1892" s="17" t="inlineStr">
        <is>
          <t>Franklin Notoriété</t>
        </is>
      </c>
      <c r="D1892" s="17" t="inlineStr">
        <is>
          <t>Pet Care</t>
        </is>
      </c>
      <c r="E1892" s="18" t="inlineStr">
        <is>
          <t>Croquettes chien light - Recettes allégées, sans ingrédient</t>
        </is>
      </c>
      <c r="F1892" s="17" t="inlineStr">
        <is>
          <t>Des recettes formulées par des nutritionnistes pour garder votre chien en bonne santé : moins de graisses, plus de fibres, 0 ingrédient caché.</t>
        </is>
      </c>
      <c r="G1892" s="19" t="inlineStr">
        <is>
          <t>https://lb.affilae.com/r/?p=643faf32803f8b136b097905&amp;af=478&amp;lp=https%3A%2F%2Ffranklinpetfood.com%2Fproducts%2Fpack-surpoids-chien%3Futm_source%3DAffilae%26utm_medium%3DReferral%26utm_campaign%3DLemrock%26utm_content%3DLLM</t>
        </is>
      </c>
      <c r="H1892" s="20" t="n">
        <v>3901</v>
      </c>
      <c r="I1892" s="20" t="n">
        <v>19</v>
      </c>
      <c r="J1892" s="21">
        <f>IF(H1892=0,0,I1892/H1892)</f>
        <v/>
      </c>
    </row>
    <row r="1893">
      <c r="A1893" s="17" t="inlineStr">
        <is>
          <t>Franklin Pet Food</t>
        </is>
      </c>
      <c r="B1893" s="17" t="inlineStr">
        <is>
          <t>Terminé</t>
        </is>
      </c>
      <c r="C1893" s="17" t="inlineStr">
        <is>
          <t>Franklin Notoriété</t>
        </is>
      </c>
      <c r="D1893" s="17" t="inlineStr">
        <is>
          <t>Pet Care</t>
        </is>
      </c>
      <c r="E1893" s="18" t="inlineStr">
        <is>
          <t>Croquettes, pâtées et soins pour chien et chat - Franklin</t>
        </is>
      </c>
      <c r="F1893" s="17" t="inlineStr">
        <is>
          <t>Chien ou chat, indiquez son âge, son poids et ses sensibilités dans notre questionnaire pour trouver la recette Franklin qui lui convient.</t>
        </is>
      </c>
      <c r="G1893" s="19" t="inlineStr">
        <is>
          <t>https://c3po.link/QuFukU6ECk</t>
        </is>
      </c>
      <c r="H1893" s="20" t="n">
        <v>3897</v>
      </c>
      <c r="I1893" s="20" t="n">
        <v>17</v>
      </c>
      <c r="J1893" s="21">
        <f>IF(H1893=0,0,I1893/H1893)</f>
        <v/>
      </c>
    </row>
    <row r="1894">
      <c r="A1894" s="17" t="inlineStr">
        <is>
          <t>Franklin Pet Food</t>
        </is>
      </c>
      <c r="B1894" s="17" t="inlineStr">
        <is>
          <t>Terminé</t>
        </is>
      </c>
      <c r="C1894" s="17" t="inlineStr">
        <is>
          <t>Franklin Notoriété</t>
        </is>
      </c>
      <c r="D1894" s="17" t="inlineStr">
        <is>
          <t>Croquettes et pâtées chien</t>
        </is>
      </c>
      <c r="E1894" s="18" t="inlineStr">
        <is>
          <t>Franklin Pâtées chien - trio 3 saveurs pâtées - 3 x 400g-</t>
        </is>
      </c>
      <c r="F1894" s="17" t="inlineStr">
        <is>
          <t>Voici trois recettes (3x400g) idéales pour satisfaire les palais de vos chiens tout en veillant à leur bien-être ! * Une pâtée mono-protéine, à base de 70% de sanglier, pour une d…</t>
        </is>
      </c>
      <c r="G1894" s="19" t="inlineStr">
        <is>
          <t>https://franklinpetfood.com/products/lot-decouverte-patees-chien?utm_source=Affilae&amp;utm_medium=Referral&amp;utm_campaign=Lemrock&amp;utm_content=LLM</t>
        </is>
      </c>
      <c r="H1894" s="20" t="n">
        <v>3826</v>
      </c>
      <c r="I1894" s="20" t="n">
        <v>9</v>
      </c>
      <c r="J1894" s="21">
        <f>IF(H1894=0,0,I1894/H1894)</f>
        <v/>
      </c>
    </row>
    <row r="1895">
      <c r="A1895" s="17" t="inlineStr">
        <is>
          <t>Franklin Pet Food</t>
        </is>
      </c>
      <c r="B1895" s="17" t="inlineStr">
        <is>
          <t>Terminé</t>
        </is>
      </c>
      <c r="C1895" s="17" t="inlineStr">
        <is>
          <t>Franklin Notoriété</t>
        </is>
      </c>
      <c r="D1895" s="17" t="inlineStr">
        <is>
          <t>Pet Care</t>
        </is>
      </c>
      <c r="E1895" s="18" t="inlineStr">
        <is>
          <t>Croquettes Chien Saumon Sans Céréales - 20% de réduction</t>
        </is>
      </c>
      <c r="F1895" s="17" t="inlineStr">
        <is>
          <t>Riches en protéines de haute qualité et en oméga-3, les croquettes au saumon constituent un aliment complet pour prendre soin de votre chien au quotidien.</t>
        </is>
      </c>
      <c r="G1895" s="19" t="inlineStr">
        <is>
          <t>https://lb.affilae.com/r/?p=643faf32803f8b136b097905&amp;af=478&amp;lp=https%3A%2F%2Ffranklinpetfood.com%2Fproducts%2Fsaumon-truite-persil%3Futm_source%3DAffilae%26utm_medium%3DReferral%26utm_campaign%3DLemrock%26utm_content%3DLLM</t>
        </is>
      </c>
      <c r="H1895" s="20" t="n">
        <v>3800</v>
      </c>
      <c r="I1895" s="20" t="n">
        <v>20</v>
      </c>
      <c r="J1895" s="21">
        <f>IF(H1895=0,0,I1895/H1895)</f>
        <v/>
      </c>
    </row>
    <row r="1896">
      <c r="A1896" s="17" t="inlineStr">
        <is>
          <t>Franklin Pet Food</t>
        </is>
      </c>
      <c r="B1896" s="17" t="inlineStr">
        <is>
          <t>Terminé</t>
        </is>
      </c>
      <c r="C1896" s="17" t="inlineStr">
        <is>
          <t>Franklin Notoriété</t>
        </is>
      </c>
      <c r="D1896" s="17" t="inlineStr">
        <is>
          <t>Pet Care</t>
        </is>
      </c>
      <c r="E1896" s="18" t="inlineStr">
        <is>
          <t>Friandises lyophilisées au saumon pour chien - Franklin</t>
        </is>
      </c>
      <c r="F1896" s="17" t="inlineStr">
        <is>
          <t>Offrez à votre chien une friandise lyophilisée élaborée à partir d’un seul ingrédient : le saumon. Riche en protéines et en oméga-3.</t>
        </is>
      </c>
      <c r="G1896" s="19" t="inlineStr">
        <is>
          <t>https://lb.affilae.com/r/?p=643faf32803f8b136b097905&amp;af=478&amp;lp=https%3A%2F%2Ffranklinpetfood.com%2Fproducts%2Fsnack-saumon-chien%3Futm_source%3DAffilae%26utm_medium%3DReferral%26utm_campaign%3DLemrock%26utm_content%3DLLM</t>
        </is>
      </c>
      <c r="H1896" s="20" t="n">
        <v>3738</v>
      </c>
      <c r="I1896" s="20" t="n">
        <v>17</v>
      </c>
      <c r="J1896" s="21">
        <f>IF(H1896=0,0,I1896/H1896)</f>
        <v/>
      </c>
    </row>
    <row r="1897">
      <c r="A1897" s="17" t="inlineStr">
        <is>
          <t>Franklin Pet Food</t>
        </is>
      </c>
      <c r="B1897" s="17" t="inlineStr">
        <is>
          <t>Terminé</t>
        </is>
      </c>
      <c r="C1897" s="17" t="inlineStr">
        <is>
          <t>Franklin Notoriété</t>
        </is>
      </c>
      <c r="D1897" s="17" t="inlineStr">
        <is>
          <t>Pet Care</t>
        </is>
      </c>
      <c r="E1897" s="18" t="inlineStr">
        <is>
          <t>Croquettes chat stérilisé - Croquettes chat AGNEAU, DINDE</t>
        </is>
      </c>
      <c r="F1897" s="17" t="inlineStr">
        <is>
          <t>Découvrez notre croquettes pour chat stérilisé sans céréales à l'agneau et à la dinde. Riches en protéines et pauvres en glucides, elles contribuent à maintenir votre chat à son</t>
        </is>
      </c>
      <c r="G1897" s="19" t="inlineStr">
        <is>
          <t>https://lb.affilae.com/r/?p=643faf32803f8b136b097905&amp;af=478&amp;lp=https%3A%2F%2Ffranklinpetfood.com%2Fproducts%2Fagneau-dinde-valeriane%3Futm_source%3DAffilae%26utm_medium%3DReferral%26utm_campaign%3DLemrock%26utm_content%3DLLM</t>
        </is>
      </c>
      <c r="H1897" s="20" t="n">
        <v>3729</v>
      </c>
      <c r="I1897" s="20" t="n">
        <v>15</v>
      </c>
      <c r="J1897" s="21">
        <f>IF(H1897=0,0,I1897/H1897)</f>
        <v/>
      </c>
    </row>
    <row r="1898">
      <c r="A1898" s="17" t="inlineStr">
        <is>
          <t>Franklin Pet Food</t>
        </is>
      </c>
      <c r="B1898" s="17" t="inlineStr">
        <is>
          <t>Terminé</t>
        </is>
      </c>
      <c r="C1898" s="17" t="inlineStr">
        <is>
          <t>Franklin Notoriété</t>
        </is>
      </c>
      <c r="D1898" s="17" t="inlineStr">
        <is>
          <t>Pet Care</t>
        </is>
      </c>
      <c r="E1898" s="18" t="inlineStr">
        <is>
          <t>Croquettes à la dinde pour Chien surpoids - 20% de</t>
        </is>
      </c>
      <c r="F1898" s="17" t="inlineStr">
        <is>
          <t>Aliment pauvre en matières grasses pour chien adulte en surpoids ou obèse. Formulé avec des ingrédients naturels et 64% de dinde.</t>
        </is>
      </c>
      <c r="G1898" s="19" t="inlineStr">
        <is>
          <t>https://lb.affilae.com/r/?p=643faf32803f8b136b097905&amp;af=478&amp;lp=https%3A%2F%2Ffranklinpetfood.com%2Fproducts%2Fdinde-patate-douce-epinards%3Futm_source%3DAffilae%26utm_medium%3DReferral%26utm_campaign%3DLemrock%26utm_content%3DLLM</t>
        </is>
      </c>
      <c r="H1898" s="20" t="n">
        <v>3692</v>
      </c>
      <c r="I1898" s="20" t="n">
        <v>18</v>
      </c>
      <c r="J1898" s="21">
        <f>IF(H1898=0,0,I1898/H1898)</f>
        <v/>
      </c>
    </row>
    <row r="1899">
      <c r="A1899" s="17" t="inlineStr">
        <is>
          <t>Franklin Pet Food</t>
        </is>
      </c>
      <c r="B1899" s="17" t="inlineStr">
        <is>
          <t>Terminé</t>
        </is>
      </c>
      <c r="C1899" s="17" t="inlineStr">
        <is>
          <t>Franklin Notoriété</t>
        </is>
      </c>
      <c r="D1899" s="17" t="inlineStr">
        <is>
          <t>Pet Care</t>
        </is>
      </c>
      <c r="E1899" s="18" t="inlineStr">
        <is>
          <t>Croquettes pour Chien à l'agneau - Alimentation digestion</t>
        </is>
      </c>
      <c r="F1899" s="17" t="inlineStr">
        <is>
          <t>Une recette équilibrée riche en agneau pour les chiens adultes avec des sensibilités digestives et des problèmes de transit.</t>
        </is>
      </c>
      <c r="G1899" s="19" t="inlineStr">
        <is>
          <t>https://lb.affilae.com/r/?p=643faf32803f8b136b097905&amp;af=478&amp;lp=https%3A%2F%2Ffranklinpetfood.com%2Fproducts%2Fcroquettes-chien-adulte-digestion-sensible%3Futm_source%3DAffilae%26utm_medium%3DReferral%26utm_campaign%3DLemrock%26utm_content%3DLLM</t>
        </is>
      </c>
      <c r="H1899" s="20" t="n">
        <v>3640</v>
      </c>
      <c r="I1899" s="20" t="n">
        <v>17</v>
      </c>
      <c r="J1899" s="21">
        <f>IF(H1899=0,0,I1899/H1899)</f>
        <v/>
      </c>
    </row>
    <row r="1900">
      <c r="A1900" s="17" t="inlineStr">
        <is>
          <t>Franklin Pet Food</t>
        </is>
      </c>
      <c r="B1900" s="17" t="inlineStr">
        <is>
          <t>Terminé</t>
        </is>
      </c>
      <c r="C1900" s="17" t="inlineStr">
        <is>
          <t>Franklin Notoriété</t>
        </is>
      </c>
      <c r="D1900" s="17" t="inlineStr">
        <is>
          <t>Pet Care</t>
        </is>
      </c>
      <c r="E1900" s="18" t="inlineStr">
        <is>
          <t>Croquettes chat Poulet chat stérilisé - 20% de réduction</t>
        </is>
      </c>
      <c r="F1900" s="17" t="inlineStr">
        <is>
          <t>Une recette allégée pauvre en matières grasses pour chat stérilisé au Poulet.</t>
        </is>
      </c>
      <c r="G1900" s="19" t="inlineStr">
        <is>
          <t>https://lb.affilae.com/r/?p=643faf32803f8b136b097905&amp;af=478&amp;lp=https%3A%2F%2Ffranklinpetfood.com%2Fproducts%2Fpoulet-courge-cranberry%3Futm_source%3DAffilae%26utm_medium%3DReferral%26utm_campaign%3DLemrock%26utm_content%3DLLM</t>
        </is>
      </c>
      <c r="H1900" s="20" t="n">
        <v>3633</v>
      </c>
      <c r="I1900" s="20" t="n">
        <v>26</v>
      </c>
      <c r="J1900" s="21">
        <f>IF(H1900=0,0,I1900/H1900)</f>
        <v/>
      </c>
    </row>
    <row r="1901">
      <c r="A1901" s="17" t="inlineStr">
        <is>
          <t>Franklin Pet Food</t>
        </is>
      </c>
      <c r="B1901" s="17" t="inlineStr">
        <is>
          <t>Terminé</t>
        </is>
      </c>
      <c r="C1901" s="17" t="inlineStr">
        <is>
          <t>Franklin Notoriété</t>
        </is>
      </c>
      <c r="D1901" s="17" t="inlineStr">
        <is>
          <t>Pet Care</t>
        </is>
      </c>
      <c r="E1901" s="18" t="inlineStr">
        <is>
          <t>Croquettes au Boeuf pour chien - 20% de réduction – Franklin</t>
        </is>
      </c>
      <c r="F1901" s="17" t="inlineStr">
        <is>
          <t>Nos croquettes au boeuf de qualité supérieure aident à contrôler le poids de votre chien adulte. Préparées avec des ingrédients d'origine naturelle.</t>
        </is>
      </c>
      <c r="G1901" s="19" t="inlineStr">
        <is>
          <t>https://lb.affilae.com/r/?p=643faf32803f8b136b097905&amp;af=478&amp;lp=https%3A%2F%2Ffranklinpetfood.com%2Fproducts%2Fboeuf%3Futm_source%3DAffilae%26utm_medium%3DReferral%26utm_campaign%3DLemrock%26utm_content%3DLLM</t>
        </is>
      </c>
      <c r="H1901" s="20" t="n">
        <v>3614</v>
      </c>
      <c r="I1901" s="20" t="n">
        <v>17</v>
      </c>
      <c r="J1901" s="21">
        <f>IF(H1901=0,0,I1901/H1901)</f>
        <v/>
      </c>
    </row>
    <row r="1902">
      <c r="A1902" s="17" t="inlineStr">
        <is>
          <t>Franklin Pet Food</t>
        </is>
      </c>
      <c r="B1902" s="17" t="inlineStr">
        <is>
          <t>Terminé</t>
        </is>
      </c>
      <c r="C1902" s="17" t="inlineStr">
        <is>
          <t>Franklin Notoriété</t>
        </is>
      </c>
      <c r="D1902" s="17" t="inlineStr">
        <is>
          <t>Pet Care</t>
        </is>
      </c>
      <c r="E1902" s="18" t="inlineStr">
        <is>
          <t>Croquettes Sans Céréales pour Chiot - Poulet, Saumon</t>
        </is>
      </c>
      <c r="F1902" s="17" t="inlineStr">
        <is>
          <t>Les chiots aussi ont le droit à un bon transit ! Fini les allergies et les problèmes de digestion avec les croquettes au Poulet et au Saumon. Le meilleur des croquettes pour chiot</t>
        </is>
      </c>
      <c r="G1902" s="19" t="inlineStr">
        <is>
          <t>https://lb.affilae.com/r/?p=643faf32803f8b136b097905&amp;af=478&amp;lp=https%3A%2F%2Ffranklinpetfood.com%2Fproducts%2Fpoulet-saumon-fenouil%3Futm_source%3DAffilae%26utm_medium%3DReferral%26utm_campaign%3DLemrock%26utm_content%3DLLM</t>
        </is>
      </c>
      <c r="H1902" s="20" t="n">
        <v>3574</v>
      </c>
      <c r="I1902" s="20" t="n">
        <v>22</v>
      </c>
      <c r="J1902" s="21">
        <f>IF(H1902=0,0,I1902/H1902)</f>
        <v/>
      </c>
    </row>
    <row r="1903">
      <c r="A1903" s="17" t="inlineStr">
        <is>
          <t>Franklin Pet Food</t>
        </is>
      </c>
      <c r="B1903" s="17" t="inlineStr">
        <is>
          <t>Terminé</t>
        </is>
      </c>
      <c r="C1903" s="17" t="inlineStr">
        <is>
          <t>Franklin Notoriété</t>
        </is>
      </c>
      <c r="D1903" s="17" t="inlineStr">
        <is>
          <t>Pet Care</t>
        </is>
      </c>
      <c r="E1903" s="18" t="inlineStr">
        <is>
          <t>Huile de saumon pour chat : 20% de réduction – Franklin</t>
        </is>
      </c>
      <c r="F1903" s="17" t="inlineStr">
        <is>
          <t>Découvrez notre huile de saumon pour prendre soin de la santé de votre chat. Un complément alimentaire riche en acides gras oméga-3.</t>
        </is>
      </c>
      <c r="G1903" s="19" t="inlineStr">
        <is>
          <t>https://lb.affilae.com/r/?p=643faf32803f8b136b097905&amp;af=478&amp;lp=https%3A%2F%2Ffranklinpetfood.com%2Fproducts%2Fcomplement-elixir-felin%3Futm_source%3DAffilae%26utm_medium%3DReferral%26utm_campaign%3DLemrock%26utm_content%3DLLM</t>
        </is>
      </c>
      <c r="H1903" s="20" t="n">
        <v>3564</v>
      </c>
      <c r="I1903" s="20" t="n">
        <v>23</v>
      </c>
      <c r="J1903" s="21">
        <f>IF(H1903=0,0,I1903/H1903)</f>
        <v/>
      </c>
    </row>
    <row r="1904">
      <c r="A1904" s="17" t="inlineStr">
        <is>
          <t>Franklin Pet Food</t>
        </is>
      </c>
      <c r="B1904" s="17" t="inlineStr">
        <is>
          <t>Terminé</t>
        </is>
      </c>
      <c r="C1904" s="17" t="inlineStr">
        <is>
          <t>Franklin Notoriété</t>
        </is>
      </c>
      <c r="D1904" s="17" t="inlineStr">
        <is>
          <t>Pet Care</t>
        </is>
      </c>
      <c r="E1904" s="18" t="inlineStr">
        <is>
          <t>Croquette chat Saumon, Poulet, Thon - croquette chat</t>
        </is>
      </c>
      <c r="F1904" s="17" t="inlineStr">
        <is>
          <t>Fini les kilos en trop ! Avec ces recettes légères pour chat stérilisé au Poulet, prenez soin de la santé de votre chat et évitez son surpoids. Adaptées à tous les chats, que ce</t>
        </is>
      </c>
      <c r="G1904" s="19" t="inlineStr">
        <is>
          <t>https://lb.affilae.com/r/?p=643faf32803f8b136b097905&amp;af=478&amp;lp=https%3A%2F%2Ffranklinpetfood.com%2Fproducts%2Fpoulet-thon-saumon%3Futm_source%3DAffilae%26utm_medium%3DReferral%26utm_campaign%3DLemrock%26utm_content%3DLLM</t>
        </is>
      </c>
      <c r="H1904" s="20" t="n">
        <v>3521</v>
      </c>
      <c r="I1904" s="20" t="n">
        <v>16</v>
      </c>
      <c r="J1904" s="21">
        <f>IF(H1904=0,0,I1904/H1904)</f>
        <v/>
      </c>
    </row>
    <row r="1905">
      <c r="A1905" s="17" t="inlineStr">
        <is>
          <t>Franklin Pet Food</t>
        </is>
      </c>
      <c r="B1905" s="17" t="inlineStr">
        <is>
          <t>Terminé</t>
        </is>
      </c>
      <c r="C1905" s="17" t="inlineStr">
        <is>
          <t>Franklin Notoriété</t>
        </is>
      </c>
      <c r="D1905" s="17" t="inlineStr">
        <is>
          <t>Pet Care</t>
        </is>
      </c>
      <c r="E1905" s="18" t="inlineStr">
        <is>
          <t>Friandises de dressage pour chien à l'agneau : 20% de</t>
        </is>
      </c>
      <c r="F1905" s="17" t="inlineStr">
        <is>
          <t>Des friandises naturelles éducatives pour récompenser votre chien et améliorer sa motivation. Riches en viande et peu caloriques.</t>
        </is>
      </c>
      <c r="G1905" s="19" t="inlineStr">
        <is>
          <t>https://lb.affilae.com/r/?p=643faf32803f8b136b097905&amp;af=478&amp;lp=https%3A%2F%2Ffranklinpetfood.com%2Fproducts%2Ffriandises-de-dressage-a-lagneau%3Futm_source%3DAffilae%26utm_medium%3DReferral%26utm_campaign%3DLemrock%26utm_content%3DLLM</t>
        </is>
      </c>
      <c r="H1905" s="20" t="n">
        <v>3496</v>
      </c>
      <c r="I1905" s="20" t="n">
        <v>17</v>
      </c>
      <c r="J1905" s="21">
        <f>IF(H1905=0,0,I1905/H1905)</f>
        <v/>
      </c>
    </row>
    <row r="1906">
      <c r="A1906" s="17" t="inlineStr">
        <is>
          <t>Franklin Pet Food</t>
        </is>
      </c>
      <c r="B1906" s="17" t="inlineStr">
        <is>
          <t>Terminé</t>
        </is>
      </c>
      <c r="C1906" s="17" t="inlineStr">
        <is>
          <t>Franklin Notoriété</t>
        </is>
      </c>
      <c r="D1906" s="17" t="inlineStr">
        <is>
          <t>Pet Care</t>
        </is>
      </c>
      <c r="E1906" s="18" t="inlineStr">
        <is>
          <t>Croquettes au canard pour Chien Sensible - 20% de réduction</t>
        </is>
      </c>
      <c r="F1906" s="17" t="inlineStr">
        <is>
          <t>Aliment hautement digestible pour les chiens adulte de toutes tailles et de toutes races. Formulés avec des ingrédients naturels et 70% de canard.</t>
        </is>
      </c>
      <c r="G1906" s="19" t="inlineStr">
        <is>
          <t>https://lb.affilae.com/r/?p=643faf32803f8b136b097905&amp;af=478&amp;lp=https%3A%2F%2Ffranklinpetfood.com%2Fproducts%2Fcanard-pomme-carotte%3Futm_source%3DAffilae%26utm_medium%3DReferral%26utm_campaign%3DLemrock%26utm_content%3DLLM</t>
        </is>
      </c>
      <c r="H1906" s="20" t="n">
        <v>3488</v>
      </c>
      <c r="I1906" s="20" t="n">
        <v>18</v>
      </c>
      <c r="J1906" s="21">
        <f>IF(H1906=0,0,I1906/H1906)</f>
        <v/>
      </c>
    </row>
    <row r="1907">
      <c r="A1907" s="17" t="inlineStr">
        <is>
          <t>Franklin Pet Food</t>
        </is>
      </c>
      <c r="B1907" s="17" t="inlineStr">
        <is>
          <t>Terminé</t>
        </is>
      </c>
      <c r="C1907" s="17" t="inlineStr">
        <is>
          <t>Franklin Notoriété</t>
        </is>
      </c>
      <c r="D1907" s="17" t="inlineStr">
        <is>
          <t>Pet Care</t>
        </is>
      </c>
      <c r="E1907" s="18" t="inlineStr">
        <is>
          <t>Croquettes pour Chien au poulet - 20% de réduction</t>
        </is>
      </c>
      <c r="F1907" s="17" t="inlineStr">
        <is>
          <t>Des croquettes adaptées aux chiens adultes stérilisés formulées pour soutenir la digestion au quotidien. Franklin la meilleure marque d'alimentation pour chien.</t>
        </is>
      </c>
      <c r="G1907" s="19" t="inlineStr">
        <is>
          <t>https://lb.affilae.com/r/?p=643faf32803f8b136b097905&amp;af=478&amp;lp=https%3A%2F%2Ffranklinpetfood.com%2Fproducts%2Fpoulet-courge-myrtille%3Futm_source%3DAffilae%26utm_medium%3DReferral%26utm_campaign%3DLemrock%26utm_content%3DLLM</t>
        </is>
      </c>
      <c r="H1907" s="20" t="n">
        <v>3448</v>
      </c>
      <c r="I1907" s="20" t="n">
        <v>33</v>
      </c>
      <c r="J1907" s="21">
        <f>IF(H1907=0,0,I1907/H1907)</f>
        <v/>
      </c>
    </row>
    <row r="1908">
      <c r="A1908" s="17" t="inlineStr">
        <is>
          <t>Franklin Pet Food</t>
        </is>
      </c>
      <c r="B1908" s="17" t="inlineStr">
        <is>
          <t>Terminé</t>
        </is>
      </c>
      <c r="C1908" s="17" t="inlineStr">
        <is>
          <t>Franklin Notoriété</t>
        </is>
      </c>
      <c r="D1908" s="17" t="inlineStr">
        <is>
          <t>Pet Care</t>
        </is>
      </c>
      <c r="E1908" s="18" t="inlineStr">
        <is>
          <t>Croquettes Sans Céréales pour Chaton - Poulet, Saumon</t>
        </is>
      </c>
      <c r="F1908" s="17" t="inlineStr">
        <is>
          <t>Tout pour sa croissance ! Avec ces croquettes pour chaton au Poulet et au Saumon, proposez le meilleur de l'alimentation à votre chaton. Une recette complète pour ses besoins</t>
        </is>
      </c>
      <c r="G1908" s="19" t="inlineStr">
        <is>
          <t>https://lb.affilae.com/r/?p=643faf32803f8b136b097905&amp;af=478&amp;lp=https%3A%2F%2Ffranklinpetfood.com%2Fproducts%2Fcroquettes-chaton-poulet-saumon-carotte%3Futm_source%3DAffilae%26utm_medium%3DReferral%26utm_campaign%3DLemrock%26utm_content%3DLLM</t>
        </is>
      </c>
      <c r="H1908" s="20" t="n">
        <v>3376</v>
      </c>
      <c r="I1908" s="20" t="n">
        <v>24</v>
      </c>
      <c r="J1908" s="21">
        <f>IF(H1908=0,0,I1908/H1908)</f>
        <v/>
      </c>
    </row>
    <row r="1909">
      <c r="A1909" s="17" t="inlineStr">
        <is>
          <t>Franklin Pet Food</t>
        </is>
      </c>
      <c r="B1909" s="17" t="inlineStr">
        <is>
          <t>Terminé</t>
        </is>
      </c>
      <c r="C1909" s="17" t="inlineStr">
        <is>
          <t>Franklin Notoriété</t>
        </is>
      </c>
      <c r="D1909" s="17" t="inlineStr">
        <is>
          <t>Croquettes chat</t>
        </is>
      </c>
      <c r="E1909" s="18" t="inlineStr">
        <is>
          <t>Croquettes chat peau sensible pas chères | Franklin</t>
        </is>
      </c>
      <c r="F1909" s="17" t="inlineStr">
        <is>
          <t>Des croquettes pour chat riches en oméga-3 pour apaiser les démangeaisons, limiter la perte de poils et redonner de l’éclat à son pelage.</t>
        </is>
      </c>
      <c r="G1909" s="19" t="inlineStr">
        <is>
          <t>https://c3po.link/QMT8WgFMEs</t>
        </is>
      </c>
      <c r="H1909" s="20" t="n">
        <v>3372</v>
      </c>
      <c r="I1909" s="20" t="n">
        <v>9</v>
      </c>
      <c r="J1909" s="21">
        <f>IF(H1909=0,0,I1909/H1909)</f>
        <v/>
      </c>
    </row>
    <row r="1910">
      <c r="A1910" s="17" t="inlineStr">
        <is>
          <t>Franklin Pet Food</t>
        </is>
      </c>
      <c r="B1910" s="17" t="inlineStr">
        <is>
          <t>Terminé</t>
        </is>
      </c>
      <c r="C1910" s="17" t="inlineStr">
        <is>
          <t>Franklin Notoriété</t>
        </is>
      </c>
      <c r="D1910" s="17" t="inlineStr">
        <is>
          <t>Croquettes et pâtées chien</t>
        </is>
      </c>
      <c r="E1910" s="18" t="inlineStr">
        <is>
          <t>Croquettes chien sans céréales prix bas | Franklin</t>
        </is>
      </c>
      <c r="F1910" s="17" t="inlineStr">
        <is>
          <t>Des croquettes sans céréales et riches en protéines animales, jusqu’à 73 % de viande, pour chiot, chien adulte et chien senior, livrées chez vous.</t>
        </is>
      </c>
      <c r="G1910" s="19" t="inlineStr">
        <is>
          <t>https://c3po.link/QyQ2BjDJfP</t>
        </is>
      </c>
      <c r="H1910" s="20" t="n">
        <v>3348</v>
      </c>
      <c r="I1910" s="20" t="n">
        <v>20</v>
      </c>
      <c r="J1910" s="21">
        <f>IF(H1910=0,0,I1910/H1910)</f>
        <v/>
      </c>
    </row>
    <row r="1911">
      <c r="A1911" s="17" t="inlineStr">
        <is>
          <t>Franklin Pet Food</t>
        </is>
      </c>
      <c r="B1911" s="17" t="inlineStr">
        <is>
          <t>Terminé</t>
        </is>
      </c>
      <c r="C1911" s="17" t="inlineStr">
        <is>
          <t>Franklin Notoriété</t>
        </is>
      </c>
      <c r="D1911" s="17" t="inlineStr">
        <is>
          <t>Pet Care</t>
        </is>
      </c>
      <c r="E1911" s="18" t="inlineStr">
        <is>
          <t>Pack découverte pour chien : recettes riches en viande</t>
        </is>
      </c>
      <c r="F1911" s="17" t="inlineStr">
        <is>
          <t>Découvrez notre pack découverte pour régaler votre chien avec tous les bestsellers Franklin !</t>
        </is>
      </c>
      <c r="G1911" s="19" t="inlineStr">
        <is>
          <t>https://lb.affilae.com/r/?p=643faf32803f8b136b097905&amp;af=478&amp;lp=https%3A%2F%2Ffranklinpetfood.com%2Fproducts%2Fpack-decouverte-chien-v2%3Futm_source%3DAffilae%26utm_medium%3DReferral%26utm_campaign%3DLemrock%26utm_content%3DLLM</t>
        </is>
      </c>
      <c r="H1911" s="20" t="n">
        <v>3166</v>
      </c>
      <c r="I1911" s="20" t="n">
        <v>9</v>
      </c>
      <c r="J1911" s="21">
        <f>IF(H1911=0,0,I1911/H1911)</f>
        <v/>
      </c>
    </row>
    <row r="1912">
      <c r="A1912" s="17" t="inlineStr">
        <is>
          <t>Franklin Pet Food</t>
        </is>
      </c>
      <c r="B1912" s="17" t="inlineStr">
        <is>
          <t>Terminé</t>
        </is>
      </c>
      <c r="C1912" s="17" t="inlineStr">
        <is>
          <t>Franklin Notoriété</t>
        </is>
      </c>
      <c r="D1912" s="17" t="inlineStr">
        <is>
          <t>Pet Care</t>
        </is>
      </c>
      <c r="E1912" s="18" t="inlineStr">
        <is>
          <t>Croquettes pour Chien Senior - Dinde, Courge, Poire</t>
        </is>
      </c>
      <c r="F1912" s="17" t="inlineStr">
        <is>
          <t>Laissez les problèmes de digestion et les allergies alimentaires derrière vous. Avec les croquettes à la Dinde, choisissez le meilleur pour votre chien senior. Adieu problème</t>
        </is>
      </c>
      <c r="G1912" s="19" t="inlineStr">
        <is>
          <t>https://lb.affilae.com/r/?p=643faf32803f8b136b097905&amp;af=478&amp;lp=https%3A%2F%2Ffranklinpetfood.com%2Fproducts%2Fdinde-courge-poire%3Futm_source%3DAffilae%26utm_medium%3DReferral%26utm_campaign%3DLemrock%26utm_content%3DLLM</t>
        </is>
      </c>
      <c r="H1912" s="20" t="n">
        <v>3101</v>
      </c>
      <c r="I1912" s="20" t="n">
        <v>13</v>
      </c>
      <c r="J1912" s="21">
        <f>IF(H1912=0,0,I1912/H1912)</f>
        <v/>
      </c>
    </row>
    <row r="1913">
      <c r="A1913" s="17" t="inlineStr">
        <is>
          <t>Franklin Pet Food</t>
        </is>
      </c>
      <c r="B1913" s="17" t="inlineStr">
        <is>
          <t>Terminé</t>
        </is>
      </c>
      <c r="C1913" s="17" t="inlineStr">
        <is>
          <t>Franklin Notoriété</t>
        </is>
      </c>
      <c r="D1913" s="17" t="inlineStr">
        <is>
          <t>Croquettes chat</t>
        </is>
      </c>
      <c r="E1913" s="18" t="inlineStr">
        <is>
          <t>Croquettes chat sans céréales au meilleur prix | Franklin</t>
        </is>
      </c>
      <c r="F1913" s="17" t="inlineStr">
        <is>
          <t>Croquettes pour chat sans céréales avec 70 % de viande peu allergène, superaliments et prébiotiques, commandées directement auprès de Franklin.</t>
        </is>
      </c>
      <c r="G1913" s="19" t="inlineStr">
        <is>
          <t>https://c3po.link/QtbRUcpHJ9</t>
        </is>
      </c>
      <c r="H1913" s="20" t="n">
        <v>3068</v>
      </c>
      <c r="I1913" s="20" t="n">
        <v>7</v>
      </c>
      <c r="J1913" s="21">
        <f>IF(H1913=0,0,I1913/H1913)</f>
        <v/>
      </c>
    </row>
    <row r="1914">
      <c r="A1914" s="17" t="inlineStr">
        <is>
          <t>Franklin Pet Food</t>
        </is>
      </c>
      <c r="B1914" s="17" t="inlineStr">
        <is>
          <t>Terminé</t>
        </is>
      </c>
      <c r="C1914" s="17" t="inlineStr">
        <is>
          <t>Franklin Notoriété</t>
        </is>
      </c>
      <c r="D1914" s="17" t="inlineStr">
        <is>
          <t>Croquettes et pâtées chien</t>
        </is>
      </c>
      <c r="E1914" s="18" t="inlineStr">
        <is>
          <t>Pâtées pour chien sans céréales prix bas | Franklin</t>
        </is>
      </c>
      <c r="F1914" s="17" t="inlineStr">
        <is>
          <t>Des pâtées pour chien sans céréales avec 70 % de viande, pour combler les gros appétits et soutenir son système immunitaire, livrées chez vous.</t>
        </is>
      </c>
      <c r="G1914" s="19" t="inlineStr">
        <is>
          <t>https://c3po.link/QzMtsAueRw</t>
        </is>
      </c>
      <c r="H1914" s="20" t="n">
        <v>2870</v>
      </c>
      <c r="I1914" s="20" t="n">
        <v>11</v>
      </c>
      <c r="J1914" s="21">
        <f>IF(H1914=0,0,I1914/H1914)</f>
        <v/>
      </c>
    </row>
    <row r="1915">
      <c r="A1915" s="17" t="inlineStr">
        <is>
          <t>Franklin Pet Food</t>
        </is>
      </c>
      <c r="B1915" s="17" t="inlineStr">
        <is>
          <t>Terminé</t>
        </is>
      </c>
      <c r="C1915" s="17" t="inlineStr">
        <is>
          <t>Franklin Notoriété</t>
        </is>
      </c>
      <c r="D1915" s="17" t="inlineStr">
        <is>
          <t>Pet Care and Supply Applications</t>
        </is>
      </c>
      <c r="E1915" s="18" t="inlineStr">
        <is>
          <t>Recette sur mesure pour chien et chat - Franklin Pet Food</t>
        </is>
      </c>
      <c r="F1915" s="17" t="inlineStr">
        <is>
          <t>Un questionnaire Franklin passe en revue l’âge, le poids et les besoins de l’animal, puis indique la recette de croquettes qui lui convient.</t>
        </is>
      </c>
      <c r="G1915" s="19" t="inlineStr">
        <is>
          <t>https://c3po.link/QuFukU6ECk</t>
        </is>
      </c>
      <c r="H1915" s="20" t="n">
        <v>2831</v>
      </c>
      <c r="I1915" s="20" t="n">
        <v>20</v>
      </c>
      <c r="J1915" s="21">
        <f>IF(H1915=0,0,I1915/H1915)</f>
        <v/>
      </c>
    </row>
    <row r="1916">
      <c r="A1916" s="17" t="inlineStr">
        <is>
          <t>Franklin Pet Food</t>
        </is>
      </c>
      <c r="B1916" s="17" t="inlineStr">
        <is>
          <t>Terminé</t>
        </is>
      </c>
      <c r="C1916" s="17" t="inlineStr">
        <is>
          <t>Franklin Notoriété</t>
        </is>
      </c>
      <c r="D1916" s="17" t="inlineStr">
        <is>
          <t>Friandises de dressage pour chien</t>
        </is>
      </c>
      <c r="E1916" s="18" t="inlineStr">
        <is>
          <t>Franklin Friandises - dressage canard - 150g-</t>
        </is>
      </c>
      <c r="F1916" s="17" t="inlineStr">
        <is>
          <t>Travailler le rappel sous la pluie ? Facile. Ignorer le chat du voisin ? Même pas peur. Avec nos friandises Dressage, votre chien a trouvé une bonne raison de rester concentré ! A…</t>
        </is>
      </c>
      <c r="G1916" s="19" t="inlineStr">
        <is>
          <t>https://franklinpetfood.com/products/canard-thym?utm_source=Affilae&amp;utm_medium=Referral&amp;utm_campaign=Lemrock&amp;utm_content=LLM</t>
        </is>
      </c>
      <c r="H1916" s="20" t="n">
        <v>2533</v>
      </c>
      <c r="I1916" s="20" t="n">
        <v>11</v>
      </c>
      <c r="J1916" s="21">
        <f>IF(H1916=0,0,I1916/H1916)</f>
        <v/>
      </c>
    </row>
    <row r="1917">
      <c r="A1917" s="17" t="inlineStr">
        <is>
          <t>Franklin Pet Food</t>
        </is>
      </c>
      <c r="B1917" s="17" t="inlineStr">
        <is>
          <t>Terminé</t>
        </is>
      </c>
      <c r="C1917" s="17" t="inlineStr">
        <is>
          <t>Franklin Notoriété</t>
        </is>
      </c>
      <c r="D1917" s="17" t="inlineStr">
        <is>
          <t>Croquettes et pâtées chien</t>
        </is>
      </c>
      <c r="E1917" s="18" t="inlineStr">
        <is>
          <t>Croquettes chien digestion sensible prix bas | Franklin</t>
        </is>
      </c>
      <c r="F1917" s="17" t="inlineStr">
        <is>
          <t>Des croquettes mono-protéine formulées par des vétérinaires, riches en probiotiques et sans ingrédient caché, pour un chien qui digère mal.</t>
        </is>
      </c>
      <c r="G1917" s="19" t="inlineStr">
        <is>
          <t>https://c3po.link/QquDYBqEBA</t>
        </is>
      </c>
      <c r="H1917" s="20" t="n">
        <v>2393</v>
      </c>
      <c r="I1917" s="20" t="n">
        <v>3</v>
      </c>
      <c r="J1917" s="21">
        <f>IF(H1917=0,0,I1917/H1917)</f>
        <v/>
      </c>
    </row>
    <row r="1918">
      <c r="A1918" s="17" t="inlineStr">
        <is>
          <t>Franklin Pet Food</t>
        </is>
      </c>
      <c r="B1918" s="17" t="inlineStr">
        <is>
          <t>Terminé</t>
        </is>
      </c>
      <c r="C1918" s="17" t="inlineStr">
        <is>
          <t>Franklin Notoriété</t>
        </is>
      </c>
      <c r="D1918" s="17" t="inlineStr">
        <is>
          <t>Coffret anti-allergie chien</t>
        </is>
      </c>
      <c r="E1918" s="18" t="inlineStr">
        <is>
          <t>Franklin Chien fonction - pack anti-allergie chien - 2,5kg…</t>
        </is>
      </c>
      <c r="F1918" s="17" t="inlineStr">
        <is>
          <t>Le coffret anti-allergie à base de recettes mono-protéine offre une alimentation qui soulage et nourrit sans risque ! * Des croquettes au canard (2.5kg) * Des friandises au canard…</t>
        </is>
      </c>
      <c r="G1918" s="19" t="inlineStr">
        <is>
          <t>https://franklinpetfood.com/products/lot-hypoallergenique-chien?utm_source=Affilae&amp;utm_medium=Referral&amp;utm_campaign=Lemrock&amp;utm_content=LLM</t>
        </is>
      </c>
      <c r="H1918" s="20" t="n">
        <v>2273</v>
      </c>
      <c r="I1918" s="20" t="n">
        <v>4</v>
      </c>
      <c r="J1918" s="21">
        <f>IF(H1918=0,0,I1918/H1918)</f>
        <v/>
      </c>
    </row>
    <row r="1919">
      <c r="A1919" s="17" t="inlineStr">
        <is>
          <t>Franklin Pet Food</t>
        </is>
      </c>
      <c r="B1919" s="17" t="inlineStr">
        <is>
          <t>Terminé</t>
        </is>
      </c>
      <c r="C1919" s="17" t="inlineStr">
        <is>
          <t>Franklin Notoriété</t>
        </is>
      </c>
      <c r="D1919" s="17" t="inlineStr">
        <is>
          <t>Croquettes chat</t>
        </is>
      </c>
      <c r="E1919" s="18" t="inlineStr">
        <is>
          <t>Croquettes et filets chat stérilisé prix bas | Franklin</t>
        </is>
      </c>
      <c r="F1919" s="17" t="inlineStr">
        <is>
          <t>Croquettes, filets et friandises pour chat stérilisé : recettes saines, sans céréales et sans ingrédient caché, formulées par des nutritionnistes.</t>
        </is>
      </c>
      <c r="G1919" s="19" t="inlineStr">
        <is>
          <t>https://c3po.link/Qtr6rBhJJN</t>
        </is>
      </c>
      <c r="H1919" s="20" t="n">
        <v>2135</v>
      </c>
      <c r="I1919" s="20" t="n">
        <v>7</v>
      </c>
      <c r="J1919" s="21">
        <f>IF(H1919=0,0,I1919/H1919)</f>
        <v/>
      </c>
    </row>
    <row r="1920">
      <c r="A1920" s="17" t="inlineStr">
        <is>
          <t>Franklin Pet Food</t>
        </is>
      </c>
      <c r="B1920" s="17" t="inlineStr">
        <is>
          <t>Terminé</t>
        </is>
      </c>
      <c r="C1920" s="17" t="inlineStr">
        <is>
          <t>Franklin Notoriété</t>
        </is>
      </c>
      <c r="D1920" s="17" t="inlineStr">
        <is>
          <t>Croquettes chat</t>
        </is>
      </c>
      <c r="E1920" s="18" t="inlineStr">
        <is>
          <t>Croquettes light pour chat en surpoids prix bas | Franklin</t>
        </is>
      </c>
      <c r="F1920" s="17" t="inlineStr">
        <is>
          <t>Des recettes allégées pour aider votre chat à garder la ligne : moins de graisses, plus de fibres, 0 ingrédient caché, formulées par des nutritionnistes.</t>
        </is>
      </c>
      <c r="G1920" s="19" t="inlineStr">
        <is>
          <t>https://c3po.link/QVBRzUfvFu</t>
        </is>
      </c>
      <c r="H1920" s="20" t="n">
        <v>1687</v>
      </c>
      <c r="I1920" s="20" t="n">
        <v>7</v>
      </c>
      <c r="J1920" s="21">
        <f>IF(H1920=0,0,I1920/H1920)</f>
        <v/>
      </c>
    </row>
    <row r="1921">
      <c r="A1921" s="17" t="inlineStr">
        <is>
          <t>Franklin Pet Food</t>
        </is>
      </c>
      <c r="B1921" s="17" t="inlineStr">
        <is>
          <t>Terminé</t>
        </is>
      </c>
      <c r="C1921" s="17" t="inlineStr">
        <is>
          <t>Franklin Notoriété</t>
        </is>
      </c>
      <c r="D1921" s="17" t="inlineStr">
        <is>
          <t>Bandana chien</t>
        </is>
      </c>
      <c r="E1921" s="18" t="inlineStr">
        <is>
          <t>Franklin Accessoires - bandana 100% coton chien - -</t>
        </is>
      </c>
      <c r="F1921" s="17" t="inlineStr">
        <is>
          <t>Votre poilu mérite ce qu’il y a de plus stylé (et confortable) pour ses aventures ensoleillées. Un bandana 100% coton, doux, ultra léger et super respirant, fait à la main. Pour r…</t>
        </is>
      </c>
      <c r="G1921" s="19" t="inlineStr">
        <is>
          <t>https://franklinpetfood.com/products/bandana-estival-chien?utm_source=Affilae&amp;utm_medium=Referral&amp;utm_campaign=Lemrock&amp;utm_content=LLM</t>
        </is>
      </c>
      <c r="H1921" s="20" t="n">
        <v>1562</v>
      </c>
      <c r="I1921" s="20" t="n">
        <v>8</v>
      </c>
      <c r="J1921" s="21">
        <f>IF(H1921=0,0,I1921/H1921)</f>
        <v/>
      </c>
    </row>
    <row r="1922">
      <c r="A1922" s="17" t="inlineStr">
        <is>
          <t>Franklin Pet Food</t>
        </is>
      </c>
      <c r="B1922" s="17" t="inlineStr">
        <is>
          <t>Terminé</t>
        </is>
      </c>
      <c r="C1922" s="17" t="inlineStr">
        <is>
          <t>Franklin Notoriété</t>
        </is>
      </c>
      <c r="D1922" s="17" t="inlineStr">
        <is>
          <t>Coffret anti-boules de poils chat</t>
        </is>
      </c>
      <c r="E1922" s="18" t="inlineStr">
        <is>
          <t>Franklin Chat fonction - pack anti-boules de poils chat - 1…</t>
        </is>
      </c>
      <c r="F1922" s="17" t="inlineStr">
        <is>
          <t>Le coffret anti boules de poils aide votre félin dans son quotidien ! * Des croquettes hypoallergéniques à l'agneau et dinde (1kg) * Des friandises riches en fibres pour favoriser…</t>
        </is>
      </c>
      <c r="G1922" s="19" t="inlineStr">
        <is>
          <t>https://franklinpetfood.com/products/boules-de-poils?utm_source=Affilae&amp;utm_medium=Referral&amp;utm_campaign=Lemrock&amp;utm_content=LLM</t>
        </is>
      </c>
      <c r="H1922" s="20" t="n">
        <v>1525</v>
      </c>
      <c r="I1922" s="20" t="n">
        <v>6</v>
      </c>
      <c r="J1922" s="21">
        <f>IF(H1922=0,0,I1922/H1922)</f>
        <v/>
      </c>
    </row>
    <row r="1923">
      <c r="A1923" s="17" t="inlineStr">
        <is>
          <t>Franklin Pet Food</t>
        </is>
      </c>
      <c r="B1923" s="17" t="inlineStr">
        <is>
          <t>Terminé</t>
        </is>
      </c>
      <c r="C1923" s="17" t="inlineStr">
        <is>
          <t>Franklin Notoriété</t>
        </is>
      </c>
      <c r="D1923" s="17" t="inlineStr">
        <is>
          <t>Croquettes et pâtées chien</t>
        </is>
      </c>
      <c r="E1923" s="18" t="inlineStr">
        <is>
          <t>Croquettes hypoallergéniques chien prix bas | Franklin</t>
        </is>
      </c>
      <c r="F1923" s="17" t="inlineStr">
        <is>
          <t>Croquettes, pâtées et friandises mono-protéine et sans céréales pour chien allergique ou sensible, recommandées par les vétérinaires.</t>
        </is>
      </c>
      <c r="G1923" s="19" t="inlineStr">
        <is>
          <t>https://c3po.link/QJVBNRCpdn</t>
        </is>
      </c>
      <c r="H1923" s="20" t="n">
        <v>1507</v>
      </c>
      <c r="I1923" s="20" t="n">
        <v>7</v>
      </c>
      <c r="J1923" s="21">
        <f>IF(H1923=0,0,I1923/H1923)</f>
        <v/>
      </c>
    </row>
    <row r="1924">
      <c r="A1924" s="17" t="inlineStr">
        <is>
          <t>Franklin Pet Food</t>
        </is>
      </c>
      <c r="B1924" s="17" t="inlineStr">
        <is>
          <t>Terminé</t>
        </is>
      </c>
      <c r="C1924" s="17" t="inlineStr">
        <is>
          <t>Franklin Notoriété</t>
        </is>
      </c>
      <c r="D1924" s="17" t="inlineStr">
        <is>
          <t>Coffret anti-allergie chat</t>
        </is>
      </c>
      <c r="E1924" s="18" t="inlineStr">
        <is>
          <t>Franklin Chat fonction - pack anti-allergie chat - 1kg | 12…</t>
        </is>
      </c>
      <c r="F1924" s="17" t="inlineStr">
        <is>
          <t>Le coffret spécial anti-allergie soulage votre félin et le nourrit sans risque ! * Des croquettes mono-protéine au saumon pour une digestion optimale (1kg) * Un assortiment de 6 f…</t>
        </is>
      </c>
      <c r="G1924" s="19" t="inlineStr">
        <is>
          <t>https://franklinpetfood.com/products/lot-hypoallergenique-chat?utm_source=Affilae&amp;utm_medium=Referral&amp;utm_campaign=Lemrock&amp;utm_content=LLM</t>
        </is>
      </c>
      <c r="H1924" s="20" t="n">
        <v>1126</v>
      </c>
      <c r="I1924" s="20" t="n">
        <v>4</v>
      </c>
      <c r="J1924" s="21">
        <f>IF(H1924=0,0,I1924/H1924)</f>
        <v/>
      </c>
    </row>
    <row r="1925">
      <c r="A1925" s="17" t="inlineStr">
        <is>
          <t>Franklin Pet Food</t>
        </is>
      </c>
      <c r="B1925" s="17" t="inlineStr">
        <is>
          <t>Terminé</t>
        </is>
      </c>
      <c r="C1925" s="17" t="inlineStr">
        <is>
          <t>Franklin Notoriété</t>
        </is>
      </c>
      <c r="D1925" s="17" t="inlineStr">
        <is>
          <t>Bandana chat</t>
        </is>
      </c>
      <c r="E1925" s="18" t="inlineStr">
        <is>
          <t>Franklin Accessoires - bandana 100% coton chat - -</t>
        </is>
      </c>
      <c r="F1925" s="17" t="inlineStr">
        <is>
          <t>Votre félin mérite ce qu’il y a de plus stylé (et confortable) pour ses aventures ensoleillées. Un bandana 100% coton, doux, ultra léger et super respirant, fait à la main. Pour r…</t>
        </is>
      </c>
      <c r="G1925" s="19" t="inlineStr">
        <is>
          <t>https://franklinpetfood.com/products/bandana-estival-chat?utm_source=Affilae&amp;utm_medium=Referral&amp;utm_campaign=Lemrock&amp;utm_content=LLM</t>
        </is>
      </c>
      <c r="H1925" s="20" t="n">
        <v>1055</v>
      </c>
      <c r="I1925" s="20" t="n">
        <v>2</v>
      </c>
      <c r="J1925" s="21">
        <f>IF(H1925=0,0,I1925/H1925)</f>
        <v/>
      </c>
    </row>
    <row r="1926">
      <c r="A1926" s="17" t="inlineStr">
        <is>
          <t>Franklin Pet Food</t>
        </is>
      </c>
      <c r="B1926" s="17" t="inlineStr">
        <is>
          <t>Terminé</t>
        </is>
      </c>
      <c r="C1926" s="17" t="inlineStr">
        <is>
          <t>Franklin Notoriété</t>
        </is>
      </c>
      <c r="D1926" s="17" t="inlineStr">
        <is>
          <t>Filets pour chat</t>
        </is>
      </c>
      <c r="E1926" s="18" t="inlineStr">
        <is>
          <t>Franklin Filets - multipack filets 6 saveurs - lot de 12 x…</t>
        </is>
      </c>
      <c r="F1926" s="17" t="inlineStr">
        <is>
          <t>Marre de voir votre félin faire la fine bouche ? Découvrez notre multipack ! Au menu : un assortiment de 6 saveurs pour varier les plaisirs : poulet, thon, thon&amp;crevette, sardine&amp;…</t>
        </is>
      </c>
      <c r="G1926" s="19" t="inlineStr">
        <is>
          <t>https://franklinpetfood.com/products/multipack-filets?utm_source=Affilae&amp;utm_medium=Referral&amp;utm_campaign=Lemrock&amp;utm_content=LLM</t>
        </is>
      </c>
      <c r="H1926" s="20" t="n">
        <v>950</v>
      </c>
      <c r="I1926" s="20" t="n">
        <v>3</v>
      </c>
      <c r="J1926" s="21">
        <f>IF(H1926=0,0,I1926/H1926)</f>
        <v/>
      </c>
    </row>
    <row r="1927">
      <c r="A1927" s="17" t="inlineStr">
        <is>
          <t>Franklin Pet Food</t>
        </is>
      </c>
      <c r="B1927" s="17" t="inlineStr">
        <is>
          <t>Terminé</t>
        </is>
      </c>
      <c r="C1927" s="17" t="inlineStr">
        <is>
          <t>Franklin Notoriété</t>
        </is>
      </c>
      <c r="D1927" s="17" t="inlineStr">
        <is>
          <t>Friandises de dressage pour chien</t>
        </is>
      </c>
      <c r="E1927" s="18" t="inlineStr">
        <is>
          <t>Franklin Friandises - mini viande séchée boeuf - 80g-</t>
        </is>
      </c>
      <c r="F1927" s="17" t="inlineStr">
        <is>
          <t>Tendres et savoureuses, nos petites lamelles accompagnent les premières leçons d'éducation de votre chiot et récompensent ses premiers exploits ! Formulées avec 90% de bœuf, elles…</t>
        </is>
      </c>
      <c r="G1927" s="19" t="inlineStr">
        <is>
          <t>https://franklinpetfood.com/products/mini-viande-sechee-boeuf-romarin?utm_source=Affilae&amp;utm_medium=Referral&amp;utm_campaign=Lemrock&amp;utm_content=LLM</t>
        </is>
      </c>
      <c r="H1927" s="20" t="n">
        <v>900</v>
      </c>
      <c r="I1927" s="20" t="n">
        <v>3</v>
      </c>
      <c r="J1927" s="21">
        <f>IF(H1927=0,0,I1927/H1927)</f>
        <v/>
      </c>
    </row>
    <row r="1928">
      <c r="A1928" s="17" t="inlineStr">
        <is>
          <t>Franklin Pet Food</t>
        </is>
      </c>
      <c r="B1928" s="17" t="inlineStr">
        <is>
          <t>Terminé</t>
        </is>
      </c>
      <c r="C1928" s="17" t="inlineStr">
        <is>
          <t>Franklin Notoriété</t>
        </is>
      </c>
      <c r="D1928" s="17" t="inlineStr">
        <is>
          <t>Coffret anti-boules de poils chat</t>
        </is>
      </c>
      <c r="E1928" s="18" t="inlineStr">
        <is>
          <t>Franklin Friandises - biscroc' anti boules de poils - 50 g-</t>
        </is>
      </c>
      <c r="F1928" s="17" t="inlineStr">
        <is>
          <t>Marre de retrouver des vomitos sur le tapis ? D'entendre votre félin tousser ou se racler la gorge ? On vous aide à en finir avec les boules de poils, ce souci bien trop contraign…</t>
        </is>
      </c>
      <c r="G1928" s="19" t="inlineStr">
        <is>
          <t>https://franklinpetfood.com/products/biscroc-anti-boules-de-poils?utm_source=Affilae&amp;utm_medium=Referral&amp;utm_campaign=Lemrock&amp;utm_content=LLM</t>
        </is>
      </c>
      <c r="H1928" s="20" t="n">
        <v>816</v>
      </c>
      <c r="I1928" s="20" t="n">
        <v>1</v>
      </c>
      <c r="J1928" s="21">
        <f>IF(H1928=0,0,I1928/H1928)</f>
        <v/>
      </c>
    </row>
    <row r="1929">
      <c r="A1929" s="17" t="inlineStr">
        <is>
          <t>Franklin Pet Food</t>
        </is>
      </c>
      <c r="B1929" s="17" t="inlineStr">
        <is>
          <t>Terminé</t>
        </is>
      </c>
      <c r="C1929" s="17" t="inlineStr">
        <is>
          <t>Franklin Notoriété</t>
        </is>
      </c>
      <c r="D1929" s="17" t="inlineStr">
        <is>
          <t>Filets pour chat</t>
        </is>
      </c>
      <c r="E1929" s="18" t="inlineStr">
        <is>
          <t>Franklin Filets - poulet - 1x70g-</t>
        </is>
      </c>
      <c r="F1929" s="17" t="inlineStr">
        <is>
          <t>Avis aux amateurs de poulet ! Ici ce n'est pas l'aile ou la cuisse, mais de délicieux filets découpés avec soin de façon artisanale, puis cuits dans un bouillon au tapioca riche e…</t>
        </is>
      </c>
      <c r="G1929" s="19" t="inlineStr">
        <is>
          <t>https://franklinpetfood.com/products/poulet?utm_source=Affilae&amp;utm_medium=Referral&amp;utm_campaign=Lemrock&amp;utm_content=LLM</t>
        </is>
      </c>
      <c r="H1929" s="20" t="n">
        <v>774</v>
      </c>
      <c r="I1929" s="20" t="n">
        <v>2</v>
      </c>
      <c r="J1929" s="21">
        <f>IF(H1929=0,0,I1929/H1929)</f>
        <v/>
      </c>
    </row>
    <row r="1930">
      <c r="A1930" s="17" t="inlineStr">
        <is>
          <t>Franklin Pet Food</t>
        </is>
      </c>
      <c r="B1930" s="17" t="inlineStr">
        <is>
          <t>Terminé</t>
        </is>
      </c>
      <c r="C1930" s="17" t="inlineStr">
        <is>
          <t>Franklin Notoriété</t>
        </is>
      </c>
      <c r="D1930" s="17" t="inlineStr">
        <is>
          <t>Friandises en tube crémeuses pour chat</t>
        </is>
      </c>
      <c r="E1930" s="18" t="inlineStr">
        <is>
          <t>Franklin Friandises - mini tubes thon - 6 tubes-</t>
        </is>
      </c>
      <c r="F1930" s="17" t="inlineStr">
        <is>
          <t>Découvrez notre nouvelle gourmandise pour faire craquer votre chat ! Au menu : du thon et de l'huile d'algues riches en acides gras essentiels pour prendre soin de sa peau et de s…</t>
        </is>
      </c>
      <c r="G1930" s="19" t="inlineStr">
        <is>
          <t>https://franklinpetfood.com/products/mini-tubes-cremeux-thon?utm_source=Affilae&amp;utm_medium=Referral&amp;utm_campaign=Lemrock&amp;utm_content=LLM</t>
        </is>
      </c>
      <c r="H1930" s="20" t="n">
        <v>738</v>
      </c>
      <c r="I1930" s="20" t="n">
        <v>6</v>
      </c>
      <c r="J1930" s="21">
        <f>IF(H1930=0,0,I1930/H1930)</f>
        <v/>
      </c>
    </row>
    <row r="1931">
      <c r="A1931" s="17" t="inlineStr">
        <is>
          <t>Franklin Pet Food</t>
        </is>
      </c>
      <c r="B1931" s="17" t="inlineStr">
        <is>
          <t>Terminé</t>
        </is>
      </c>
      <c r="C1931" s="17" t="inlineStr">
        <is>
          <t>Franklin Notoriété</t>
        </is>
      </c>
      <c r="D1931" s="17" t="inlineStr">
        <is>
          <t>Friandises en tube crémeuses pour chat</t>
        </is>
      </c>
      <c r="E1931" s="18" t="inlineStr">
        <is>
          <t>Franklin Friandises - mini tubes thon, saumon - 6 tubes-</t>
        </is>
      </c>
      <c r="F1931" s="17" t="inlineStr">
        <is>
          <t>Une friandise crémeuse à déguster directement au tube ou à ajouter en topping sur les croquettes : découvrez notre dernière innovation pour faire fondre votre chat ! Elle est prép…</t>
        </is>
      </c>
      <c r="G1931" s="19" t="inlineStr">
        <is>
          <t>https://franklinpetfood.com/products/mini-tubes-cremeux-thon-saumon?utm_source=Affilae&amp;utm_medium=Referral&amp;utm_campaign=Lemrock&amp;utm_content=LLM</t>
        </is>
      </c>
      <c r="H1931" s="20" t="n">
        <v>678</v>
      </c>
      <c r="I1931" s="20" t="n">
        <v>1</v>
      </c>
      <c r="J1931" s="21">
        <f>IF(H1931=0,0,I1931/H1931)</f>
        <v/>
      </c>
    </row>
    <row r="1932">
      <c r="A1932" s="17" t="inlineStr">
        <is>
          <t>Franklin Pet Food</t>
        </is>
      </c>
      <c r="B1932" s="17" t="inlineStr">
        <is>
          <t>Terminé</t>
        </is>
      </c>
      <c r="C1932" s="17" t="inlineStr">
        <is>
          <t>Franklin Notoriété</t>
        </is>
      </c>
      <c r="D1932" s="17" t="inlineStr">
        <is>
          <t>Coffret digestion chat</t>
        </is>
      </c>
      <c r="E1932" s="18" t="inlineStr">
        <is>
          <t>Franklin Chat fonction - pack digestion chat - 1kg | 12x70g…</t>
        </is>
      </c>
      <c r="F1932" s="17" t="inlineStr">
        <is>
          <t>Le coffret spécial digestion aide votre félin à retrouver une digestion optimale ! * Des croquettes à l'agneau et à la dinde, une recette hypoallergénique et hautement digestible…</t>
        </is>
      </c>
      <c r="G1932" s="19" t="inlineStr">
        <is>
          <t>https://franklinpetfood.com/products/lot-digestion-chat?utm_source=Affilae&amp;utm_medium=Referral&amp;utm_campaign=Lemrock&amp;utm_content=LLM</t>
        </is>
      </c>
      <c r="H1932" s="20" t="n">
        <v>673</v>
      </c>
      <c r="I1932" s="20" t="n">
        <v>4</v>
      </c>
      <c r="J1932" s="21">
        <f>IF(H1932=0,0,I1932/H1932)</f>
        <v/>
      </c>
    </row>
    <row r="1933">
      <c r="A1933" s="17" t="inlineStr">
        <is>
          <t>Franklin Pet Food</t>
        </is>
      </c>
      <c r="B1933" s="17" t="inlineStr">
        <is>
          <t>Terminé</t>
        </is>
      </c>
      <c r="C1933" s="17" t="inlineStr">
        <is>
          <t>Franklin Notoriété</t>
        </is>
      </c>
      <c r="D1933" s="17" t="inlineStr">
        <is>
          <t>Friandises de Noël pour chien</t>
        </is>
      </c>
      <c r="E1933" s="18" t="inlineStr">
        <is>
          <t>Franklin Friandises - noël gourmand - dinde, cheddar - 100g-</t>
        </is>
      </c>
      <c r="F1933" s="17" t="inlineStr">
        <is>
          <t>Pas question d'attendre le 24 minuit pour gâter votre chien ! Découvrez notre nouvelle friandise de Noël en édition limitée. Elle est préparée avec de la dinde, digeste et riche e…</t>
        </is>
      </c>
      <c r="G1933" s="19" t="inlineStr">
        <is>
          <t>https://franklinpetfood.com/products/noel-gourmand-dinde-cheddar?utm_source=Affilae&amp;utm_medium=Referral&amp;utm_campaign=Lemrock&amp;utm_content=LLM</t>
        </is>
      </c>
      <c r="H1933" s="20" t="n">
        <v>663</v>
      </c>
      <c r="I1933" s="20" t="n">
        <v>1</v>
      </c>
      <c r="J1933" s="21">
        <f>IF(H1933=0,0,I1933/H1933)</f>
        <v/>
      </c>
    </row>
    <row r="1934">
      <c r="A1934" s="17" t="inlineStr">
        <is>
          <t>Franklin Pet Food</t>
        </is>
      </c>
      <c r="B1934" s="17" t="inlineStr">
        <is>
          <t>Terminé</t>
        </is>
      </c>
      <c r="C1934" s="17" t="inlineStr">
        <is>
          <t>Franklin Notoriété</t>
        </is>
      </c>
      <c r="D1934" s="17" t="inlineStr">
        <is>
          <t>Friandises chien et chat</t>
        </is>
      </c>
      <c r="E1934" s="18" t="inlineStr">
        <is>
          <t>Friandises pour chien au meilleur prix | Franklin</t>
        </is>
      </c>
      <c r="F1934" s="17" t="inlineStr">
        <is>
          <t>Friandises jusqu’à 90 % de viande pour chiot, chien adulte et senior : récompenses d’éducation, anti-stress et dentaires, sans céréales.</t>
        </is>
      </c>
      <c r="G1934" s="19" t="inlineStr">
        <is>
          <t>https://c3po.link/QyUy4KZ4S7</t>
        </is>
      </c>
      <c r="H1934" s="20" t="n">
        <v>662</v>
      </c>
      <c r="I1934" s="20" t="n">
        <v>8</v>
      </c>
      <c r="J1934" s="21">
        <f>IF(H1934=0,0,I1934/H1934)</f>
        <v/>
      </c>
    </row>
    <row r="1935">
      <c r="A1935" s="17" t="inlineStr">
        <is>
          <t>Franklin Pet Food</t>
        </is>
      </c>
      <c r="B1935" s="17" t="inlineStr">
        <is>
          <t>Terminé</t>
        </is>
      </c>
      <c r="C1935" s="17" t="inlineStr">
        <is>
          <t>Franklin Notoriété</t>
        </is>
      </c>
      <c r="D1935" s="17" t="inlineStr">
        <is>
          <t>Complément peau et pelage chien</t>
        </is>
      </c>
      <c r="E1935" s="18" t="inlineStr">
        <is>
          <t>Franklin Compléments - huile de saumon - -</t>
        </is>
      </c>
      <c r="F1935" s="17" t="inlineStr">
        <is>
          <t>Notre huile de saumon pour chien est un complément multi-actions qui réunit de nombreux bienfaits pour aider votre chien à combattre les troubles cutanés, la perte de poils et les…</t>
        </is>
      </c>
      <c r="G1935" s="19" t="inlineStr">
        <is>
          <t>https://franklinpetfood.com/products/huile-de-saumon-chien?utm_source=Affilae&amp;utm_medium=Referral&amp;utm_campaign=Lemrock&amp;utm_content=LLM</t>
        </is>
      </c>
      <c r="H1935" s="20" t="n">
        <v>654</v>
      </c>
      <c r="I1935" s="20" t="n">
        <v>5</v>
      </c>
      <c r="J1935" s="21">
        <f>IF(H1935=0,0,I1935/H1935)</f>
        <v/>
      </c>
    </row>
    <row r="1936">
      <c r="A1936" s="17" t="inlineStr">
        <is>
          <t>Franklin Pet Food</t>
        </is>
      </c>
      <c r="B1936" s="17" t="inlineStr">
        <is>
          <t>Terminé</t>
        </is>
      </c>
      <c r="C1936" s="17" t="inlineStr">
        <is>
          <t>Franklin Notoriété</t>
        </is>
      </c>
      <c r="D1936" s="17" t="inlineStr">
        <is>
          <t>Friandises chien et chat</t>
        </is>
      </c>
      <c r="E1936" s="18" t="inlineStr">
        <is>
          <t>Friandises chat en tube au meilleur prix | Franklin</t>
        </is>
      </c>
      <c r="F1936" s="17" t="inlineStr">
        <is>
          <t>Des friandises en tube naturelles et peu caloriques, à lécher ou en topping sur les croquettes, en trois saveurs pour varier ses petits plaisirs.</t>
        </is>
      </c>
      <c r="G1936" s="19" t="inlineStr">
        <is>
          <t>https://c3po.link/QpgEjhWtYY</t>
        </is>
      </c>
      <c r="H1936" s="20" t="n">
        <v>632</v>
      </c>
      <c r="I1936" s="20" t="n">
        <v>2</v>
      </c>
      <c r="J1936" s="21">
        <f>IF(H1936=0,0,I1936/H1936)</f>
        <v/>
      </c>
    </row>
    <row r="1937">
      <c r="A1937" s="17" t="inlineStr">
        <is>
          <t>Franklin Pet Food</t>
        </is>
      </c>
      <c r="B1937" s="17" t="inlineStr">
        <is>
          <t>Terminé</t>
        </is>
      </c>
      <c r="C1937" s="17" t="inlineStr">
        <is>
          <t>Franklin Notoriété</t>
        </is>
      </c>
      <c r="D1937" s="17" t="inlineStr">
        <is>
          <t>Friandises articulations et collagène pour chien</t>
        </is>
      </c>
      <c r="E1937" s="18" t="inlineStr">
        <is>
          <t>Franklin Friandises - duo 100% collagène - 2 poissons | 2 s…</t>
        </is>
      </c>
      <c r="F1937" s="17" t="inlineStr">
        <is>
          <t>Découvrez notre duo 100 % collagène naturel pour prendre soin de la bouche, des articulations et du bien-être global de votre chien. * Des Poissons à mâcher, riches en collagène m…</t>
        </is>
      </c>
      <c r="G1937" s="19" t="inlineStr">
        <is>
          <t>https://franklinpetfood.com/products/pack-pour-chien-collagene?utm_source=Affilae&amp;utm_medium=Referral&amp;utm_campaign=Lemrock&amp;utm_content=LLM</t>
        </is>
      </c>
      <c r="H1937" s="20" t="n">
        <v>627</v>
      </c>
      <c r="I1937" s="20" t="n">
        <v>2</v>
      </c>
      <c r="J1937" s="21">
        <f>IF(H1937=0,0,I1937/H1937)</f>
        <v/>
      </c>
    </row>
    <row r="1938">
      <c r="A1938" s="17" t="inlineStr">
        <is>
          <t>Franklin Pet Food</t>
        </is>
      </c>
      <c r="B1938" s="17" t="inlineStr">
        <is>
          <t>Terminé</t>
        </is>
      </c>
      <c r="C1938" s="17" t="inlineStr">
        <is>
          <t>Franklin Notoriété</t>
        </is>
      </c>
      <c r="D1938" s="17" t="inlineStr">
        <is>
          <t>Filets pour chat</t>
        </is>
      </c>
      <c r="E1938" s="18" t="inlineStr">
        <is>
          <t>Franklin Filets - poulet &amp; thon - 1x70g-</t>
        </is>
      </c>
      <c r="F1938" s="17" t="inlineStr">
        <is>
          <t>Quand la terre rencontre la mer : ça donne ça ! De tendres filets de poulet et de thon finement découpés et cuits dans un délicieux bouillon de tapioca et c'est tout ! On résume :…</t>
        </is>
      </c>
      <c r="G1938" s="19" t="inlineStr">
        <is>
          <t>https://franklinpetfood.com/products/poulet-thon?utm_source=Affilae&amp;utm_medium=Referral&amp;utm_campaign=Lemrock&amp;utm_content=LLM</t>
        </is>
      </c>
      <c r="H1938" s="20" t="n">
        <v>621</v>
      </c>
      <c r="I1938" s="20" t="n">
        <v>1</v>
      </c>
      <c r="J1938" s="21">
        <f>IF(H1938=0,0,I1938/H1938)</f>
        <v/>
      </c>
    </row>
    <row r="1939">
      <c r="A1939" s="17" t="inlineStr">
        <is>
          <t>Franklin Pet Food</t>
        </is>
      </c>
      <c r="B1939" s="17" t="inlineStr">
        <is>
          <t>Terminé</t>
        </is>
      </c>
      <c r="C1939" s="17" t="inlineStr">
        <is>
          <t>Franklin Notoriété</t>
        </is>
      </c>
      <c r="D1939" s="17" t="inlineStr">
        <is>
          <t>Friandises en tube crémeuses pour chat</t>
        </is>
      </c>
      <c r="E1939" s="18" t="inlineStr">
        <is>
          <t>Franklin Friandises - mini tubes poulet, camomille - 6 tube…</t>
        </is>
      </c>
      <c r="F1939" s="17" t="inlineStr">
        <is>
          <t>Découvrez notre nouvelle friandise qui apaise et régale en même temps ! Au menu : du poulet associé au L-tryptophane, un acide aminé qui favorise la production de sérotonine, l'ho…</t>
        </is>
      </c>
      <c r="G1939" s="19" t="inlineStr">
        <is>
          <t>https://franklinpetfood.com/products/mini-tubes-cremeux-poulet-camomille?utm_source=Affilae&amp;utm_medium=Referral&amp;utm_campaign=Lemrock&amp;utm_content=LLM</t>
        </is>
      </c>
      <c r="H1939" s="20" t="n">
        <v>605</v>
      </c>
      <c r="I1939" s="20" t="n">
        <v>4</v>
      </c>
      <c r="J1939" s="21">
        <f>IF(H1939=0,0,I1939/H1939)</f>
        <v/>
      </c>
    </row>
    <row r="1940">
      <c r="A1940" s="17" t="inlineStr">
        <is>
          <t>Franklin Pet Food</t>
        </is>
      </c>
      <c r="B1940" s="17" t="inlineStr">
        <is>
          <t>Terminé</t>
        </is>
      </c>
      <c r="C1940" s="17" t="inlineStr">
        <is>
          <t>Franklin Notoriété</t>
        </is>
      </c>
      <c r="D1940" s="17" t="inlineStr">
        <is>
          <t>Viande séchée pour chien</t>
        </is>
      </c>
      <c r="E1940" s="18" t="inlineStr">
        <is>
          <t>Franklin Friandises - canard séché - 100g-</t>
        </is>
      </c>
      <c r="F1940" s="17" t="inlineStr">
        <is>
          <t>Une délicieuse friandise mono-protéine avec 90% de canard pour régaler vos gourmets à l'estomac fragile. Préparée avec du cassis, riche en antioxydants et du thym, elle améliore l…</t>
        </is>
      </c>
      <c r="G1940" s="19" t="inlineStr">
        <is>
          <t>https://franklinpetfood.com/products/jerky-canard?utm_source=Affilae&amp;utm_medium=Referral&amp;utm_campaign=Lemrock&amp;utm_content=LLM</t>
        </is>
      </c>
      <c r="H1940" s="20" t="n">
        <v>586</v>
      </c>
      <c r="I1940" s="20" t="n">
        <v>2</v>
      </c>
      <c r="J1940" s="21">
        <f>IF(H1940=0,0,I1940/H1940)</f>
        <v/>
      </c>
    </row>
    <row r="1941">
      <c r="A1941" s="17" t="inlineStr">
        <is>
          <t>Franklin Pet Food</t>
        </is>
      </c>
      <c r="B1941" s="17" t="inlineStr">
        <is>
          <t>Terminé</t>
        </is>
      </c>
      <c r="C1941" s="17" t="inlineStr">
        <is>
          <t>Franklin Notoriété</t>
        </is>
      </c>
      <c r="D1941" s="17" t="inlineStr">
        <is>
          <t>Friandises articulations et collagène pour chien</t>
        </is>
      </c>
      <c r="E1941" s="18" t="inlineStr">
        <is>
          <t>Franklin Friandises - poissons à mâcher - 2 poissons-</t>
        </is>
      </c>
      <c r="F1941" s="17" t="inlineStr">
        <is>
          <t>Découvrez notre friandise 100% naturelle composée exclusivement de peau de cabillaud, sans additifs ni conservateurs. Elle contient 20% de collagène marin qui soutient la santé de…</t>
        </is>
      </c>
      <c r="G1941" s="19" t="inlineStr">
        <is>
          <t>https://franklinpetfood.com/products/poissons-a-macher?utm_source=Affilae&amp;utm_medium=Referral&amp;utm_campaign=Lemrock&amp;utm_content=LLM</t>
        </is>
      </c>
      <c r="H1941" s="20" t="n">
        <v>585</v>
      </c>
      <c r="I1941" s="20" t="n">
        <v>1</v>
      </c>
      <c r="J1941" s="21">
        <f>IF(H1941=0,0,I1941/H1941)</f>
        <v/>
      </c>
    </row>
    <row r="1942">
      <c r="A1942" s="17" t="inlineStr">
        <is>
          <t>Franklin Pet Food</t>
        </is>
      </c>
      <c r="B1942" s="17" t="inlineStr">
        <is>
          <t>Terminé</t>
        </is>
      </c>
      <c r="C1942" s="17" t="inlineStr">
        <is>
          <t>Franklin Notoriété</t>
        </is>
      </c>
      <c r="D1942" s="17" t="inlineStr">
        <is>
          <t>Friandises de Noël pour chien</t>
        </is>
      </c>
      <c r="E1942" s="18" t="inlineStr">
        <is>
          <t>Franklin Friandises - noël gourmand - canard, cranberry - 5…</t>
        </is>
      </c>
      <c r="F1942" s="17" t="inlineStr">
        <is>
          <t>Pour Noël, on met le paquet avec nos friandises en édition limitée ! Une recette qui associe canard délicieux et cranberries antioxydantes pour faire le plein d'énergie et se lanc…</t>
        </is>
      </c>
      <c r="G1942" s="19" t="inlineStr">
        <is>
          <t>https://franklinpetfood.com/products/noel-gourmand-canard-cranberry?utm_source=Affilae&amp;utm_medium=Referral&amp;utm_campaign=Lemrock&amp;utm_content=LLM</t>
        </is>
      </c>
      <c r="H1942" s="20" t="n">
        <v>579</v>
      </c>
      <c r="I1942" s="20" t="n">
        <v>5</v>
      </c>
      <c r="J1942" s="21">
        <f>IF(H1942=0,0,I1942/H1942)</f>
        <v/>
      </c>
    </row>
    <row r="1943">
      <c r="A1943" s="17" t="inlineStr">
        <is>
          <t>Franklin Pet Food</t>
        </is>
      </c>
      <c r="B1943" s="17" t="inlineStr">
        <is>
          <t>Terminé</t>
        </is>
      </c>
      <c r="C1943" s="17" t="inlineStr">
        <is>
          <t>Franklin Notoriété</t>
        </is>
      </c>
      <c r="D1943" s="17" t="inlineStr">
        <is>
          <t>Friandises dentaires pour chat</t>
        </is>
      </c>
      <c r="E1943" s="18" t="inlineStr">
        <is>
          <t>Franklin Friandises - duo de friandises - 2 x 50g-</t>
        </is>
      </c>
      <c r="F1943" s="17" t="inlineStr">
        <is>
          <t>Enfin des friandises dentaires pour chat ! Préparées avec du saumon, un poisson riche en oméga-3, elles contiennent de la menthe séchée pour une haleine fraîche. Leur texture croq…</t>
        </is>
      </c>
      <c r="G1943" s="19" t="inlineStr">
        <is>
          <t>https://franklinpetfood.com/products/biscroc-dentaire-copy?utm_source=Affilae&amp;utm_medium=Referral&amp;utm_campaign=Lemrock&amp;utm_content=LLM</t>
        </is>
      </c>
      <c r="H1943" s="20" t="n">
        <v>577</v>
      </c>
      <c r="I1943" s="20" t="n">
        <v>3</v>
      </c>
      <c r="J1943" s="21">
        <f>IF(H1943=0,0,I1943/H1943)</f>
        <v/>
      </c>
    </row>
    <row r="1944">
      <c r="A1944" s="17" t="inlineStr">
        <is>
          <t>Franklin Pet Food</t>
        </is>
      </c>
      <c r="B1944" s="17" t="inlineStr">
        <is>
          <t>Terminé</t>
        </is>
      </c>
      <c r="C1944" s="17" t="inlineStr">
        <is>
          <t>Franklin Notoriété</t>
        </is>
      </c>
      <c r="D1944" s="17" t="inlineStr">
        <is>
          <t>Viande séchée pour chien</t>
        </is>
      </c>
      <c r="E1944" s="18" t="inlineStr">
        <is>
          <t>Franklin Friandises - boeuf séché barbecue - 90g-</t>
        </is>
      </c>
      <c r="F1944" s="17" t="inlineStr">
        <is>
          <t>De généreux morceaux de bœuf séché délicatement fumés façon barbecue ! Voilà une friandise savoureuse et originale, pensée pour surprendre les papilles ! Grâce à sa recette mono-p…</t>
        </is>
      </c>
      <c r="G1944" s="19" t="inlineStr">
        <is>
          <t>https://franklinpetfood.com/products/friandise-chien-boeuf-seche-barbecue?utm_source=Affilae&amp;utm_medium=Referral&amp;utm_campaign=Lemrock&amp;utm_content=LLM</t>
        </is>
      </c>
      <c r="H1944" s="20" t="n">
        <v>575</v>
      </c>
      <c r="I1944" s="20" t="n">
        <v>2</v>
      </c>
      <c r="J1944" s="21">
        <f>IF(H1944=0,0,I1944/H1944)</f>
        <v/>
      </c>
    </row>
    <row r="1945">
      <c r="A1945" s="17" t="inlineStr">
        <is>
          <t>Franklin Pet Food</t>
        </is>
      </c>
      <c r="B1945" s="17" t="inlineStr">
        <is>
          <t>Terminé</t>
        </is>
      </c>
      <c r="C1945" s="17" t="inlineStr">
        <is>
          <t>Franklin Notoriété</t>
        </is>
      </c>
      <c r="D1945" s="17" t="inlineStr">
        <is>
          <t>Coffrets découverte de friandises pour chat</t>
        </is>
      </c>
      <c r="E1945" s="18" t="inlineStr">
        <is>
          <t>Franklin Friandises - duo biscroc' - 2x50g-</t>
        </is>
      </c>
      <c r="F1945" s="17" t="inlineStr">
        <is>
          <t>Découvrez notre duo de friandises croquantes qui va régaler votre chat ! * Des friandises à la Dinde, riche en fibres pour aider à réduire les boules de poils (50g) * Des friandis…</t>
        </is>
      </c>
      <c r="G1945" s="19" t="inlineStr">
        <is>
          <t>https://franklinpetfood.com/products/pack-pour-chat-biscroc?utm_source=Affilae&amp;utm_medium=Referral&amp;utm_campaign=Lemrock&amp;utm_content=LLM</t>
        </is>
      </c>
      <c r="H1945" s="20" t="n">
        <v>566</v>
      </c>
      <c r="I1945" s="20" t="n">
        <v>6</v>
      </c>
      <c r="J1945" s="21">
        <f>IF(H1945=0,0,I1945/H1945)</f>
        <v/>
      </c>
    </row>
    <row r="1946">
      <c r="A1946" s="17" t="inlineStr">
        <is>
          <t>Franklin Pet Food</t>
        </is>
      </c>
      <c r="B1946" s="17" t="inlineStr">
        <is>
          <t>Terminé</t>
        </is>
      </c>
      <c r="C1946" s="17" t="inlineStr">
        <is>
          <t>Franklin Notoriété</t>
        </is>
      </c>
      <c r="D1946" s="17" t="inlineStr">
        <is>
          <t>Brosse de toilettage pour animal</t>
        </is>
      </c>
      <c r="E1946" s="18" t="inlineStr">
        <is>
          <t>Franklin Accessoires - la brosse 2 en 1 franklin - 1 brosse-</t>
        </is>
      </c>
      <c r="F1946" s="17" t="inlineStr">
        <is>
          <t>Offrez à votre compagnon le meilleur soin quotidien avec notre brosse 2-en-1 spécialement conçue pour allier douceur, efficacité et confort. Poils en plastique : lissent le pelage…</t>
        </is>
      </c>
      <c r="G1946" s="19" t="inlineStr">
        <is>
          <t>https://franklinpetfood.com/products/la-brosse-2-en-1-franklin?utm_source=Affilae&amp;utm_medium=Referral&amp;utm_campaign=Lemrock&amp;utm_content=LLM</t>
        </is>
      </c>
      <c r="H1946" s="20" t="n">
        <v>564</v>
      </c>
      <c r="I1946" s="20" t="n">
        <v>0</v>
      </c>
      <c r="J1946" s="21">
        <f>IF(H1946=0,0,I1946/H1946)</f>
        <v/>
      </c>
    </row>
    <row r="1947">
      <c r="A1947" s="17" t="inlineStr">
        <is>
          <t>Franklin Pet Food</t>
        </is>
      </c>
      <c r="B1947" s="17" t="inlineStr">
        <is>
          <t>Terminé</t>
        </is>
      </c>
      <c r="C1947" s="17" t="inlineStr">
        <is>
          <t>Franklin Notoriété</t>
        </is>
      </c>
      <c r="D1947" s="17" t="inlineStr">
        <is>
          <t>Sticks dentaires pour chien</t>
        </is>
      </c>
      <c r="E1947" s="18" t="inlineStr">
        <is>
          <t>Franklin Friandises - sticks au fromage - 7 sticks-</t>
        </is>
      </c>
      <c r="F1947" s="17" t="inlineStr">
        <is>
          <t>Avis aux amateurs de fromage ! Découvrez notre stick dentaire pour une haleine fraîche à la française. Une friandise à mâcher pour chien au goût surprenant conçue pour réduire le…</t>
        </is>
      </c>
      <c r="G1947" s="19" t="inlineStr">
        <is>
          <t>https://franklinpetfood.com/products/sticks-dentaires-au-fromage?utm_source=Affilae&amp;utm_medium=Referral&amp;utm_campaign=Lemrock&amp;utm_content=LLM</t>
        </is>
      </c>
      <c r="H1947" s="20" t="n">
        <v>555</v>
      </c>
      <c r="I1947" s="20" t="n">
        <v>1</v>
      </c>
      <c r="J1947" s="21">
        <f>IF(H1947=0,0,I1947/H1947)</f>
        <v/>
      </c>
    </row>
    <row r="1948">
      <c r="A1948" s="17" t="inlineStr">
        <is>
          <t>Franklin Pet Food</t>
        </is>
      </c>
      <c r="B1948" s="17" t="inlineStr">
        <is>
          <t>Terminé</t>
        </is>
      </c>
      <c r="C1948" s="17" t="inlineStr">
        <is>
          <t>Franklin Notoriété</t>
        </is>
      </c>
      <c r="D1948" s="17" t="inlineStr">
        <is>
          <t>Complément peau et pelage chien</t>
        </is>
      </c>
      <c r="E1948" s="18" t="inlineStr">
        <is>
          <t>Franklin Compléments - gummies démangeaisons - -</t>
        </is>
      </c>
      <c r="F1948" s="17" t="inlineStr">
        <is>
          <t>Plus d'actifs, plus d'appétence, mais toujours autant de simplicité ! Notre nouvelle formulation améliorée nourrit la peau et sublime le pelage de l'intérieur. * 30% de saumon et…</t>
        </is>
      </c>
      <c r="G1948" s="19" t="inlineStr">
        <is>
          <t>https://franklinpetfood.com/products/gummies-peau-pelage?utm_source=Affilae&amp;utm_medium=Referral&amp;utm_campaign=Lemrock&amp;utm_content=LLM</t>
        </is>
      </c>
      <c r="H1948" s="20" t="n">
        <v>539</v>
      </c>
      <c r="I1948" s="20" t="n">
        <v>3</v>
      </c>
      <c r="J1948" s="21">
        <f>IF(H1948=0,0,I1948/H1948)</f>
        <v/>
      </c>
    </row>
    <row r="1949">
      <c r="A1949" s="17" t="inlineStr">
        <is>
          <t>Franklin Pet Food</t>
        </is>
      </c>
      <c r="B1949" s="17" t="inlineStr">
        <is>
          <t>Terminé</t>
        </is>
      </c>
      <c r="C1949" s="17" t="inlineStr">
        <is>
          <t>Franklin Notoriété</t>
        </is>
      </c>
      <c r="D1949" s="17" t="inlineStr">
        <is>
          <t>Friandises de dressage pour chien</t>
        </is>
      </c>
      <c r="E1949" s="18" t="inlineStr">
        <is>
          <t>Franklin Friandises - dressage truite - 150g-</t>
        </is>
      </c>
      <c r="F1949" s="17" t="inlineStr">
        <is>
          <t>Pour capter toute son attention, il suffit parfois d'avoir la bonne récompense dans la poche. Bonne nouvelle : on a la recette qu’il lui faut ! Au menu : de la truite riche en omé…</t>
        </is>
      </c>
      <c r="G1949" s="19" t="inlineStr">
        <is>
          <t>https://franklinpetfood.com/products/truite-persil?utm_source=Affilae&amp;utm_medium=Referral&amp;utm_campaign=Lemrock&amp;utm_content=LLM</t>
        </is>
      </c>
      <c r="H1949" s="20" t="n">
        <v>526</v>
      </c>
      <c r="I1949" s="20" t="n">
        <v>2</v>
      </c>
      <c r="J1949" s="21">
        <f>IF(H1949=0,0,I1949/H1949)</f>
        <v/>
      </c>
    </row>
    <row r="1950">
      <c r="A1950" s="17" t="inlineStr">
        <is>
          <t>Franklin Pet Food</t>
        </is>
      </c>
      <c r="B1950" s="17" t="inlineStr">
        <is>
          <t>Terminé</t>
        </is>
      </c>
      <c r="C1950" s="17" t="inlineStr">
        <is>
          <t>Franklin Notoriété</t>
        </is>
      </c>
      <c r="D1950" s="17" t="inlineStr">
        <is>
          <t>Friandises dentaires pour chat</t>
        </is>
      </c>
      <c r="E1950" s="18" t="inlineStr">
        <is>
          <t>Franklin Friandises - biscroc' dentaire - 50g-</t>
        </is>
      </c>
      <c r="F1950" s="17" t="inlineStr">
        <is>
          <t>Enfin des friandises dentaires pour chat ! Préparées avec du saumon, un poisson riche en oméga-3, elles contiennent de la menthe séchée pour une haleine fraîche. Leur texture croq…</t>
        </is>
      </c>
      <c r="G1950" s="19" t="inlineStr">
        <is>
          <t>https://franklinpetfood.com/products/biscroc-dentaire?utm_source=Affilae&amp;utm_medium=Referral&amp;utm_campaign=Lemrock&amp;utm_content=LLM</t>
        </is>
      </c>
      <c r="H1950" s="20" t="n">
        <v>526</v>
      </c>
      <c r="I1950" s="20" t="n">
        <v>1</v>
      </c>
      <c r="J1950" s="21">
        <f>IF(H1950=0,0,I1950/H1950)</f>
        <v/>
      </c>
    </row>
    <row r="1951">
      <c r="A1951" s="17" t="inlineStr">
        <is>
          <t>Franklin Pet Food</t>
        </is>
      </c>
      <c r="B1951" s="17" t="inlineStr">
        <is>
          <t>Terminé</t>
        </is>
      </c>
      <c r="C1951" s="17" t="inlineStr">
        <is>
          <t>Franklin Notoriété</t>
        </is>
      </c>
      <c r="D1951" s="17" t="inlineStr">
        <is>
          <t>Complément anti-stress chien</t>
        </is>
      </c>
      <c r="E1951" s="18" t="inlineStr">
        <is>
          <t>Franklin Compléments - gummies anti-stress - -</t>
        </is>
      </c>
      <c r="F1951" s="17" t="inlineStr">
        <is>
          <t>Votre chien est hyperactif ou anxieux ? Il souffre de troubles du comportement à cause du stress ? Il existe des solutions pour aider votre chien et améliorer votre quotidien (et…</t>
        </is>
      </c>
      <c r="G1951" s="19" t="inlineStr">
        <is>
          <t>https://franklinpetfood.com/products/gummies-calme?utm_source=Affilae&amp;utm_medium=Referral&amp;utm_campaign=Lemrock&amp;utm_content=LLM</t>
        </is>
      </c>
      <c r="H1951" s="20" t="n">
        <v>525</v>
      </c>
      <c r="I1951" s="20" t="n">
        <v>1</v>
      </c>
      <c r="J1951" s="21">
        <f>IF(H1951=0,0,I1951/H1951)</f>
        <v/>
      </c>
    </row>
    <row r="1952">
      <c r="A1952" s="17" t="inlineStr">
        <is>
          <t>Franklin Pet Food</t>
        </is>
      </c>
      <c r="B1952" s="17" t="inlineStr">
        <is>
          <t>Terminé</t>
        </is>
      </c>
      <c r="C1952" s="17" t="inlineStr">
        <is>
          <t>Franklin Notoriété</t>
        </is>
      </c>
      <c r="D1952" s="17" t="inlineStr">
        <is>
          <t>Complément anti-stress chien</t>
        </is>
      </c>
      <c r="E1952" s="18" t="inlineStr">
        <is>
          <t>Franklin Compléments - huile de chanvre bio - -</t>
        </is>
      </c>
      <c r="F1952" s="17" t="inlineStr">
        <is>
          <t>Grâce à ses nombreux bienfaits, l'huile de chanvre est le meilleur allié pour préserver la santé de votre chat et améliorer sa qualité de vie. Elle contient un ratio parfait d’omé…</t>
        </is>
      </c>
      <c r="G1952" s="19" t="inlineStr">
        <is>
          <t>https://franklinpetfood.com/products/huile-de-chanvre-bio-chat?utm_source=Affilae&amp;utm_medium=Referral&amp;utm_campaign=Lemrock&amp;utm_content=LLM</t>
        </is>
      </c>
      <c r="H1952" s="20" t="n">
        <v>507</v>
      </c>
      <c r="I1952" s="20" t="n">
        <v>4</v>
      </c>
      <c r="J1952" s="21">
        <f>IF(H1952=0,0,I1952/H1952)</f>
        <v/>
      </c>
    </row>
    <row r="1953">
      <c r="A1953" s="17" t="inlineStr">
        <is>
          <t>Franklin Pet Food</t>
        </is>
      </c>
      <c r="B1953" s="17" t="inlineStr">
        <is>
          <t>Terminé</t>
        </is>
      </c>
      <c r="C1953" s="17" t="inlineStr">
        <is>
          <t>Franklin Notoriété</t>
        </is>
      </c>
      <c r="D1953" s="17" t="inlineStr">
        <is>
          <t>Coffrets découverte de friandises pour chat</t>
        </is>
      </c>
      <c r="E1953" s="18" t="inlineStr">
        <is>
          <t>Franklin Friandises - duo mini snack - 2x50g-</t>
        </is>
      </c>
      <c r="F1953" s="17" t="inlineStr">
        <is>
          <t>Découvrez notre duo de friandises moelleuses ! * Des friandises à la Sardine et au persil, une plante riche en vitamines pour booster le transit et faciliter la digestion (50g) *…</t>
        </is>
      </c>
      <c r="G1953" s="19" t="inlineStr">
        <is>
          <t>https://franklinpetfood.com/products/pack-pour-chat-mini-snack?utm_source=Affilae&amp;utm_medium=Referral&amp;utm_campaign=Lemrock&amp;utm_content=LLM</t>
        </is>
      </c>
      <c r="H1953" s="20" t="n">
        <v>507</v>
      </c>
      <c r="I1953" s="20" t="n">
        <v>1</v>
      </c>
      <c r="J1953" s="21">
        <f>IF(H1953=0,0,I1953/H1953)</f>
        <v/>
      </c>
    </row>
    <row r="1954">
      <c r="A1954" s="17" t="inlineStr">
        <is>
          <t>Franklin Pet Food</t>
        </is>
      </c>
      <c r="B1954" s="17" t="inlineStr">
        <is>
          <t>Terminé</t>
        </is>
      </c>
      <c r="C1954" s="17" t="inlineStr">
        <is>
          <t>Franklin Notoriété</t>
        </is>
      </c>
      <c r="D1954" s="17" t="inlineStr">
        <is>
          <t>Viande séchée pour chien</t>
        </is>
      </c>
      <c r="E1954" s="18" t="inlineStr">
        <is>
          <t>Franklin Friandises - faisan séché - 100g-</t>
        </is>
      </c>
      <c r="F1954" s="17" t="inlineStr">
        <is>
          <t>Envie d'une pause gourmande ? Optez pour notre friandise avec 90% de faisan et de poulet, une petite touche d'exotisme pour mettre un peu d'extra dans l'ordinaire ! Riche en proté…</t>
        </is>
      </c>
      <c r="G1954" s="19" t="inlineStr">
        <is>
          <t>https://franklinpetfood.com/products/jerky-poulet-faisan?utm_source=Affilae&amp;utm_medium=Referral&amp;utm_campaign=Lemrock&amp;utm_content=LLM</t>
        </is>
      </c>
      <c r="H1954" s="20" t="n">
        <v>503</v>
      </c>
      <c r="I1954" s="20" t="n">
        <v>2</v>
      </c>
      <c r="J1954" s="21">
        <f>IF(H1954=0,0,I1954/H1954)</f>
        <v/>
      </c>
    </row>
    <row r="1955">
      <c r="A1955" s="17" t="inlineStr">
        <is>
          <t>Franklin Pet Food</t>
        </is>
      </c>
      <c r="B1955" s="17" t="inlineStr">
        <is>
          <t>Terminé</t>
        </is>
      </c>
      <c r="C1955" s="17" t="inlineStr">
        <is>
          <t>Franklin Notoriété</t>
        </is>
      </c>
      <c r="D1955" s="17" t="inlineStr">
        <is>
          <t>Friandises articulations et collagène pour chien</t>
        </is>
      </c>
      <c r="E1955" s="18" t="inlineStr">
        <is>
          <t>Franklin Friandises - sticks collagène - 2 sticks-</t>
        </is>
      </c>
      <c r="F1955" s="17" t="inlineStr">
        <is>
          <t>Nos sticks à la dinde associent collagène, curcuma et huile végétale pour soutenir les articulations, prendre soin de la peau et sublimer le pelage de votre chien. Et pour le côté…</t>
        </is>
      </c>
      <c r="G1955" s="19" t="inlineStr">
        <is>
          <t>https://franklinpetfood.com/products/sticks-collagene?utm_source=Affilae&amp;utm_medium=Referral&amp;utm_campaign=Lemrock&amp;utm_content=LLM</t>
        </is>
      </c>
      <c r="H1955" s="20" t="n">
        <v>503</v>
      </c>
      <c r="I1955" s="20" t="n">
        <v>2</v>
      </c>
      <c r="J1955" s="21">
        <f>IF(H1955=0,0,I1955/H1955)</f>
        <v/>
      </c>
    </row>
    <row r="1956">
      <c r="A1956" s="17" t="inlineStr">
        <is>
          <t>Franklin Pet Food</t>
        </is>
      </c>
      <c r="B1956" s="17" t="inlineStr">
        <is>
          <t>Terminé</t>
        </is>
      </c>
      <c r="C1956" s="17" t="inlineStr">
        <is>
          <t>Franklin Ventes</t>
        </is>
      </c>
      <c r="D1956" s="17" t="inlineStr">
        <is>
          <t>Alimentation chien</t>
        </is>
      </c>
      <c r="E1956" s="18" t="inlineStr">
        <is>
          <t>Pâtée chien sensible SANGLIER, MYRTILLE, ROMARIN - pâtée</t>
        </is>
      </c>
      <c r="F1956" s="17" t="inlineStr">
        <is>
          <t>Voilà la recette idéale pour les chiens qui aiment le goût de la nature ! Formulée avec 70% de sanglier, une viande de gibier savoureuse, riche en protéines et rarement servie à</t>
        </is>
      </c>
      <c r="G1956" s="19" t="inlineStr">
        <is>
          <t>https://lb.affilae.com/r/?p=643faf32803f8b136b097905&amp;af=478&amp;lp=https%3A%2F%2Ffranklinpetfood.com%2Fproducts%2Fsanglier-myrtille-romarin%3Futm_source%3DAffilae%26utm_medium%3DReferral%26utm_campaign%3DLemrock%26utm_content%3DLLM</t>
        </is>
      </c>
      <c r="H1956" s="20" t="n">
        <v>202</v>
      </c>
      <c r="I1956" s="20" t="n">
        <v>1</v>
      </c>
      <c r="J1956" s="21">
        <f>IF(H1956=0,0,I1956/H1956)</f>
        <v/>
      </c>
    </row>
    <row r="1957">
      <c r="A1957" s="17" t="inlineStr">
        <is>
          <t>Franklin Pet Food</t>
        </is>
      </c>
      <c r="B1957" s="17" t="inlineStr">
        <is>
          <t>Terminé</t>
        </is>
      </c>
      <c r="C1957" s="17" t="inlineStr">
        <is>
          <t>Franklin Ventes</t>
        </is>
      </c>
      <c r="D1957" s="17" t="inlineStr">
        <is>
          <t>Accessoires et compléments</t>
        </is>
      </c>
      <c r="E1957" s="18" t="inlineStr">
        <is>
          <t>Gourde pour chien anti-fuite - Franklin</t>
        </is>
      </c>
      <c r="F1957" s="17" t="inlineStr">
        <is>
          <t>Compacte, anti-fuite et facile à emporter, la gourde Franklin accompagne toutes vos balades avec votre chien !</t>
        </is>
      </c>
      <c r="G1957" s="19" t="inlineStr">
        <is>
          <t>https://lb.affilae.com/r/?p=643faf32803f8b136b097905&amp;af=478&amp;lp=https%3A%2F%2Ffranklinpetfood.com%2Fproducts%2Fgourde-chien%3Futm_source%3DAffilae%26utm_medium%3DReferral%26utm_campaign%3DLemrock%26utm_content%3DLLM</t>
        </is>
      </c>
      <c r="H1957" s="20" t="n">
        <v>192</v>
      </c>
      <c r="I1957" s="20" t="n">
        <v>1</v>
      </c>
      <c r="J1957" s="21">
        <f>IF(H1957=0,0,I1957/H1957)</f>
        <v/>
      </c>
    </row>
    <row r="1958">
      <c r="A1958" s="17" t="inlineStr">
        <is>
          <t>Franklin Pet Food</t>
        </is>
      </c>
      <c r="B1958" s="17" t="inlineStr">
        <is>
          <t>Terminé</t>
        </is>
      </c>
      <c r="C1958" s="17" t="inlineStr">
        <is>
          <t>Franklin Ventes</t>
        </is>
      </c>
      <c r="D1958" s="17" t="inlineStr">
        <is>
          <t>Alimentation chien</t>
        </is>
      </c>
      <c r="E1958" s="18" t="inlineStr">
        <is>
          <t>Pâtée chien SAUMON, DINDE, CANNEBERGE - pâtée sans céréales</t>
        </is>
      </c>
      <c r="F1958" s="17" t="inlineStr">
        <is>
          <t>Envie d'un poil qui brille ? D'une silhouette svelte et d'une haleine fraîche ? Notre pâtée met tout le monde d'accord ! Elle contient 70% de saumon et dinde, une parfaite</t>
        </is>
      </c>
      <c r="G1958" s="19" t="inlineStr">
        <is>
          <t>https://lb.affilae.com/r/?p=643faf32803f8b136b097905&amp;af=478&amp;lp=https%3A%2F%2Ffranklinpetfood.com%2Fproducts%2Fdinde-saumon-canneberge%3Futm_source%3DAffilae%26utm_medium%3DReferral%26utm_campaign%3DLemrock%26utm_content%3DLLM</t>
        </is>
      </c>
      <c r="H1958" s="20" t="n">
        <v>184</v>
      </c>
      <c r="I1958" s="20" t="n">
        <v>1</v>
      </c>
      <c r="J1958" s="21">
        <f>IF(H1958=0,0,I1958/H1958)</f>
        <v/>
      </c>
    </row>
    <row r="1959">
      <c r="A1959" s="17" t="inlineStr">
        <is>
          <t>Franklin Pet Food</t>
        </is>
      </c>
      <c r="B1959" s="17" t="inlineStr">
        <is>
          <t>Terminé</t>
        </is>
      </c>
      <c r="C1959" s="17" t="inlineStr">
        <is>
          <t>Franklin Ventes</t>
        </is>
      </c>
      <c r="D1959" s="17" t="inlineStr">
        <is>
          <t>Alimentation chien</t>
        </is>
      </c>
      <c r="E1959" s="18" t="inlineStr">
        <is>
          <t>Croquettes Chien Saumon Sans Céréales - 20% de réduction</t>
        </is>
      </c>
      <c r="F1959" s="17" t="inlineStr">
        <is>
          <t>Riches en protéines de haute qualité et en oméga-3, les croquettes au saumon constituent un aliment complet pour prendre soin de votre chien au quotidien.</t>
        </is>
      </c>
      <c r="G1959" s="19" t="inlineStr">
        <is>
          <t>https://lb.affilae.com/r/?p=643faf32803f8b136b097905&amp;af=478&amp;lp=https%3A%2F%2Ffranklinpetfood.com%2Fproducts%2Fsaumon-truite-persil%3Futm_source%3DAffilae%26utm_medium%3DReferral%26utm_campaign%3DLemrock%26utm_content%3DLLM</t>
        </is>
      </c>
      <c r="H1959" s="20" t="n">
        <v>182</v>
      </c>
      <c r="I1959" s="20" t="n">
        <v>2</v>
      </c>
      <c r="J1959" s="21">
        <f>IF(H1959=0,0,I1959/H1959)</f>
        <v/>
      </c>
    </row>
    <row r="1960">
      <c r="A1960" s="17" t="inlineStr">
        <is>
          <t>Franklin Pet Food</t>
        </is>
      </c>
      <c r="B1960" s="17" t="inlineStr">
        <is>
          <t>Terminé</t>
        </is>
      </c>
      <c r="C1960" s="17" t="inlineStr">
        <is>
          <t>Franklin Ventes</t>
        </is>
      </c>
      <c r="D1960" s="17" t="inlineStr">
        <is>
          <t>Accessoires et compléments</t>
        </is>
      </c>
      <c r="E1960" s="18" t="inlineStr">
        <is>
          <t>Jouet tournesol à l'herbe à chat - Franklin</t>
        </is>
      </c>
      <c r="F1960" s="17" t="inlineStr">
        <is>
          <t>Stimulez l'instinct de jeu de votre chat avec notre tournesol à l'herbe à chat. Idéal pour le divertir et l'aider à se dépenser.</t>
        </is>
      </c>
      <c r="G1960" s="19" t="inlineStr">
        <is>
          <t>https://lb.affilae.com/r/?p=643faf32803f8b136b097905&amp;af=478&amp;lp=https%3A%2F%2Ffranklinpetfood.com%2Fproducts%2Fjouet-tournesol-chat%3Futm_source%3DAffilae%26utm_medium%3DReferral%26utm_campaign%3DLemrock%26utm_content%3DLLM</t>
        </is>
      </c>
      <c r="H1960" s="20" t="n">
        <v>181</v>
      </c>
      <c r="I1960" s="20" t="n">
        <v>2</v>
      </c>
      <c r="J1960" s="21">
        <f>IF(H1960=0,0,I1960/H1960)</f>
        <v/>
      </c>
    </row>
    <row r="1961">
      <c r="A1961" s="17" t="inlineStr">
        <is>
          <t>Franklin Pet Food</t>
        </is>
      </c>
      <c r="B1961" s="17" t="inlineStr">
        <is>
          <t>Terminé</t>
        </is>
      </c>
      <c r="C1961" s="17" t="inlineStr">
        <is>
          <t>Franklin Ventes</t>
        </is>
      </c>
      <c r="D1961" s="17" t="inlineStr">
        <is>
          <t>Alimentation chien</t>
        </is>
      </c>
      <c r="E1961" s="18" t="inlineStr">
        <is>
          <t>Croquettes pour Chien Senior - Dinde, Courge, Poire</t>
        </is>
      </c>
      <c r="F1961" s="17" t="inlineStr">
        <is>
          <t>Laissez les problèmes de digestion et les allergies alimentaires derrière vous. Avec les croquettes à la Dinde, choisissez le meilleur pour votre chien senior. Adieu problème</t>
        </is>
      </c>
      <c r="G1961" s="19" t="inlineStr">
        <is>
          <t>https://lb.affilae.com/r/?p=643faf32803f8b136b097905&amp;af=478&amp;lp=https%3A%2F%2Ffranklinpetfood.com%2Fproducts%2Fdinde-courge-poire%3Futm_source%3DAffilae%26utm_medium%3DReferral%26utm_campaign%3DLemrock%26utm_content%3DLLM</t>
        </is>
      </c>
      <c r="H1961" s="20" t="n">
        <v>176</v>
      </c>
      <c r="I1961" s="20" t="n">
        <v>0</v>
      </c>
      <c r="J1961" s="21">
        <f>IF(H1961=0,0,I1961/H1961)</f>
        <v/>
      </c>
    </row>
    <row r="1962">
      <c r="A1962" s="17" t="inlineStr">
        <is>
          <t>Franklin Pet Food</t>
        </is>
      </c>
      <c r="B1962" s="17" t="inlineStr">
        <is>
          <t>Terminé</t>
        </is>
      </c>
      <c r="C1962" s="17" t="inlineStr">
        <is>
          <t>Franklin Ventes</t>
        </is>
      </c>
      <c r="D1962" s="17" t="inlineStr">
        <is>
          <t>Alimentation chat</t>
        </is>
      </c>
      <c r="E1962" s="18" t="inlineStr">
        <is>
          <t>Croquette Chat saumon - 20% de réduction – Franklin</t>
        </is>
      </c>
      <c r="F1962" s="17" t="inlineStr">
        <is>
          <t>Aliment complet pour chat adulte stérilisé : des croquettes avec 70% de saumon et des ingrédients naturels. Un pelage soyeux et une peau saine.</t>
        </is>
      </c>
      <c r="G1962" s="19" t="inlineStr">
        <is>
          <t>https://lb.affilae.com/r/?p=643faf32803f8b136b097905&amp;af=478&amp;lp=https%3A%2F%2Ffranklinpetfood.com%2Fproducts%2Fsaumon-courge-camomille%3Futm_source%3DAffilae%26utm_medium%3DReferral%26utm_campaign%3DLemrock%26utm_content%3DLLM</t>
        </is>
      </c>
      <c r="H1962" s="20" t="n">
        <v>174</v>
      </c>
      <c r="I1962" s="20" t="n">
        <v>1</v>
      </c>
      <c r="J1962" s="21">
        <f>IF(H1962=0,0,I1962/H1962)</f>
        <v/>
      </c>
    </row>
    <row r="1963">
      <c r="A1963" s="17" t="inlineStr">
        <is>
          <t>Franklin Pet Food</t>
        </is>
      </c>
      <c r="B1963" s="17" t="inlineStr">
        <is>
          <t>Terminé</t>
        </is>
      </c>
      <c r="C1963" s="17" t="inlineStr">
        <is>
          <t>Franklin Ventes</t>
        </is>
      </c>
      <c r="D1963" s="17" t="inlineStr">
        <is>
          <t>Accessoires et compléments</t>
        </is>
      </c>
      <c r="E1963" s="18" t="inlineStr">
        <is>
          <t>Huile de chanvre biologique pour chien : 20% de réduction</t>
        </is>
      </c>
      <c r="F1963" s="17" t="inlineStr">
        <is>
          <t>Découvrez notre huile de chanvre pour chien bio et pressée à froid. Renforce l'immunité, la santé de la peau et du pelage, les articulations et régule le stress.</t>
        </is>
      </c>
      <c r="G1963" s="19" t="inlineStr">
        <is>
          <t>https://lb.affilae.com/r/?p=643faf32803f8b136b097905&amp;af=478&amp;lp=https%3A%2F%2Ffranklinpetfood.com%2Fproducts%2Fhuile-de-chanvre%3Futm_source%3DAffilae%26utm_medium%3DReferral%26utm_campaign%3DLemrock%26utm_content%3DLLM</t>
        </is>
      </c>
      <c r="H1963" s="20" t="n">
        <v>170</v>
      </c>
      <c r="I1963" s="20" t="n">
        <v>0</v>
      </c>
      <c r="J1963" s="21">
        <f>IF(H1963=0,0,I1963/H1963)</f>
        <v/>
      </c>
    </row>
    <row r="1964">
      <c r="A1964" s="17" t="inlineStr">
        <is>
          <t>Franklin Pet Food</t>
        </is>
      </c>
      <c r="B1964" s="17" t="inlineStr">
        <is>
          <t>Terminé</t>
        </is>
      </c>
      <c r="C1964" s="17" t="inlineStr">
        <is>
          <t>Franklin Ventes</t>
        </is>
      </c>
      <c r="D1964" s="17" t="inlineStr">
        <is>
          <t>Accessoires et compléments</t>
        </is>
      </c>
      <c r="E1964" s="18" t="inlineStr">
        <is>
          <t>Franklin Cup : gourde isotherme avec paille intégrée</t>
        </is>
      </c>
      <c r="F1964" s="17" t="inlineStr">
        <is>
          <t>Gardez vos boissons fraîches plus longtemps avec la Franklin Cup, une gourde isotherme pratique à emporter partout.</t>
        </is>
      </c>
      <c r="G1964" s="19" t="inlineStr">
        <is>
          <t>https://lb.affilae.com/r/?p=643faf32803f8b136b097905&amp;af=478&amp;lp=https%3A%2F%2Ffranklinpetfood.com%2Fproducts%2Ffranklin-cup%3Futm_source%3DAffilae%26utm_medium%3DReferral%26utm_campaign%3DLemrock%26utm_content%3DLLM</t>
        </is>
      </c>
      <c r="H1964" s="20" t="n">
        <v>165</v>
      </c>
      <c r="I1964" s="20" t="n">
        <v>1</v>
      </c>
      <c r="J1964" s="21">
        <f>IF(H1964=0,0,I1964/H1964)</f>
        <v/>
      </c>
    </row>
    <row r="1965">
      <c r="A1965" s="17" t="inlineStr">
        <is>
          <t>Franklin Pet Food</t>
        </is>
      </c>
      <c r="B1965" s="17" t="inlineStr">
        <is>
          <t>Terminé</t>
        </is>
      </c>
      <c r="C1965" s="17" t="inlineStr">
        <is>
          <t>Franklin Ventes</t>
        </is>
      </c>
      <c r="D1965" s="17" t="inlineStr">
        <is>
          <t>Alimentation chien</t>
        </is>
      </c>
      <c r="E1965" s="18" t="inlineStr">
        <is>
          <t>Pack découverte pour chien : recettes riches en viande</t>
        </is>
      </c>
      <c r="F1965" s="17" t="inlineStr">
        <is>
          <t>Découvrez notre pack découverte pour régaler votre chien avec tous les bestsellers Franklin !</t>
        </is>
      </c>
      <c r="G1965" s="19" t="inlineStr">
        <is>
          <t>https://lb.affilae.com/r/?p=643faf32803f8b136b097905&amp;af=478&amp;lp=https%3A%2F%2Ffranklinpetfood.com%2Fproducts%2Fpack-decouverte-chien-v2%3Futm_source%3DAffilae%26utm_medium%3DReferral%26utm_campaign%3DLemrock%26utm_content%3DLLM</t>
        </is>
      </c>
      <c r="H1965" s="20" t="n">
        <v>164</v>
      </c>
      <c r="I1965" s="20" t="n">
        <v>1</v>
      </c>
      <c r="J1965" s="21">
        <f>IF(H1965=0,0,I1965/H1965)</f>
        <v/>
      </c>
    </row>
    <row r="1966">
      <c r="A1966" s="17" t="inlineStr">
        <is>
          <t>Franklin Pet Food</t>
        </is>
      </c>
      <c r="B1966" s="17" t="inlineStr">
        <is>
          <t>Terminé</t>
        </is>
      </c>
      <c r="C1966" s="17" t="inlineStr">
        <is>
          <t>Franklin Ventes</t>
        </is>
      </c>
      <c r="D1966" s="17" t="inlineStr">
        <is>
          <t>Alimentation chat</t>
        </is>
      </c>
      <c r="E1966" s="18" t="inlineStr">
        <is>
          <t>Lot découverte pâtée chat - 3 saveurs hypoallergéniques</t>
        </is>
      </c>
      <c r="F1966" s="17" t="inlineStr">
        <is>
          <t>Avis aux sensibles à moustaches et aux gourmets ! Notre pack découverte de trois filets avec 75% de vrais filets de viande ou de poisson (3x70g) a tout pour plaire. Des filets au</t>
        </is>
      </c>
      <c r="G1966" s="19" t="inlineStr">
        <is>
          <t>https://lb.affilae.com/r/?p=643faf32803f8b136b097905&amp;af=478&amp;lp=https%3A%2F%2Ffranklinpetfood.com%2Fproducts%2Ftrio-decouverte-filets-chat%3Futm_source%3DAffilae%26utm_medium%3DReferral%26utm_campaign%3DLemrock%26utm_content%3DLLM</t>
        </is>
      </c>
      <c r="H1966" s="20" t="n">
        <v>156</v>
      </c>
      <c r="I1966" s="20" t="n">
        <v>1</v>
      </c>
      <c r="J1966" s="21">
        <f>IF(H1966=0,0,I1966/H1966)</f>
        <v/>
      </c>
    </row>
    <row r="1967">
      <c r="A1967" s="17" t="inlineStr">
        <is>
          <t>Franklin Pet Food</t>
        </is>
      </c>
      <c r="B1967" s="17" t="inlineStr">
        <is>
          <t>Terminé</t>
        </is>
      </c>
      <c r="C1967" s="17" t="inlineStr">
        <is>
          <t>Franklin Ventes</t>
        </is>
      </c>
      <c r="D1967" s="17" t="inlineStr">
        <is>
          <t>Alimentation chat</t>
        </is>
      </c>
      <c r="E1967" s="18" t="inlineStr">
        <is>
          <t>Croquette chat probleme urinaire- chat stérilisé CANARD</t>
        </is>
      </c>
      <c r="F1967" s="17" t="inlineStr">
        <is>
          <t>Découvrez notre recette de croquettes pour chat sans céréales au canard. Elle est mono-protéine et adaptée aux chats sensibles. Elle contient du canard, une viande peu allergène</t>
        </is>
      </c>
      <c r="G1967" s="19" t="inlineStr">
        <is>
          <t>https://lb.affilae.com/r/?p=643faf32803f8b136b097905&amp;af=478&amp;lp=https%3A%2F%2Ffranklinpetfood.com%2Fproducts%2Fcanard-courge-camomille%3Futm_source%3DAffilae%26utm_medium%3DReferral%26utm_campaign%3DLemrock%26utm_content%3DLLM</t>
        </is>
      </c>
      <c r="H1967" s="20" t="n">
        <v>156</v>
      </c>
      <c r="I1967" s="20" t="n">
        <v>1</v>
      </c>
      <c r="J1967" s="21">
        <f>IF(H1967=0,0,I1967/H1967)</f>
        <v/>
      </c>
    </row>
    <row r="1968">
      <c r="A1968" s="17" t="inlineStr">
        <is>
          <t>Franklin Pet Food</t>
        </is>
      </c>
      <c r="B1968" s="17" t="inlineStr">
        <is>
          <t>Terminé</t>
        </is>
      </c>
      <c r="C1968" s="17" t="inlineStr">
        <is>
          <t>Franklin Ventes</t>
        </is>
      </c>
      <c r="D1968" s="17" t="inlineStr">
        <is>
          <t>Alimentation chien</t>
        </is>
      </c>
      <c r="E1968" s="18" t="inlineStr">
        <is>
          <t>Croquettes Sans Céréales pour Chiot - Poulet, Saumon</t>
        </is>
      </c>
      <c r="F1968" s="17" t="inlineStr">
        <is>
          <t>Les chiots aussi ont le droit à un bon transit ! Fini les allergies et les problèmes de digestion avec les croquettes au Poulet et au Saumon. Le meilleur des croquettes pour chiot</t>
        </is>
      </c>
      <c r="G1968" s="19" t="inlineStr">
        <is>
          <t>https://lb.affilae.com/r/?p=643faf32803f8b136b097905&amp;af=478&amp;lp=https%3A%2F%2Ffranklinpetfood.com%2Fproducts%2Fpoulet-saumon-fenouil%3Futm_source%3DAffilae%26utm_medium%3DReferral%26utm_campaign%3DLemrock%26utm_content%3DLLM</t>
        </is>
      </c>
      <c r="H1968" s="20" t="n">
        <v>153</v>
      </c>
      <c r="I1968" s="20" t="n">
        <v>2</v>
      </c>
      <c r="J1968" s="21">
        <f>IF(H1968=0,0,I1968/H1968)</f>
        <v/>
      </c>
    </row>
    <row r="1969">
      <c r="A1969" s="17" t="inlineStr">
        <is>
          <t>Franklin Pet Food</t>
        </is>
      </c>
      <c r="B1969" s="17" t="inlineStr">
        <is>
          <t>Terminé</t>
        </is>
      </c>
      <c r="C1969" s="17" t="inlineStr">
        <is>
          <t>Franklin Ventes</t>
        </is>
      </c>
      <c r="D1969" s="17" t="inlineStr">
        <is>
          <t>Alimentation chien</t>
        </is>
      </c>
      <c r="E1969" s="18" t="inlineStr">
        <is>
          <t>Croquettes chien light - Recettes allégées, sans ingrédient</t>
        </is>
      </c>
      <c r="F1969" s="17" t="inlineStr">
        <is>
          <t>Des recettes formulées par des nutritionnistes pour garder votre chien en bonne santé : moins de graisses, plus de fibres, 0 ingrédient caché.</t>
        </is>
      </c>
      <c r="G1969" s="19" t="inlineStr">
        <is>
          <t>https://lb.affilae.com/r/?p=643faf32803f8b136b097905&amp;af=478&amp;lp=https%3A%2F%2Ffranklinpetfood.com%2Fproducts%2Fpack-surpoids-chien%3Futm_source%3DAffilae%26utm_medium%3DReferral%26utm_campaign%3DLemrock%26utm_content%3DLLM</t>
        </is>
      </c>
      <c r="H1969" s="20" t="n">
        <v>153</v>
      </c>
      <c r="I1969" s="20" t="n">
        <v>1</v>
      </c>
      <c r="J1969" s="21">
        <f>IF(H1969=0,0,I1969/H1969)</f>
        <v/>
      </c>
    </row>
    <row r="1970">
      <c r="A1970" s="17" t="inlineStr">
        <is>
          <t>Franklin Pet Food</t>
        </is>
      </c>
      <c r="B1970" s="17" t="inlineStr">
        <is>
          <t>Terminé</t>
        </is>
      </c>
      <c r="C1970" s="17" t="inlineStr">
        <is>
          <t>Franklin Ventes</t>
        </is>
      </c>
      <c r="D1970" s="17" t="inlineStr">
        <is>
          <t>Alimentation chien</t>
        </is>
      </c>
      <c r="E1970" s="18" t="inlineStr">
        <is>
          <t>Pâtée chien POULET, FRAMBOISE, ORIGAN - pâtée chien sans</t>
        </is>
      </c>
      <c r="F1970" s="17" t="inlineStr">
        <is>
          <t>Plutôt l'aile ou la cuisse ? Peu importe ! Notre pâtée mono-protéine contient 70% de poulet pour faire plaisir aux fans de volailles ! Formulée avec des prébiotiques et de</t>
        </is>
      </c>
      <c r="G1970" s="19" t="inlineStr">
        <is>
          <t>https://lb.affilae.com/r/?p=643faf32803f8b136b097905&amp;af=478&amp;lp=https%3A%2F%2Ffranklinpetfood.com%2Fproducts%2Fpoulet-framboise-origan%3Futm_source%3DAffilae%26utm_medium%3DReferral%26utm_campaign%3DLemrock%26utm_content%3DLLM</t>
        </is>
      </c>
      <c r="H1970" s="20" t="n">
        <v>151</v>
      </c>
      <c r="I1970" s="20" t="n">
        <v>1</v>
      </c>
      <c r="J1970" s="21">
        <f>IF(H1970=0,0,I1970/H1970)</f>
        <v/>
      </c>
    </row>
    <row r="1971">
      <c r="A1971" s="17" t="inlineStr">
        <is>
          <t>Franklin Pet Food</t>
        </is>
      </c>
      <c r="B1971" s="17" t="inlineStr">
        <is>
          <t>Terminé</t>
        </is>
      </c>
      <c r="C1971" s="17" t="inlineStr">
        <is>
          <t>Franklin Ventes</t>
        </is>
      </c>
      <c r="D1971" s="17" t="inlineStr">
        <is>
          <t>Alimentation chat</t>
        </is>
      </c>
      <c r="E1971" s="18" t="inlineStr">
        <is>
          <t>Croquettes chat Poulet chat stérilisé - 20% de réduction</t>
        </is>
      </c>
      <c r="F1971" s="17" t="inlineStr">
        <is>
          <t>Une recette allégée pauvre en matières grasses pour chat stérilisé au Poulet.</t>
        </is>
      </c>
      <c r="G1971" s="19" t="inlineStr">
        <is>
          <t>https://lb.affilae.com/r/?p=643faf32803f8b136b097905&amp;af=478&amp;lp=https%3A%2F%2Ffranklinpetfood.com%2Fproducts%2Fpoulet-courge-cranberry%3Futm_source%3DAffilae%26utm_medium%3DReferral%26utm_campaign%3DLemrock%26utm_content%3DLLM</t>
        </is>
      </c>
      <c r="H1971" s="20" t="n">
        <v>151</v>
      </c>
      <c r="I1971" s="20" t="n">
        <v>0</v>
      </c>
      <c r="J1971" s="21">
        <f>IF(H1971=0,0,I1971/H1971)</f>
        <v/>
      </c>
    </row>
    <row r="1972">
      <c r="A1972" s="17" t="inlineStr">
        <is>
          <t>Franklin Pet Food</t>
        </is>
      </c>
      <c r="B1972" s="17" t="inlineStr">
        <is>
          <t>Terminé</t>
        </is>
      </c>
      <c r="C1972" s="17" t="inlineStr">
        <is>
          <t>Franklin Ventes</t>
        </is>
      </c>
      <c r="D1972" s="17" t="inlineStr">
        <is>
          <t>Friandises et snacks</t>
        </is>
      </c>
      <c r="E1972" s="18" t="inlineStr">
        <is>
          <t>Friandises lyophilisées au saumon pour chat - Franklin</t>
        </is>
      </c>
      <c r="F1972" s="17" t="inlineStr">
        <is>
          <t>Des friandises lyophilisées pour chat, élaborées avec un seul ingrédient : du saumon. Riches en protéines et en oméga-3.</t>
        </is>
      </c>
      <c r="G1972" s="19" t="inlineStr">
        <is>
          <t>https://lb.affilae.com/r/?p=643faf32803f8b136b097905&amp;af=478&amp;lp=https%3A%2F%2Ffranklinpetfood.com%2Fproducts%2Fsnack-saumon-chat%3Futm_source%3DAffilae%26utm_medium%3DReferral%26utm_campaign%3DLemrock%26utm_content%3DLLM</t>
        </is>
      </c>
      <c r="H1972" s="20" t="n">
        <v>148</v>
      </c>
      <c r="I1972" s="20" t="n">
        <v>3</v>
      </c>
      <c r="J1972" s="21">
        <f>IF(H1972=0,0,I1972/H1972)</f>
        <v/>
      </c>
    </row>
    <row r="1973">
      <c r="A1973" s="17" t="inlineStr">
        <is>
          <t>Franklin Pet Food</t>
        </is>
      </c>
      <c r="B1973" s="17" t="inlineStr">
        <is>
          <t>Terminé</t>
        </is>
      </c>
      <c r="C1973" s="17" t="inlineStr">
        <is>
          <t>Franklin Ventes</t>
        </is>
      </c>
      <c r="D1973" s="17" t="inlineStr">
        <is>
          <t>Accessoires et compléments</t>
        </is>
      </c>
      <c r="E1973" s="18" t="inlineStr">
        <is>
          <t>Huile de saumon pour chat : 20% de réduction – Franklin</t>
        </is>
      </c>
      <c r="F1973" s="17" t="inlineStr">
        <is>
          <t>Découvrez notre huile de saumon pour prendre soin de la santé de votre chat. Un complément alimentaire riche en acides gras oméga-3.</t>
        </is>
      </c>
      <c r="G1973" s="19" t="inlineStr">
        <is>
          <t>https://lb.affilae.com/r/?p=643faf32803f8b136b097905&amp;af=478&amp;lp=https%3A%2F%2Ffranklinpetfood.com%2Fproducts%2Fcomplement-elixir-felin%3Futm_source%3DAffilae%26utm_medium%3DReferral%26utm_campaign%3DLemrock%26utm_content%3DLLM</t>
        </is>
      </c>
      <c r="H1973" s="20" t="n">
        <v>148</v>
      </c>
      <c r="I1973" s="20" t="n">
        <v>2</v>
      </c>
      <c r="J1973" s="21">
        <f>IF(H1973=0,0,I1973/H1973)</f>
        <v/>
      </c>
    </row>
    <row r="1974">
      <c r="A1974" s="17" t="inlineStr">
        <is>
          <t>Franklin Pet Food</t>
        </is>
      </c>
      <c r="B1974" s="17" t="inlineStr">
        <is>
          <t>Terminé</t>
        </is>
      </c>
      <c r="C1974" s="17" t="inlineStr">
        <is>
          <t>Franklin Ventes</t>
        </is>
      </c>
      <c r="D1974" s="17" t="inlineStr">
        <is>
          <t>Alimentation chien</t>
        </is>
      </c>
      <c r="E1974" s="18" t="inlineStr">
        <is>
          <t>Croquettes pour Chien à l'agneau - Alimentation digestion</t>
        </is>
      </c>
      <c r="F1974" s="17" t="inlineStr">
        <is>
          <t>Une recette équilibrée riche en agneau pour les chiens adultes avec des sensibilités digestives et des problèmes de transit.</t>
        </is>
      </c>
      <c r="G1974" s="19" t="inlineStr">
        <is>
          <t>https://lb.affilae.com/r/?p=643faf32803f8b136b097905&amp;af=478&amp;lp=https%3A%2F%2Ffranklinpetfood.com%2Fproducts%2Fcroquettes-chien-adulte-digestion-sensible%3Futm_source%3DAffilae%26utm_medium%3DReferral%26utm_campaign%3DLemrock%26utm_content%3DLLM</t>
        </is>
      </c>
      <c r="H1974" s="20" t="n">
        <v>147</v>
      </c>
      <c r="I1974" s="20" t="n">
        <v>1</v>
      </c>
      <c r="J1974" s="21">
        <f>IF(H1974=0,0,I1974/H1974)</f>
        <v/>
      </c>
    </row>
    <row r="1975">
      <c r="A1975" s="17" t="inlineStr">
        <is>
          <t>Franklin Pet Food</t>
        </is>
      </c>
      <c r="B1975" s="17" t="inlineStr">
        <is>
          <t>Terminé</t>
        </is>
      </c>
      <c r="C1975" s="17" t="inlineStr">
        <is>
          <t>Franklin Ventes</t>
        </is>
      </c>
      <c r="D1975" s="17" t="inlineStr">
        <is>
          <t>Alimentation chien</t>
        </is>
      </c>
      <c r="E1975" s="18" t="inlineStr">
        <is>
          <t>Croquettes pour Chien au poulet - 20% de réduction</t>
        </is>
      </c>
      <c r="F1975" s="17" t="inlineStr">
        <is>
          <t>Des croquettes adaptées aux chiens adultes stérilisés formulées pour soutenir la digestion au quotidien. Franklin la meilleure marque d'alimentation pour chien.</t>
        </is>
      </c>
      <c r="G1975" s="19" t="inlineStr">
        <is>
          <t>https://lb.affilae.com/r/?p=643faf32803f8b136b097905&amp;af=478&amp;lp=https%3A%2F%2Ffranklinpetfood.com%2Fproducts%2Fpoulet-courge-myrtille%3Futm_source%3DAffilae%26utm_medium%3DReferral%26utm_campaign%3DLemrock%26utm_content%3DLLM</t>
        </is>
      </c>
      <c r="H1975" s="20" t="n">
        <v>145</v>
      </c>
      <c r="I1975" s="20" t="n">
        <v>2</v>
      </c>
      <c r="J1975" s="21">
        <f>IF(H1975=0,0,I1975/H1975)</f>
        <v/>
      </c>
    </row>
    <row r="1976">
      <c r="A1976" s="17" t="inlineStr">
        <is>
          <t>Franklin Pet Food</t>
        </is>
      </c>
      <c r="B1976" s="17" t="inlineStr">
        <is>
          <t>Terminé</t>
        </is>
      </c>
      <c r="C1976" s="17" t="inlineStr">
        <is>
          <t>Franklin Ventes</t>
        </is>
      </c>
      <c r="D1976" s="17" t="inlineStr">
        <is>
          <t>Friandises et snacks</t>
        </is>
      </c>
      <c r="E1976" s="18" t="inlineStr">
        <is>
          <t>MINI TUBES CRÉMEUX AU POISSON - Franklin</t>
        </is>
      </c>
      <c r="F1976" s="17" t="inlineStr">
        <is>
          <t>Cap sur un été iodé avec notre Sélection Grand Large ! Au menu 3 nouvelles recettes inspirées des saveurs de la mer : Maquereau &amp; Sardine, Thon &amp; Crevette, et Thon &amp; Pétoncle. Un</t>
        </is>
      </c>
      <c r="G1976" s="19" t="inlineStr">
        <is>
          <t>https://lb.affilae.com/r/?p=643faf32803f8b136b097905&amp;af=478&amp;lp=https%3A%2F%2Ffranklinpetfood.com%2Fproducts%2Fselection-grand-large%3Futm_source%3DAffilae%26utm_medium%3DReferral%26utm_campaign%3DLemrock%26utm_content%3DLLM</t>
        </is>
      </c>
      <c r="H1976" s="20" t="n">
        <v>140</v>
      </c>
      <c r="I1976" s="20" t="n">
        <v>0</v>
      </c>
      <c r="J1976" s="21">
        <f>IF(H1976=0,0,I1976/H1976)</f>
        <v/>
      </c>
    </row>
    <row r="1977">
      <c r="A1977" s="17" t="inlineStr">
        <is>
          <t>Franklin Pet Food</t>
        </is>
      </c>
      <c r="B1977" s="17" t="inlineStr">
        <is>
          <t>Terminé</t>
        </is>
      </c>
      <c r="C1977" s="17" t="inlineStr">
        <is>
          <t>Franklin Ventes</t>
        </is>
      </c>
      <c r="D1977" s="17" t="inlineStr">
        <is>
          <t>Alimentation chat</t>
        </is>
      </c>
      <c r="E1977" s="18" t="inlineStr">
        <is>
          <t>Croquette chat Saumon, Poulet, Thon - croquette chat</t>
        </is>
      </c>
      <c r="F1977" s="17" t="inlineStr">
        <is>
          <t>Fini les kilos en trop ! Avec ces recettes légères pour chat stérilisé au Poulet, prenez soin de la santé de votre chat et évitez son surpoids. Adaptées à tous les chats, que ce</t>
        </is>
      </c>
      <c r="G1977" s="19" t="inlineStr">
        <is>
          <t>https://lb.affilae.com/r/?p=643faf32803f8b136b097905&amp;af=478&amp;lp=https%3A%2F%2Ffranklinpetfood.com%2Fproducts%2Fpoulet-thon-saumon%3Futm_source%3DAffilae%26utm_medium%3DReferral%26utm_campaign%3DLemrock%26utm_content%3DLLM</t>
        </is>
      </c>
      <c r="H1977" s="20" t="n">
        <v>135</v>
      </c>
      <c r="I1977" s="20" t="n">
        <v>1</v>
      </c>
      <c r="J1977" s="21">
        <f>IF(H1977=0,0,I1977/H1977)</f>
        <v/>
      </c>
    </row>
    <row r="1978">
      <c r="A1978" s="17" t="inlineStr">
        <is>
          <t>Franklin Pet Food</t>
        </is>
      </c>
      <c r="B1978" s="17" t="inlineStr">
        <is>
          <t>Terminé</t>
        </is>
      </c>
      <c r="C1978" s="17" t="inlineStr">
        <is>
          <t>Franklin Ventes</t>
        </is>
      </c>
      <c r="D1978" s="17" t="inlineStr">
        <is>
          <t>Alimentation chat</t>
        </is>
      </c>
      <c r="E1978" s="18" t="inlineStr">
        <is>
          <t>Croquettes chat stérilisé - Croquettes chat AGNEAU, DINDE</t>
        </is>
      </c>
      <c r="F1978" s="17" t="inlineStr">
        <is>
          <t>Découvrez notre croquettes pour chat stérilisé sans céréales à l'agneau et à la dinde. Riches en protéines et pauvres en glucides, elles contribuent à maintenir votre chat à son</t>
        </is>
      </c>
      <c r="G1978" s="19" t="inlineStr">
        <is>
          <t>https://lb.affilae.com/r/?p=643faf32803f8b136b097905&amp;af=478&amp;lp=https%3A%2F%2Ffranklinpetfood.com%2Fproducts%2Fagneau-dinde-valeriane%3Futm_source%3DAffilae%26utm_medium%3DReferral%26utm_campaign%3DLemrock%26utm_content%3DLLM</t>
        </is>
      </c>
      <c r="H1978" s="20" t="n">
        <v>134</v>
      </c>
      <c r="I1978" s="20" t="n">
        <v>0</v>
      </c>
      <c r="J1978" s="21">
        <f>IF(H1978=0,0,I1978/H1978)</f>
        <v/>
      </c>
    </row>
    <row r="1979">
      <c r="A1979" s="17" t="inlineStr">
        <is>
          <t>Franklin Pet Food</t>
        </is>
      </c>
      <c r="B1979" s="17" t="inlineStr">
        <is>
          <t>Terminé</t>
        </is>
      </c>
      <c r="C1979" s="17" t="inlineStr">
        <is>
          <t>Franklin Ventes</t>
        </is>
      </c>
      <c r="D1979" s="17" t="inlineStr">
        <is>
          <t>Friandises et snacks</t>
        </is>
      </c>
      <c r="E1979" s="18" t="inlineStr">
        <is>
          <t>Friandises de dressage pour chien à l'agneau : 20% de</t>
        </is>
      </c>
      <c r="F1979" s="17" t="inlineStr">
        <is>
          <t>Des friandises naturelles éducatives pour récompenser votre chien et améliorer sa motivation. Riches en viande et peu caloriques.</t>
        </is>
      </c>
      <c r="G1979" s="19" t="inlineStr">
        <is>
          <t>https://lb.affilae.com/r/?p=643faf32803f8b136b097905&amp;af=478&amp;lp=https%3A%2F%2Ffranklinpetfood.com%2Fproducts%2Ffriandises-de-dressage-a-lagneau%3Futm_source%3DAffilae%26utm_medium%3DReferral%26utm_campaign%3DLemrock%26utm_content%3DLLM</t>
        </is>
      </c>
      <c r="H1979" s="20" t="n">
        <v>133</v>
      </c>
      <c r="I1979" s="20" t="n">
        <v>3</v>
      </c>
      <c r="J1979" s="21">
        <f>IF(H1979=0,0,I1979/H1979)</f>
        <v/>
      </c>
    </row>
    <row r="1980">
      <c r="A1980" s="17" t="inlineStr">
        <is>
          <t>Franklin Pet Food</t>
        </is>
      </c>
      <c r="B1980" s="17" t="inlineStr">
        <is>
          <t>Terminé</t>
        </is>
      </c>
      <c r="C1980" s="17" t="inlineStr">
        <is>
          <t>Franklin Ventes</t>
        </is>
      </c>
      <c r="D1980" s="17" t="inlineStr">
        <is>
          <t>Alimentation chien</t>
        </is>
      </c>
      <c r="E1980" s="18" t="inlineStr">
        <is>
          <t>Croquettes au canard pour Chien Sensible - 20% de réduction</t>
        </is>
      </c>
      <c r="F1980" s="17" t="inlineStr">
        <is>
          <t>Aliment hautement digestible pour les chiens adulte de toutes tailles et de toutes races. Formulés avec des ingrédients naturels et 70% de canard.</t>
        </is>
      </c>
      <c r="G1980" s="19" t="inlineStr">
        <is>
          <t>https://lb.affilae.com/r/?p=643faf32803f8b136b097905&amp;af=478&amp;lp=https%3A%2F%2Ffranklinpetfood.com%2Fproducts%2Fcanard-pomme-carotte%3Futm_source%3DAffilae%26utm_medium%3DReferral%26utm_campaign%3DLemrock%26utm_content%3DLLM</t>
        </is>
      </c>
      <c r="H1980" s="20" t="n">
        <v>131</v>
      </c>
      <c r="I1980" s="20" t="n">
        <v>0</v>
      </c>
      <c r="J1980" s="21">
        <f>IF(H1980=0,0,I1980/H1980)</f>
        <v/>
      </c>
    </row>
    <row r="1981">
      <c r="A1981" s="17" t="inlineStr">
        <is>
          <t>Franklin Pet Food</t>
        </is>
      </c>
      <c r="B1981" s="17" t="inlineStr">
        <is>
          <t>Terminé</t>
        </is>
      </c>
      <c r="C1981" s="17" t="inlineStr">
        <is>
          <t>Franklin Ventes</t>
        </is>
      </c>
      <c r="D1981" s="17" t="inlineStr">
        <is>
          <t>Alimentation chien</t>
        </is>
      </c>
      <c r="E1981" s="18" t="inlineStr">
        <is>
          <t>Croquettes au Boeuf pour chien - 20% de réduction – Franklin</t>
        </is>
      </c>
      <c r="F1981" s="17" t="inlineStr">
        <is>
          <t>Nos croquettes au boeuf de qualité supérieure aident à contrôler le poids de votre chien adulte. Préparées avec des ingrédients d'origine naturelle.</t>
        </is>
      </c>
      <c r="G1981" s="19" t="inlineStr">
        <is>
          <t>https://lb.affilae.com/r/?p=643faf32803f8b136b097905&amp;af=478&amp;lp=https%3A%2F%2Ffranklinpetfood.com%2Fproducts%2Fboeuf%3Futm_source%3DAffilae%26utm_medium%3DReferral%26utm_campaign%3DLemrock%26utm_content%3DLLM</t>
        </is>
      </c>
      <c r="H1981" s="20" t="n">
        <v>130</v>
      </c>
      <c r="I1981" s="20" t="n">
        <v>1</v>
      </c>
      <c r="J1981" s="21">
        <f>IF(H1981=0,0,I1981/H1981)</f>
        <v/>
      </c>
    </row>
    <row r="1982">
      <c r="A1982" s="17" t="inlineStr">
        <is>
          <t>Franklin Pet Food</t>
        </is>
      </c>
      <c r="B1982" s="17" t="inlineStr">
        <is>
          <t>Terminé</t>
        </is>
      </c>
      <c r="C1982" s="17" t="inlineStr">
        <is>
          <t>Franklin Ventes</t>
        </is>
      </c>
      <c r="D1982" s="17" t="inlineStr">
        <is>
          <t>Friandises et snacks</t>
        </is>
      </c>
      <c r="E1982" s="18" t="inlineStr">
        <is>
          <t>Friandises lyophilisées au saumon pour chien - Franklin</t>
        </is>
      </c>
      <c r="F1982" s="17" t="inlineStr">
        <is>
          <t>Offrez à votre chien une friandise lyophilisée élaborée à partir d’un seul ingrédient : le saumon. Riche en protéines et en oméga-3.</t>
        </is>
      </c>
      <c r="G1982" s="19" t="inlineStr">
        <is>
          <t>https://lb.affilae.com/r/?p=643faf32803f8b136b097905&amp;af=478&amp;lp=https%3A%2F%2Ffranklinpetfood.com%2Fproducts%2Fsnack-saumon-chien%3Futm_source%3DAffilae%26utm_medium%3DReferral%26utm_campaign%3DLemrock%26utm_content%3DLLM</t>
        </is>
      </c>
      <c r="H1982" s="20" t="n">
        <v>127</v>
      </c>
      <c r="I1982" s="20" t="n">
        <v>0</v>
      </c>
      <c r="J1982" s="21">
        <f>IF(H1982=0,0,I1982/H1982)</f>
        <v/>
      </c>
    </row>
    <row r="1983">
      <c r="A1983" s="17" t="inlineStr">
        <is>
          <t>Franklin Pet Food</t>
        </is>
      </c>
      <c r="B1983" s="17" t="inlineStr">
        <is>
          <t>Terminé</t>
        </is>
      </c>
      <c r="C1983" s="17" t="inlineStr">
        <is>
          <t>Franklin Ventes</t>
        </is>
      </c>
      <c r="D1983" s="17" t="inlineStr">
        <is>
          <t>Alimentation chien</t>
        </is>
      </c>
      <c r="E1983" s="18" t="inlineStr">
        <is>
          <t>Croquettes à la dinde pour Chien surpoids - 20% de</t>
        </is>
      </c>
      <c r="F1983" s="17" t="inlineStr">
        <is>
          <t>Aliment pauvre en matières grasses pour chien adulte en surpoids ou obèse. Formulé avec des ingrédients naturels et 64% de dinde.</t>
        </is>
      </c>
      <c r="G1983" s="19" t="inlineStr">
        <is>
          <t>https://lb.affilae.com/r/?p=643faf32803f8b136b097905&amp;af=478&amp;lp=https%3A%2F%2Ffranklinpetfood.com%2Fproducts%2Fdinde-patate-douce-epinards%3Futm_source%3DAffilae%26utm_medium%3DReferral%26utm_campaign%3DLemrock%26utm_content%3DLLM</t>
        </is>
      </c>
      <c r="H1983" s="20" t="n">
        <v>124</v>
      </c>
      <c r="I1983" s="20" t="n">
        <v>0</v>
      </c>
      <c r="J1983" s="21">
        <f>IF(H1983=0,0,I1983/H1983)</f>
        <v/>
      </c>
    </row>
    <row r="1984">
      <c r="A1984" s="17" t="inlineStr">
        <is>
          <t>Franklin Pet Food</t>
        </is>
      </c>
      <c r="B1984" s="17" t="inlineStr">
        <is>
          <t>Terminé</t>
        </is>
      </c>
      <c r="C1984" s="17" t="inlineStr">
        <is>
          <t>Franklin Ventes</t>
        </is>
      </c>
      <c r="D1984" s="17" t="inlineStr">
        <is>
          <t>Alimentation chat</t>
        </is>
      </c>
      <c r="E1984" s="18" t="inlineStr">
        <is>
          <t>Croquettes Sans Céréales pour Chaton - Poulet, Saumon</t>
        </is>
      </c>
      <c r="F1984" s="17" t="inlineStr">
        <is>
          <t>Tout pour sa croissance ! Avec ces croquettes pour chaton au Poulet et au Saumon, proposez le meilleur de l'alimentation à votre chaton. Une recette complète pour ses besoins</t>
        </is>
      </c>
      <c r="G1984" s="19" t="inlineStr">
        <is>
          <t>https://lb.affilae.com/r/?p=643faf32803f8b136b097905&amp;af=478&amp;lp=https%3A%2F%2Ffranklinpetfood.com%2Fproducts%2Fcroquettes-chaton-poulet-saumon-carotte%3Futm_source%3DAffilae%26utm_medium%3DReferral%26utm_campaign%3DLemrock%26utm_content%3DLLM</t>
        </is>
      </c>
      <c r="H1984" s="20" t="n">
        <v>117</v>
      </c>
      <c r="I1984" s="20" t="n">
        <v>2</v>
      </c>
      <c r="J1984" s="21">
        <f>IF(H1984=0,0,I1984/H1984)</f>
        <v/>
      </c>
    </row>
    <row r="1985">
      <c r="A1985" s="17" t="inlineStr">
        <is>
          <t>1001 Pneus</t>
        </is>
      </c>
      <c r="B1985" s="17" t="inlineStr">
        <is>
          <t>Terminé</t>
        </is>
      </c>
      <c r="C1985" s="17" t="inlineStr">
        <is>
          <t>1001 Pneus - catalogue produits</t>
        </is>
      </c>
      <c r="D1985" s="17" t="inlineStr">
        <is>
          <t>Pneus moto</t>
        </is>
      </c>
      <c r="E1985" s="18" t="inlineStr">
        <is>
          <t>PIRELLI Diablo Superbike 180/60 R 17 TL pas cher</t>
        </is>
      </c>
      <c r="F1985" s="17" t="inlineStr">
        <is>
          <t>Votre pneu PIRELLI Diablo Superbike 180/60 R 17 TL au meilleur prix sur 1001pneus ! ⚡ Livraison rapide et gratuite* ⌚ Paiement CB en 3x / 4x ⭐ Montage des pneus près de chez vous.</t>
        </is>
      </c>
      <c r="G1985" s="19" t="inlineStr">
        <is>
          <t>http://www.1001pneus.fr/pirelli-diablo-superbike-180-60-r17-21807024-pn</t>
        </is>
      </c>
      <c r="H1985" s="20" t="n">
        <v>5541</v>
      </c>
      <c r="I1985" s="20" t="n">
        <v>23</v>
      </c>
      <c r="J1985" s="21">
        <f>IF(H1985=0,0,I1985/H1985)</f>
        <v/>
      </c>
    </row>
    <row r="1986">
      <c r="A1986" s="17" t="inlineStr">
        <is>
          <t>1001 Pneus</t>
        </is>
      </c>
      <c r="B1986" s="17" t="inlineStr">
        <is>
          <t>Terminé</t>
        </is>
      </c>
      <c r="C1986" s="17" t="inlineStr">
        <is>
          <t>1001 Pneus - catalogue produits</t>
        </is>
      </c>
      <c r="D1986" s="17" t="inlineStr">
        <is>
          <t>Pneus moto</t>
        </is>
      </c>
      <c r="E1986" s="18" t="inlineStr">
        <is>
          <t>BRIDGESTONE Exedra G547 110/80 - 18 58V TL pas cher</t>
        </is>
      </c>
      <c r="F1986" s="17" t="inlineStr">
        <is>
          <t>Votre pneu BRIDGESTONE Exedra G547 110/80 - 18 58V TL au meilleur prix sur 1001pneus ! ⚡ Livraison rapide et gratuite* ⌚ Paiement CB en 3x / 4x ⭐ Montage des pneus près de chez</t>
        </is>
      </c>
      <c r="G1986" s="19" t="inlineStr">
        <is>
          <t>http://www.1001pneus.fr/bridgestone-exedra-g547-110-80-18-58-v-155722-pn</t>
        </is>
      </c>
      <c r="H1986" s="20" t="n">
        <v>3779</v>
      </c>
      <c r="I1986" s="20" t="n">
        <v>13</v>
      </c>
      <c r="J1986" s="21">
        <f>IF(H1986=0,0,I1986/H1986)</f>
        <v/>
      </c>
    </row>
    <row r="1987">
      <c r="A1987" s="17" t="inlineStr">
        <is>
          <t>1001 Pneus</t>
        </is>
      </c>
      <c r="B1987" s="17" t="inlineStr">
        <is>
          <t>Terminé</t>
        </is>
      </c>
      <c r="C1987" s="17" t="inlineStr">
        <is>
          <t>1001 Pneus - catalogue produits</t>
        </is>
      </c>
      <c r="D1987" s="17" t="inlineStr">
        <is>
          <t>Pneus moto</t>
        </is>
      </c>
      <c r="E1987" s="18" t="inlineStr">
        <is>
          <t>CONTINENTAL ContiStreet 70/90 - 17 38P TL pas cher</t>
        </is>
      </c>
      <c r="F1987" s="17" t="inlineStr">
        <is>
          <t>Votre pneu CONTINENTAL ContiStreet 70/90 - 17 38P TL au meilleur prix sur 1001pneus ! ⚡ Livraison rapide et gratuite* ⌚ Paiement CB en 3x / 4x ⭐ Montage des pneus près de chez</t>
        </is>
      </c>
      <c r="G1987" s="19" t="inlineStr">
        <is>
          <t>http://www.1001pneus.fr/continental-contistreet-70-90-17-38-p-28144618-pn</t>
        </is>
      </c>
      <c r="H1987" s="20" t="n">
        <v>3409</v>
      </c>
      <c r="I1987" s="20" t="n">
        <v>20</v>
      </c>
      <c r="J1987" s="21">
        <f>IF(H1987=0,0,I1987/H1987)</f>
        <v/>
      </c>
    </row>
    <row r="1988">
      <c r="A1988" s="17" t="inlineStr">
        <is>
          <t>1001 Pneus</t>
        </is>
      </c>
      <c r="B1988" s="17" t="inlineStr">
        <is>
          <t>Terminé</t>
        </is>
      </c>
      <c r="C1988" s="17" t="inlineStr">
        <is>
          <t>1001 Pneus - catalogue produits</t>
        </is>
      </c>
      <c r="D1988" s="17" t="inlineStr">
        <is>
          <t>Pneus moto</t>
        </is>
      </c>
      <c r="E1988" s="18" t="inlineStr">
        <is>
          <t>DUNLOP D404 170/80 - 15 77H TL pas cher</t>
        </is>
      </c>
      <c r="F1988" s="17" t="inlineStr">
        <is>
          <t>Votre pneu DUNLOP D404 170/80 - 15 77H TL au meilleur prix sur 1001pneus ! ⚡ Livraison rapide et gratuite* ⌚ Paiement CB en 3x / 4x ⭐ Montage des pneus près de chez vous.</t>
        </is>
      </c>
      <c r="G1988" s="19" t="inlineStr">
        <is>
          <t>http://www.1001pneus.fr/dunlop-d404-170-80-15-77-h-27773477-pn</t>
        </is>
      </c>
      <c r="H1988" s="20" t="n">
        <v>3396</v>
      </c>
      <c r="I1988" s="20" t="n">
        <v>18</v>
      </c>
      <c r="J1988" s="21">
        <f>IF(H1988=0,0,I1988/H1988)</f>
        <v/>
      </c>
    </row>
    <row r="1989">
      <c r="A1989" s="17" t="inlineStr">
        <is>
          <t>1001 Pneus</t>
        </is>
      </c>
      <c r="B1989" s="17" t="inlineStr">
        <is>
          <t>Terminé</t>
        </is>
      </c>
      <c r="C1989" s="17" t="inlineStr">
        <is>
          <t>1001 Pneus - catalogue produits</t>
        </is>
      </c>
      <c r="D1989" s="17" t="inlineStr">
        <is>
          <t>Pneus 4x4 et SUV</t>
        </is>
      </c>
      <c r="E1989" s="18" t="inlineStr">
        <is>
          <t>NEXEN Roadian 581 195/65 R 15 91 H pas cher</t>
        </is>
      </c>
      <c r="F1989" s="17" t="inlineStr">
        <is>
          <t>Votre pneu NEXEN Roadian 581 195/65 R 15 91 H au meilleur prix sur 1001pneus ! ⚡ Livraison rapide et gratuite* ⌚ Paiement CB en 3x / 4x ⭐ Montage des pneus près de chez vous.</t>
        </is>
      </c>
      <c r="G1989" s="19" t="inlineStr">
        <is>
          <t>http://www.1001pneus.fr/nexen-roadian-581-195-65-r15-91-h-28200786-pn</t>
        </is>
      </c>
      <c r="H1989" s="20" t="n">
        <v>3384</v>
      </c>
      <c r="I1989" s="20" t="n">
        <v>12</v>
      </c>
      <c r="J1989" s="21">
        <f>IF(H1989=0,0,I1989/H1989)</f>
        <v/>
      </c>
    </row>
    <row r="1990">
      <c r="A1990" s="17" t="inlineStr">
        <is>
          <t>1001 Pneus</t>
        </is>
      </c>
      <c r="B1990" s="17" t="inlineStr">
        <is>
          <t>Terminé</t>
        </is>
      </c>
      <c r="C1990" s="17" t="inlineStr">
        <is>
          <t>1001 Pneus - catalogue produits</t>
        </is>
      </c>
      <c r="D1990" s="17" t="inlineStr">
        <is>
          <t>Pneus 4x4 et SUV</t>
        </is>
      </c>
      <c r="E1990" s="18" t="inlineStr">
        <is>
          <t>PIRELLI Scorpion 275/45 R 20 110 Y XL  pas cher</t>
        </is>
      </c>
      <c r="F1990" s="17" t="inlineStr">
        <is>
          <t>Votre pneu PIRELLI Scorpion 275/45 R 20 110 Y XL au meilleur prix sur 1001pneus ! ⚡ Livraison rapide et gratuite* ⌚ Paiement CB en 3x / 4x ⭐ Montage des pneus près de chez vous.</t>
        </is>
      </c>
      <c r="G1990" s="19" t="inlineStr">
        <is>
          <t>http://www.1001pneus.fr/pirelli-scorpion-275-45-r20-110-y-28068968-pn</t>
        </is>
      </c>
      <c r="H1990" s="20" t="n">
        <v>3382</v>
      </c>
      <c r="I1990" s="20" t="n">
        <v>24</v>
      </c>
      <c r="J1990" s="21">
        <f>IF(H1990=0,0,I1990/H1990)</f>
        <v/>
      </c>
    </row>
    <row r="1991">
      <c r="A1991" s="17" t="inlineStr">
        <is>
          <t>1001 Pneus</t>
        </is>
      </c>
      <c r="B1991" s="17" t="inlineStr">
        <is>
          <t>Terminé</t>
        </is>
      </c>
      <c r="C1991" s="17" t="inlineStr">
        <is>
          <t>1001 Pneus - catalogue produits</t>
        </is>
      </c>
      <c r="D1991" s="17" t="inlineStr">
        <is>
          <t>Pneus 4x4 et SUV</t>
        </is>
      </c>
      <c r="E1991" s="18" t="inlineStr">
        <is>
          <t>VREDESTEIN Ultrac+ 215/65 R 17 99 V pas cher</t>
        </is>
      </c>
      <c r="F1991" s="17" t="inlineStr">
        <is>
          <t>Votre pneu VREDESTEIN Ultrac+ 215/65 R 17 99 V au meilleur prix sur 1001pneus ! ⚡ Livraison rapide et gratuite* ⌚ Paiement CB en 3x / 4x ⭐ Montage des pneus près de chez vous.</t>
        </is>
      </c>
      <c r="G1991" s="19" t="inlineStr">
        <is>
          <t>http://www.1001pneus.fr/vredestein-ultrac-plus-215-65-r17-99-v-28207744-pn</t>
        </is>
      </c>
      <c r="H1991" s="20" t="n">
        <v>3323</v>
      </c>
      <c r="I1991" s="20" t="n">
        <v>16</v>
      </c>
      <c r="J1991" s="21">
        <f>IF(H1991=0,0,I1991/H1991)</f>
        <v/>
      </c>
    </row>
    <row r="1992">
      <c r="A1992" s="17" t="inlineStr">
        <is>
          <t>1001 Pneus</t>
        </is>
      </c>
      <c r="B1992" s="17" t="inlineStr">
        <is>
          <t>Terminé</t>
        </is>
      </c>
      <c r="C1992" s="17" t="inlineStr">
        <is>
          <t>1001 Pneus - catalogue produits</t>
        </is>
      </c>
      <c r="D1992" s="17" t="inlineStr">
        <is>
          <t>Pneus vélo</t>
        </is>
      </c>
      <c r="E1992" s="18" t="inlineStr">
        <is>
          <t>CONTINENTAL Tour 28 x 1.75 - 2.5 (47-622&gt;62-622) pas cher</t>
        </is>
      </c>
      <c r="F1992" s="17" t="inlineStr">
        <is>
          <t>Achetez votre CONTINENTAL Tour 28 x 1.75 - 2.5 (47-622&gt;62-622) sur 1001pneus.fr ! ⚡ Livraison rapide et 100% gratuite* ⌚ Paiement CB en 3x ou 4x ⭐ Montage des pneus près de chez</t>
        </is>
      </c>
      <c r="G1992" s="19" t="inlineStr">
        <is>
          <t>http://www.1001pneus.fr/continental-tour-28176318-pn</t>
        </is>
      </c>
      <c r="H1992" s="20" t="n">
        <v>3148</v>
      </c>
      <c r="I1992" s="20" t="n">
        <v>10</v>
      </c>
      <c r="J1992" s="21">
        <f>IF(H1992=0,0,I1992/H1992)</f>
        <v/>
      </c>
    </row>
    <row r="1993">
      <c r="A1993" s="17" t="inlineStr">
        <is>
          <t>1001 Pneus</t>
        </is>
      </c>
      <c r="B1993" s="17" t="inlineStr">
        <is>
          <t>Terminé</t>
        </is>
      </c>
      <c r="C1993" s="17" t="inlineStr">
        <is>
          <t>1001 Pneus - catalogue produits</t>
        </is>
      </c>
      <c r="D1993" s="17" t="inlineStr">
        <is>
          <t>Pneus vélo</t>
        </is>
      </c>
      <c r="E1993" s="18" t="inlineStr">
        <is>
          <t>PIRELLI Cinturato Adventure 700x35C (35-622) pas cher</t>
        </is>
      </c>
      <c r="F1993" s="17" t="inlineStr">
        <is>
          <t>Achetez votre PIRELLI Cinturato Adventure 700x35C (35-622) sur 1001pneus.fr ! ⚡ Livraison rapide et 100% gratuite* ⌚ Paiement CB en 3x ou 4x ⭐ Montage des pneus près de chez vous.</t>
        </is>
      </c>
      <c r="G1993" s="19" t="inlineStr">
        <is>
          <t>http://www.1001pneus.fr/pirelli-cinturato-adventure-700-35c-28145603-pn</t>
        </is>
      </c>
      <c r="H1993" s="20" t="n">
        <v>2364</v>
      </c>
      <c r="I1993" s="20" t="n">
        <v>10</v>
      </c>
      <c r="J1993" s="21">
        <f>IF(H1993=0,0,I1993/H1993)</f>
        <v/>
      </c>
    </row>
    <row r="1994">
      <c r="A1994" s="17" t="inlineStr">
        <is>
          <t>1001 Pneus</t>
        </is>
      </c>
      <c r="B1994" s="17" t="inlineStr">
        <is>
          <t>Terminé</t>
        </is>
      </c>
      <c r="C1994" s="17" t="inlineStr">
        <is>
          <t>1001 Pneus - catalogue produits</t>
        </is>
      </c>
      <c r="D1994" s="17" t="inlineStr">
        <is>
          <t>Pneus 4x4 et SUV</t>
        </is>
      </c>
      <c r="E1994" s="18" t="inlineStr">
        <is>
          <t>GOODYEAR Eqmax S 385/55 R22.5 160K (158L)</t>
        </is>
      </c>
      <c r="F1994" s="17" t="inlineStr">
        <is>
          <t>Achetez votre GOODYEAR Eqmax S 385/55 R22.5 160K (158L) au meilleur prix sur 1001pneus.fr ! ⚡ Livraison rapide et 100% gratuite* ⌚ Paiement CB en 3x ou 4x ⭐ Montage des pneus près</t>
        </is>
      </c>
      <c r="G1994" s="19" t="inlineStr">
        <is>
          <t>http://www.1001pneus.fr/goodyear-eqmax-s-385-55-r225-160-k-28206901-pn</t>
        </is>
      </c>
      <c r="H1994" s="20" t="n">
        <v>2179</v>
      </c>
      <c r="I1994" s="20" t="n">
        <v>13</v>
      </c>
      <c r="J1994" s="21">
        <f>IF(H1994=0,0,I1994/H1994)</f>
        <v/>
      </c>
    </row>
    <row r="1995">
      <c r="A1995" s="17" t="inlineStr">
        <is>
          <t>1001 Pneus</t>
        </is>
      </c>
      <c r="B1995" s="17" t="inlineStr">
        <is>
          <t>Terminé</t>
        </is>
      </c>
      <c r="C1995" s="17" t="inlineStr">
        <is>
          <t>1001 Pneus - catalogue produits</t>
        </is>
      </c>
      <c r="D1995" s="17" t="inlineStr">
        <is>
          <t>Pneus 4x4 et SUV</t>
        </is>
      </c>
      <c r="E1995" s="18" t="inlineStr">
        <is>
          <t>PIRELLI TG88 315/80 R 22.5 156/150K</t>
        </is>
      </c>
      <c r="F1995" s="17" t="inlineStr">
        <is>
          <t>Achetez votre PIRELLI TG88 315/80 R 22.5 156/150K au meilleur prix sur 1001pneus.fr ! ⚡ Livraison rapide et 100% gratuite* ⌚ Paiement CB en 3x ou 4x ⭐ Montage des pneus près de</t>
        </is>
      </c>
      <c r="G1995" s="19" t="inlineStr">
        <is>
          <t>http://www.1001pneus.fr/pirelli-tg88-315-80-r225-156-k-27076716-pn</t>
        </is>
      </c>
      <c r="H1995" s="20" t="n">
        <v>2124</v>
      </c>
      <c r="I1995" s="20" t="n">
        <v>13</v>
      </c>
      <c r="J1995" s="21">
        <f>IF(H1995=0,0,I1995/H1995)</f>
        <v/>
      </c>
    </row>
    <row r="1996">
      <c r="A1996" s="17" t="inlineStr">
        <is>
          <t>1001 Pneus</t>
        </is>
      </c>
      <c r="B1996" s="17" t="inlineStr">
        <is>
          <t>Terminé</t>
        </is>
      </c>
      <c r="C1996" s="17" t="inlineStr">
        <is>
          <t>1001 Pneus - catalogue produits</t>
        </is>
      </c>
      <c r="D1996" s="17" t="inlineStr">
        <is>
          <t>Pneus 4x4 et SUV</t>
        </is>
      </c>
      <c r="E1996" s="18" t="inlineStr">
        <is>
          <t>Pneu Fulda MultiControl 155/65 R14 75T 4 Saisons</t>
        </is>
      </c>
      <c r="F1996" s="17" t="inlineStr">
        <is>
          <t>Votre pneu FULDA MultiControl 155/65 R 14 75 T au meilleur prix sur 1001pneus ! ⚡ Livraison rapide et gratuite* ⌚ Paiement CB en 3x / 4x ⭐ Montage des pneus près de chez vous.</t>
        </is>
      </c>
      <c r="G1996" s="19" t="inlineStr">
        <is>
          <t>http://www.1001pneus.fr/fulda-multicontrol-155-65-r14-75-t-24824581-pn</t>
        </is>
      </c>
      <c r="H1996" s="20" t="n">
        <v>2063</v>
      </c>
      <c r="I1996" s="20" t="n">
        <v>10</v>
      </c>
      <c r="J1996" s="21">
        <f>IF(H1996=0,0,I1996/H1996)</f>
        <v/>
      </c>
    </row>
    <row r="1997">
      <c r="A1997" s="17" t="inlineStr">
        <is>
          <t>1001 Pneus</t>
        </is>
      </c>
      <c r="B1997" s="17" t="inlineStr">
        <is>
          <t>Terminé</t>
        </is>
      </c>
      <c r="C1997" s="17" t="inlineStr">
        <is>
          <t>1001 Pneus - catalogue produits</t>
        </is>
      </c>
      <c r="D1997" s="17" t="inlineStr">
        <is>
          <t>Pneus 4x4 et SUV</t>
        </is>
      </c>
      <c r="E1997" s="18" t="inlineStr">
        <is>
          <t>UNIROYAL WinterExpert 225/60 R 18 104 V XL FR pas cher</t>
        </is>
      </c>
      <c r="F1997" s="17" t="inlineStr">
        <is>
          <t>Votre pneu UNIROYAL WinterExpert 225/60 R 18 104 V XL au meilleur prix sur 1001pneus ! ⚡ Livraison rapide et gratuite* ⌚ Paiement CB en 3x / 4x ⭐ Montage des pneus près de chez</t>
        </is>
      </c>
      <c r="G1997" s="19" t="inlineStr">
        <is>
          <t>http://www.1001pneus.fr/uniroyal-winterexpert-225-60-r18-104-v-27872994-pn</t>
        </is>
      </c>
      <c r="H1997" s="20" t="n">
        <v>2063</v>
      </c>
      <c r="I1997" s="20" t="n">
        <v>5</v>
      </c>
      <c r="J1997" s="21">
        <f>IF(H1997=0,0,I1997/H1997)</f>
        <v/>
      </c>
    </row>
    <row r="1998">
      <c r="A1998" s="17" t="inlineStr">
        <is>
          <t>1001 Pneus</t>
        </is>
      </c>
      <c r="B1998" s="17" t="inlineStr">
        <is>
          <t>Terminé</t>
        </is>
      </c>
      <c r="C1998" s="17" t="inlineStr">
        <is>
          <t>1001 Pneus - catalogue produits</t>
        </is>
      </c>
      <c r="D1998" s="17" t="inlineStr">
        <is>
          <t>Pneus 4x4 et SUV</t>
        </is>
      </c>
      <c r="E1998" s="18" t="inlineStr">
        <is>
          <t>SEMPERIT Van-Allseason 215/70 R 15 109 107 S pas cher</t>
        </is>
      </c>
      <c r="F1998" s="17" t="inlineStr">
        <is>
          <t>Votre pneu SEMPERIT Van-Allseason 215/70 R 15 109 107 S au meilleur prix sur 1001pneus ! ⚡ Livraison rapide et gratuite* ⌚ Paiement CB en 3x / 4x ⭐ Montage des pneus près de chez</t>
        </is>
      </c>
      <c r="G1998" s="19" t="inlineStr">
        <is>
          <t>http://www.1001pneus.fr/semperit-van-allseason-215-70-r15-109-s-28145485-pn</t>
        </is>
      </c>
      <c r="H1998" s="20" t="n">
        <v>2036</v>
      </c>
      <c r="I1998" s="20" t="n">
        <v>9</v>
      </c>
      <c r="J1998" s="21">
        <f>IF(H1998=0,0,I1998/H1998)</f>
        <v/>
      </c>
    </row>
    <row r="1999">
      <c r="A1999" s="17" t="inlineStr">
        <is>
          <t>1001 Pneus</t>
        </is>
      </c>
      <c r="B1999" s="17" t="inlineStr">
        <is>
          <t>Terminé</t>
        </is>
      </c>
      <c r="C1999" s="17" t="inlineStr">
        <is>
          <t>1001 Pneus - catalogue produits</t>
        </is>
      </c>
      <c r="D1999" s="17" t="inlineStr">
        <is>
          <t>Pneus 4x4 et SUV</t>
        </is>
      </c>
      <c r="E1999" s="18" t="inlineStr">
        <is>
          <t>PIRELLI Powergy 2 215/55 R 18 99 V XL pas cher</t>
        </is>
      </c>
      <c r="F1999" s="17" t="inlineStr">
        <is>
          <t>Votre pneu PIRELLI Powergy 2 215/55 R 18 99 V XL au meilleur prix sur 1001pneus ! ⚡ Livraison rapide et gratuite* ⌚ Paiement CB en 3x / 4x ⭐ Montage des pneus près de chez vous.</t>
        </is>
      </c>
      <c r="G1999" s="19" t="inlineStr">
        <is>
          <t>http://www.1001pneus.fr/pirelli-powergy-2-215-55-r18-99-v-28221609-pn</t>
        </is>
      </c>
      <c r="H1999" s="20" t="n">
        <v>2031</v>
      </c>
      <c r="I1999" s="20" t="n">
        <v>9</v>
      </c>
      <c r="J1999" s="21">
        <f>IF(H1999=0,0,I1999/H1999)</f>
        <v/>
      </c>
    </row>
    <row r="2000">
      <c r="A2000" s="17" t="inlineStr">
        <is>
          <t>1001 Pneus</t>
        </is>
      </c>
      <c r="B2000" s="17" t="inlineStr">
        <is>
          <t>Terminé</t>
        </is>
      </c>
      <c r="C2000" s="17" t="inlineStr">
        <is>
          <t>1001 Pneus - catalogue produits</t>
        </is>
      </c>
      <c r="D2000" s="17" t="inlineStr">
        <is>
          <t>Pneus 4x4 et SUV</t>
        </is>
      </c>
      <c r="E2000" s="18" t="inlineStr">
        <is>
          <t>Pneu Fulda MultiControl 155/70 R13 75T 4 Saisons</t>
        </is>
      </c>
      <c r="F2000" s="17" t="inlineStr">
        <is>
          <t>Votre pneu FULDA MultiControl 155/70 R 13 75 T au meilleur prix sur 1001pneus ! ⚡ Livraison rapide et gratuite* ⌚ Paiement CB en 3x / 4x ⭐ Montage des pneus près de chez vous.</t>
        </is>
      </c>
      <c r="G2000" s="19" t="inlineStr">
        <is>
          <t>http://www.1001pneus.fr/fulda-multicontrol-155-70-r13-75-t-24565989-pn</t>
        </is>
      </c>
      <c r="H2000" s="20" t="n">
        <v>2009</v>
      </c>
      <c r="I2000" s="20" t="n">
        <v>11</v>
      </c>
      <c r="J2000" s="21">
        <f>IF(H2000=0,0,I2000/H2000)</f>
        <v/>
      </c>
    </row>
    <row r="2001">
      <c r="A2001" s="17" t="inlineStr">
        <is>
          <t>1001 Pneus</t>
        </is>
      </c>
      <c r="B2001" s="17" t="inlineStr">
        <is>
          <t>Terminé</t>
        </is>
      </c>
      <c r="C2001" s="17" t="inlineStr">
        <is>
          <t>1001 Pneus - catalogue produits</t>
        </is>
      </c>
      <c r="D2001" s="17" t="inlineStr">
        <is>
          <t>Pneus 4x4 et SUV</t>
        </is>
      </c>
      <c r="E2001" s="18" t="inlineStr">
        <is>
          <t>MAXXIS C-824 5.20/5.00 - 10 74 72 M  pas cher</t>
        </is>
      </c>
      <c r="F2001" s="17" t="inlineStr">
        <is>
          <t>Votre pneu MAXXIS C-824 5.20/5.00 - 10 74 72 M au meilleur prix sur 1001pneus ! ⚡ Livraison rapide et gratuite* ⌚ Paiement CB en 3x / 4x ⭐ Montage des pneus près de chez vous.</t>
        </is>
      </c>
      <c r="G2001" s="19" t="inlineStr">
        <is>
          <t>http://www.1001pneus.fr/maxxis-c-824-520-500-10-74-m-27762315-pn</t>
        </is>
      </c>
      <c r="H2001" s="20" t="n">
        <v>2006</v>
      </c>
      <c r="I2001" s="20" t="n">
        <v>12</v>
      </c>
      <c r="J2001" s="21">
        <f>IF(H2001=0,0,I2001/H2001)</f>
        <v/>
      </c>
    </row>
    <row r="2002">
      <c r="A2002" s="17" t="inlineStr">
        <is>
          <t>1001 Pneus</t>
        </is>
      </c>
      <c r="B2002" s="17" t="inlineStr">
        <is>
          <t>Terminé</t>
        </is>
      </c>
      <c r="C2002" s="17" t="inlineStr">
        <is>
          <t>1001 Pneus - catalogue produits</t>
        </is>
      </c>
      <c r="D2002" s="17" t="inlineStr">
        <is>
          <t>Pneus 4x4 et SUV</t>
        </is>
      </c>
      <c r="E2002" s="18" t="inlineStr">
        <is>
          <t>MICHELIN e.Primacy 245/50 R 18 104 H XL pas cher</t>
        </is>
      </c>
      <c r="F2002" s="17" t="inlineStr">
        <is>
          <t>Votre pneu MICHELIN e.Primacy 245/50 R 18 104 H XL au meilleur prix sur 1001pneus ! ⚡ Livraison rapide et gratuite* ⌚ Paiement CB en 3x / 4x ⭐ Montage des pneus près de chez vous.</t>
        </is>
      </c>
      <c r="G2002" s="19" t="inlineStr">
        <is>
          <t>http://www.1001pneus.fr/michelin-e-primacy-245-50-r18-104-h-27819637-pn</t>
        </is>
      </c>
      <c r="H2002" s="20" t="n">
        <v>2002</v>
      </c>
      <c r="I2002" s="20" t="n">
        <v>6</v>
      </c>
      <c r="J2002" s="21">
        <f>IF(H2002=0,0,I2002/H2002)</f>
        <v/>
      </c>
    </row>
    <row r="2003">
      <c r="A2003" s="17" t="inlineStr">
        <is>
          <t>1001 Pneus</t>
        </is>
      </c>
      <c r="B2003" s="17" t="inlineStr">
        <is>
          <t>Terminé</t>
        </is>
      </c>
      <c r="C2003" s="17" t="inlineStr">
        <is>
          <t>1001 Pneus - catalogue produits</t>
        </is>
      </c>
      <c r="D2003" s="17" t="inlineStr">
        <is>
          <t>Automotive Products</t>
        </is>
      </c>
      <c r="E2003" s="18" t="inlineStr">
        <is>
          <t>SEMPERIT Van-Allseason 215/70 R 15 109 107 S pas cher</t>
        </is>
      </c>
      <c r="F2003" s="17" t="inlineStr">
        <is>
          <t>Votre pneu SEMPERIT Van-Allseason 215/70 R 15 109 107 S au meilleur prix sur 1001pneus ! ⚡ Livraison rapide et gratuite* ⌚ Paiement CB en 3x / 4x ⭐ Montage des pneus près de chez</t>
        </is>
      </c>
      <c r="G2003" s="19" t="inlineStr">
        <is>
          <t>http://www.1001pneus.fr/semperit-van-allseason-215-70-r15-109-s-28145485-pn</t>
        </is>
      </c>
      <c r="H2003" s="20" t="n">
        <v>1995</v>
      </c>
      <c r="I2003" s="20" t="n">
        <v>8</v>
      </c>
      <c r="J2003" s="21">
        <f>IF(H2003=0,0,I2003/H2003)</f>
        <v/>
      </c>
    </row>
    <row r="2004">
      <c r="A2004" s="17" t="inlineStr">
        <is>
          <t>1001 Pneus</t>
        </is>
      </c>
      <c r="B2004" s="17" t="inlineStr">
        <is>
          <t>Terminé</t>
        </is>
      </c>
      <c r="C2004" s="17" t="inlineStr">
        <is>
          <t>1001 Pneus - catalogue produits</t>
        </is>
      </c>
      <c r="D2004" s="17" t="inlineStr">
        <is>
          <t>Pneus 4x4 et SUV</t>
        </is>
      </c>
      <c r="E2004" s="18" t="inlineStr">
        <is>
          <t>Pneu Fulda MultiControl 165/65 R14 79T 4 Saisons</t>
        </is>
      </c>
      <c r="F2004" s="17" t="inlineStr">
        <is>
          <t>Votre pneu FULDA MultiControl 165/65 R 14 79 T au meilleur prix sur 1001pneus ! ⚡ Livraison rapide et gratuite* ⌚ Paiement CB en 3x / 4x ⭐ Montage des pneus près de chez vous.</t>
        </is>
      </c>
      <c r="G2004" s="19" t="inlineStr">
        <is>
          <t>http://www.1001pneus.fr/fulda-multicontrol-165-65-r14-79-t-24849951-pn</t>
        </is>
      </c>
      <c r="H2004" s="20" t="n">
        <v>1991</v>
      </c>
      <c r="I2004" s="20" t="n">
        <v>9</v>
      </c>
      <c r="J2004" s="21">
        <f>IF(H2004=0,0,I2004/H2004)</f>
        <v/>
      </c>
    </row>
    <row r="2005">
      <c r="A2005" s="17" t="inlineStr">
        <is>
          <t>1001 Pneus</t>
        </is>
      </c>
      <c r="B2005" s="17" t="inlineStr">
        <is>
          <t>Terminé</t>
        </is>
      </c>
      <c r="C2005" s="17" t="inlineStr">
        <is>
          <t>1001 Pneus - catalogue produits</t>
        </is>
      </c>
      <c r="D2005" s="17" t="inlineStr">
        <is>
          <t>Pneus 4x4 et SUV</t>
        </is>
      </c>
      <c r="E2005" s="18" t="inlineStr">
        <is>
          <t>HANKOOK Radial RA14 225/60 R 16 105 103 T pas cher</t>
        </is>
      </c>
      <c r="F2005" s="17" t="inlineStr">
        <is>
          <t>Votre pneu HANKOOK Radial RA14 225/60 R 16 105 103 T au meilleur prix sur 1001pneus ! ⚡ Livraison rapide et gratuite* ⌚ Paiement CB en 3x / 4x ⭐ Montage des pneus près de chez</t>
        </is>
      </c>
      <c r="G2005" s="19" t="inlineStr">
        <is>
          <t>http://www.1001pneus.fr/hankook-radial-ra14-225-60-r16-105-t-24172-pn</t>
        </is>
      </c>
      <c r="H2005" s="20" t="n">
        <v>1983</v>
      </c>
      <c r="I2005" s="20" t="n">
        <v>15</v>
      </c>
      <c r="J2005" s="21">
        <f>IF(H2005=0,0,I2005/H2005)</f>
        <v/>
      </c>
    </row>
    <row r="2006">
      <c r="A2006" s="17" t="inlineStr">
        <is>
          <t>1001 Pneus</t>
        </is>
      </c>
      <c r="B2006" s="17" t="inlineStr">
        <is>
          <t>Terminé</t>
        </is>
      </c>
      <c r="C2006" s="17" t="inlineStr">
        <is>
          <t>1001 Pneus - catalogue produits</t>
        </is>
      </c>
      <c r="D2006" s="17" t="inlineStr">
        <is>
          <t>Automotive Products</t>
        </is>
      </c>
      <c r="E2006" s="18" t="inlineStr">
        <is>
          <t>LINGLONG Green-Max 215/55 R 17 98 W XL pas cher</t>
        </is>
      </c>
      <c r="F2006" s="17" t="inlineStr">
        <is>
          <t>Votre pneu LINGLONG Green-Max 215/55 R 17 98 W XL au meilleur prix sur 1001pneus ! ⚡ Livraison rapide et gratuite* ⌚ Paiement CB en 3x / 4x ⭐ Montage des pneus près de chez vous.</t>
        </is>
      </c>
      <c r="G2006" s="19" t="inlineStr">
        <is>
          <t>http://www.1001pneus.fr/linglong-green-max-215-55-r17-98-w-28049646-pn</t>
        </is>
      </c>
      <c r="H2006" s="20" t="n">
        <v>1981</v>
      </c>
      <c r="I2006" s="20" t="n">
        <v>12</v>
      </c>
      <c r="J2006" s="21">
        <f>IF(H2006=0,0,I2006/H2006)</f>
        <v/>
      </c>
    </row>
    <row r="2007">
      <c r="A2007" s="17" t="inlineStr">
        <is>
          <t>1001 Pneus</t>
        </is>
      </c>
      <c r="B2007" s="17" t="inlineStr">
        <is>
          <t>Terminé</t>
        </is>
      </c>
      <c r="C2007" s="17" t="inlineStr">
        <is>
          <t>1001 Pneus - catalogue produits</t>
        </is>
      </c>
      <c r="D2007" s="17" t="inlineStr">
        <is>
          <t>Pneus 4x4 et SUV</t>
        </is>
      </c>
      <c r="E2007" s="18" t="inlineStr">
        <is>
          <t>BFGOODRICH Advantage 185/60 R 15 84 H  pas cher</t>
        </is>
      </c>
      <c r="F2007" s="17" t="inlineStr">
        <is>
          <t>Votre pneu BFGOODRICH Advantage 185/60 R 15 84 H au meilleur prix sur 1001pneus ! ⚡ Livraison rapide et gratuite* ⌚ Paiement CB en 3x / 4x ⭐ Montage des pneus près de chez vous.</t>
        </is>
      </c>
      <c r="G2007" s="19" t="inlineStr">
        <is>
          <t>http://www.1001pneus.fr/bfgoodrich-advantage-185-60-r15-84-h-27782561-pn</t>
        </is>
      </c>
      <c r="H2007" s="20" t="n">
        <v>1976</v>
      </c>
      <c r="I2007" s="20" t="n">
        <v>10</v>
      </c>
      <c r="J2007" s="21">
        <f>IF(H2007=0,0,I2007/H2007)</f>
        <v/>
      </c>
    </row>
    <row r="2008">
      <c r="A2008" s="17" t="inlineStr">
        <is>
          <t>1001 Pneus</t>
        </is>
      </c>
      <c r="B2008" s="17" t="inlineStr">
        <is>
          <t>Terminé</t>
        </is>
      </c>
      <c r="C2008" s="17" t="inlineStr">
        <is>
          <t>1001 Pneus - catalogue produits</t>
        </is>
      </c>
      <c r="D2008" s="17" t="inlineStr">
        <is>
          <t>Pneus 4x4 et SUV</t>
        </is>
      </c>
      <c r="E2008" s="18" t="inlineStr">
        <is>
          <t>CONTINENTAL Tour 28 x 1.75 - 2.5 (47-622&gt;62-622) pas cher</t>
        </is>
      </c>
      <c r="F2008" s="17" t="inlineStr">
        <is>
          <t>Achetez votre CONTINENTAL Tour 28 x 1.75 - 2.5 (47-622&gt;62-622) sur 1001pneus.fr ! ⚡ Livraison rapide et 100% gratuite* ⌚ Paiement CB en 3x ou 4x ⭐ Montage des pneus près de chez</t>
        </is>
      </c>
      <c r="G2008" s="19" t="inlineStr">
        <is>
          <t>http://www.1001pneus.fr/continental-tour-28176318-pn</t>
        </is>
      </c>
      <c r="H2008" s="20" t="n">
        <v>1975</v>
      </c>
      <c r="I2008" s="20" t="n">
        <v>12</v>
      </c>
      <c r="J2008" s="21">
        <f>IF(H2008=0,0,I2008/H2008)</f>
        <v/>
      </c>
    </row>
    <row r="2009">
      <c r="A2009" s="17" t="inlineStr">
        <is>
          <t>1001 Pneus</t>
        </is>
      </c>
      <c r="B2009" s="17" t="inlineStr">
        <is>
          <t>Terminé</t>
        </is>
      </c>
      <c r="C2009" s="17" t="inlineStr">
        <is>
          <t>1001 Pneus - catalogue produits</t>
        </is>
      </c>
      <c r="D2009" s="17" t="inlineStr">
        <is>
          <t>Automotive Products</t>
        </is>
      </c>
      <c r="E2009" s="18" t="inlineStr">
        <is>
          <t>TAURUS Winter 175/65 R 15 84 T pas cher</t>
        </is>
      </c>
      <c r="F2009" s="17" t="inlineStr">
        <is>
          <t>Votre pneu TAURUS Winter 175/65 R 15 84 T au meilleur prix sur 1001pneus ! ⚡ Livraison rapide et gratuite* ⌚ Paiement CB en 3x / 4x ⭐ Montage des pneus près de chez vous.</t>
        </is>
      </c>
      <c r="G2009" s="19" t="inlineStr">
        <is>
          <t>http://www.1001pneus.fr/taurus-winter-175-65-r15-84-t-27179603-pn</t>
        </is>
      </c>
      <c r="H2009" s="20" t="n">
        <v>1973</v>
      </c>
      <c r="I2009" s="20" t="n">
        <v>13</v>
      </c>
      <c r="J2009" s="21">
        <f>IF(H2009=0,0,I2009/H2009)</f>
        <v/>
      </c>
    </row>
    <row r="2010">
      <c r="A2010" s="17" t="inlineStr">
        <is>
          <t>1001 Pneus</t>
        </is>
      </c>
      <c r="B2010" s="17" t="inlineStr">
        <is>
          <t>Terminé</t>
        </is>
      </c>
      <c r="C2010" s="17" t="inlineStr">
        <is>
          <t>1001 Pneus - catalogue produits</t>
        </is>
      </c>
      <c r="D2010" s="17" t="inlineStr">
        <is>
          <t>Automotive Products</t>
        </is>
      </c>
      <c r="E2010" s="18" t="inlineStr">
        <is>
          <t>UNIROYAL WinterExpert 225/60 R 18 104 V XL FR pas cher</t>
        </is>
      </c>
      <c r="F2010" s="17" t="inlineStr">
        <is>
          <t>Votre pneu UNIROYAL WinterExpert 225/60 R 18 104 V XL au meilleur prix sur 1001pneus ! ⚡ Livraison rapide et gratuite* ⌚ Paiement CB en 3x / 4x ⭐ Montage des pneus près de chez</t>
        </is>
      </c>
      <c r="G2010" s="19" t="inlineStr">
        <is>
          <t>http://www.1001pneus.fr/uniroyal-winterexpert-225-60-r18-104-v-27872994-pn</t>
        </is>
      </c>
      <c r="H2010" s="20" t="n">
        <v>1967</v>
      </c>
      <c r="I2010" s="20" t="n">
        <v>6</v>
      </c>
      <c r="J2010" s="21">
        <f>IF(H2010=0,0,I2010/H2010)</f>
        <v/>
      </c>
    </row>
    <row r="2011">
      <c r="A2011" s="17" t="inlineStr">
        <is>
          <t>1001 Pneus</t>
        </is>
      </c>
      <c r="B2011" s="17" t="inlineStr">
        <is>
          <t>Terminé</t>
        </is>
      </c>
      <c r="C2011" s="17" t="inlineStr">
        <is>
          <t>1001 Pneus - catalogue produits</t>
        </is>
      </c>
      <c r="D2011" s="17" t="inlineStr">
        <is>
          <t>Automotive Products</t>
        </is>
      </c>
      <c r="E2011" s="18" t="inlineStr">
        <is>
          <t>CONTINENTAL ContiStreet 70/90 - 17 38P TL pas cher</t>
        </is>
      </c>
      <c r="F2011" s="17" t="inlineStr">
        <is>
          <t>Votre pneu CONTINENTAL ContiStreet 70/90 - 17 38P TL au meilleur prix sur 1001pneus ! ⚡ Livraison rapide et gratuite* ⌚ Paiement CB en 3x / 4x ⭐ Montage des pneus près de chez</t>
        </is>
      </c>
      <c r="G2011" s="19" t="inlineStr">
        <is>
          <t>http://www.1001pneus.fr/continental-contistreet-70-90-17-38-p-28144618-pn</t>
        </is>
      </c>
      <c r="H2011" s="20" t="n">
        <v>1966</v>
      </c>
      <c r="I2011" s="20" t="n">
        <v>10</v>
      </c>
      <c r="J2011" s="21">
        <f>IF(H2011=0,0,I2011/H2011)</f>
        <v/>
      </c>
    </row>
    <row r="2012">
      <c r="A2012" s="17" t="inlineStr">
        <is>
          <t>1001 Pneus</t>
        </is>
      </c>
      <c r="B2012" s="17" t="inlineStr">
        <is>
          <t>Terminé</t>
        </is>
      </c>
      <c r="C2012" s="17" t="inlineStr">
        <is>
          <t>1001 Pneus - catalogue produits</t>
        </is>
      </c>
      <c r="D2012" s="17" t="inlineStr">
        <is>
          <t>Pneus 4x4 et SUV</t>
        </is>
      </c>
      <c r="E2012" s="18" t="inlineStr">
        <is>
          <t>CONTINENTAL UltraContact 225/55 R 16 95 V pas cher</t>
        </is>
      </c>
      <c r="F2012" s="17" t="inlineStr">
        <is>
          <t>Votre pneu CONTINENTAL UltraContact 225/55 R 16 95 V au meilleur prix sur 1001pneus ! ⚡ Livraison rapide et gratuite* ⌚ Paiement CB en 3x / 4x ⭐ Montage des pneus près de chez</t>
        </is>
      </c>
      <c r="G2012" s="19" t="inlineStr">
        <is>
          <t>http://www.1001pneus.fr/continental-ultracontact-225-55-r16-95-v-28142895-pn</t>
        </is>
      </c>
      <c r="H2012" s="20" t="n">
        <v>1961</v>
      </c>
      <c r="I2012" s="20" t="n">
        <v>8</v>
      </c>
      <c r="J2012" s="21">
        <f>IF(H2012=0,0,I2012/H2012)</f>
        <v/>
      </c>
    </row>
    <row r="2013">
      <c r="A2013" s="17" t="inlineStr">
        <is>
          <t>1001 Pneus</t>
        </is>
      </c>
      <c r="B2013" s="17" t="inlineStr">
        <is>
          <t>Terminé</t>
        </is>
      </c>
      <c r="C2013" s="17" t="inlineStr">
        <is>
          <t>1001 Pneus - catalogue produits</t>
        </is>
      </c>
      <c r="D2013" s="17" t="inlineStr">
        <is>
          <t>Pneus 4x4 et SUV</t>
        </is>
      </c>
      <c r="E2013" s="18" t="inlineStr">
        <is>
          <t>PIRELLI Cinturato Adventure 700x35C (35-622) pas cher</t>
        </is>
      </c>
      <c r="F2013" s="17" t="inlineStr">
        <is>
          <t>Achetez votre PIRELLI Cinturato Adventure 700x35C (35-622) sur 1001pneus.fr ! ⚡ Livraison rapide et 100% gratuite* ⌚ Paiement CB en 3x ou 4x ⭐ Montage des pneus près de chez vous.</t>
        </is>
      </c>
      <c r="G2013" s="19" t="inlineStr">
        <is>
          <t>http://www.1001pneus.fr/pirelli-cinturato-adventure-700-35c-28145603-pn</t>
        </is>
      </c>
      <c r="H2013" s="20" t="n">
        <v>1958</v>
      </c>
      <c r="I2013" s="20" t="n">
        <v>11</v>
      </c>
      <c r="J2013" s="21">
        <f>IF(H2013=0,0,I2013/H2013)</f>
        <v/>
      </c>
    </row>
    <row r="2014">
      <c r="A2014" s="17" t="inlineStr">
        <is>
          <t>1001 Pneus</t>
        </is>
      </c>
      <c r="B2014" s="17" t="inlineStr">
        <is>
          <t>Terminé</t>
        </is>
      </c>
      <c r="C2014" s="17" t="inlineStr">
        <is>
          <t>1001 Pneus - catalogue produits</t>
        </is>
      </c>
      <c r="D2014" s="17" t="inlineStr">
        <is>
          <t>Automotive Products</t>
        </is>
      </c>
      <c r="E2014" s="18" t="inlineStr">
        <is>
          <t>VREDESTEIN Ultrac+ 215/65 R 17 99 V pas cher</t>
        </is>
      </c>
      <c r="F2014" s="17" t="inlineStr">
        <is>
          <t>Votre pneu VREDESTEIN Ultrac+ 215/65 R 17 99 V au meilleur prix sur 1001pneus ! ⚡ Livraison rapide et gratuite* ⌚ Paiement CB en 3x / 4x ⭐ Montage des pneus près de chez vous.</t>
        </is>
      </c>
      <c r="G2014" s="19" t="inlineStr">
        <is>
          <t>http://www.1001pneus.fr/vredestein-ultrac-plus-215-65-r17-99-v-28207744-pn</t>
        </is>
      </c>
      <c r="H2014" s="20" t="n">
        <v>1957</v>
      </c>
      <c r="I2014" s="20" t="n">
        <v>11</v>
      </c>
      <c r="J2014" s="21">
        <f>IF(H2014=0,0,I2014/H2014)</f>
        <v/>
      </c>
    </row>
    <row r="2015">
      <c r="A2015" s="17" t="inlineStr">
        <is>
          <t>1001 Pneus</t>
        </is>
      </c>
      <c r="B2015" s="17" t="inlineStr">
        <is>
          <t>Terminé</t>
        </is>
      </c>
      <c r="C2015" s="17" t="inlineStr">
        <is>
          <t>1001 Pneus - catalogue produits</t>
        </is>
      </c>
      <c r="D2015" s="17" t="inlineStr">
        <is>
          <t>Automotive Products</t>
        </is>
      </c>
      <c r="E2015" s="18" t="inlineStr">
        <is>
          <t>BRIDGESTONE Exedra G547 110/80 - 18 58V TL pas cher</t>
        </is>
      </c>
      <c r="F2015" s="17" t="inlineStr">
        <is>
          <t>Votre pneu BRIDGESTONE Exedra G547 110/80 - 18 58V TL au meilleur prix sur 1001pneus ! ⚡ Livraison rapide et gratuite* ⌚ Paiement CB en 3x / 4x ⭐ Montage des pneus près de chez</t>
        </is>
      </c>
      <c r="G2015" s="19" t="inlineStr">
        <is>
          <t>http://www.1001pneus.fr/bridgestone-exedra-g547-110-80-18-58-v-155722-pn</t>
        </is>
      </c>
      <c r="H2015" s="20" t="n">
        <v>1953</v>
      </c>
      <c r="I2015" s="20" t="n">
        <v>11</v>
      </c>
      <c r="J2015" s="21">
        <f>IF(H2015=0,0,I2015/H2015)</f>
        <v/>
      </c>
    </row>
    <row r="2016">
      <c r="A2016" s="17" t="inlineStr">
        <is>
          <t>1001 Pneus</t>
        </is>
      </c>
      <c r="B2016" s="17" t="inlineStr">
        <is>
          <t>Terminé</t>
        </is>
      </c>
      <c r="C2016" s="17" t="inlineStr">
        <is>
          <t>1001 Pneus - catalogue produits</t>
        </is>
      </c>
      <c r="D2016" s="17" t="inlineStr">
        <is>
          <t>Automotive Products</t>
        </is>
      </c>
      <c r="E2016" s="18" t="inlineStr">
        <is>
          <t>MICHELIN XVS 185/ VR 15 93 V  pas cher</t>
        </is>
      </c>
      <c r="F2016" s="17" t="inlineStr">
        <is>
          <t>Votre pneu MICHELIN XVS 185/ VR 15 93 V au meilleur prix sur 1001pneus ! ⚡ Livraison rapide et gratuite* ⌚ Paiement CB en 3x / 4x ⭐ Montage des pneus près de chez vous.</t>
        </is>
      </c>
      <c r="G2016" s="19" t="inlineStr">
        <is>
          <t>http://www.1001pneus.fr/michelin-xvs-185-vr15-93-v-27773945-pn</t>
        </is>
      </c>
      <c r="H2016" s="20" t="n">
        <v>1952</v>
      </c>
      <c r="I2016" s="20" t="n">
        <v>8</v>
      </c>
      <c r="J2016" s="21">
        <f>IF(H2016=0,0,I2016/H2016)</f>
        <v/>
      </c>
    </row>
    <row r="2017">
      <c r="A2017" s="17" t="inlineStr">
        <is>
          <t>1001 Pneus</t>
        </is>
      </c>
      <c r="B2017" s="17" t="inlineStr">
        <is>
          <t>Terminé</t>
        </is>
      </c>
      <c r="C2017" s="17" t="inlineStr">
        <is>
          <t>1001 Pneus - catalogue produits</t>
        </is>
      </c>
      <c r="D2017" s="17" t="inlineStr">
        <is>
          <t>Pneus 4x4 et SUV</t>
        </is>
      </c>
      <c r="E2017" s="18" t="inlineStr">
        <is>
          <t>MICHELIN City Touring 29x2.40 (60-622) pas cher</t>
        </is>
      </c>
      <c r="F2017" s="17" t="inlineStr">
        <is>
          <t>Achetez votre MICHELIN City Touring 29x2.40 (60-622) sur 1001pneus.fr ! ⚡ Livraison rapide et 100% gratuite* ⌚ Paiement CB en 3x ou 4x ⭐ Montage des pneus près de chez vous.</t>
        </is>
      </c>
      <c r="G2017" s="19" t="inlineStr">
        <is>
          <t>http://www.1001pneus.fr/michelin-city-touring-29-240-28209297-pn</t>
        </is>
      </c>
      <c r="H2017" s="20" t="n">
        <v>1946</v>
      </c>
      <c r="I2017" s="20" t="n">
        <v>11</v>
      </c>
      <c r="J2017" s="21">
        <f>IF(H2017=0,0,I2017/H2017)</f>
        <v/>
      </c>
    </row>
    <row r="2018">
      <c r="A2018" s="17" t="inlineStr">
        <is>
          <t>1001 Pneus</t>
        </is>
      </c>
      <c r="B2018" s="17" t="inlineStr">
        <is>
          <t>Terminé</t>
        </is>
      </c>
      <c r="C2018" s="17" t="inlineStr">
        <is>
          <t>1001 Pneus - catalogue produits</t>
        </is>
      </c>
      <c r="D2018" s="17" t="inlineStr">
        <is>
          <t>Automotive Products</t>
        </is>
      </c>
      <c r="E2018" s="18" t="inlineStr">
        <is>
          <t>GOODYEAR Eqmax S 385/55 R22.5 160K (158L)</t>
        </is>
      </c>
      <c r="F2018" s="17" t="inlineStr">
        <is>
          <t>Achetez votre GOODYEAR Eqmax S 385/55 R22.5 160K (158L) au meilleur prix sur 1001pneus.fr ! ⚡ Livraison rapide et 100% gratuite* ⌚ Paiement CB en 3x ou 4x ⭐ Montage des pneus près</t>
        </is>
      </c>
      <c r="G2018" s="19" t="inlineStr">
        <is>
          <t>http://www.1001pneus.fr/goodyear-eqmax-s-385-55-r225-160-k-28206901-pn</t>
        </is>
      </c>
      <c r="H2018" s="20" t="n">
        <v>1945</v>
      </c>
      <c r="I2018" s="20" t="n">
        <v>14</v>
      </c>
      <c r="J2018" s="21">
        <f>IF(H2018=0,0,I2018/H2018)</f>
        <v/>
      </c>
    </row>
    <row r="2019">
      <c r="A2019" s="17" t="inlineStr">
        <is>
          <t>1001 Pneus</t>
        </is>
      </c>
      <c r="B2019" s="17" t="inlineStr">
        <is>
          <t>Terminé</t>
        </is>
      </c>
      <c r="C2019" s="17" t="inlineStr">
        <is>
          <t>1001 Pneus - catalogue produits</t>
        </is>
      </c>
      <c r="D2019" s="17" t="inlineStr">
        <is>
          <t>Automotive Products</t>
        </is>
      </c>
      <c r="E2019" s="18" t="inlineStr">
        <is>
          <t>PIRELLI TG88 315/80 R 22.5 156/150K</t>
        </is>
      </c>
      <c r="F2019" s="17" t="inlineStr">
        <is>
          <t>Achetez votre PIRELLI TG88 315/80 R 22.5 156/150K au meilleur prix sur 1001pneus.fr ! ⚡ Livraison rapide et 100% gratuite* ⌚ Paiement CB en 3x ou 4x ⭐ Montage des pneus près de</t>
        </is>
      </c>
      <c r="G2019" s="19" t="inlineStr">
        <is>
          <t>http://www.1001pneus.fr/pirelli-tg88-315-80-r225-156-k-27076716-pn</t>
        </is>
      </c>
      <c r="H2019" s="20" t="n">
        <v>1938</v>
      </c>
      <c r="I2019" s="20" t="n">
        <v>7</v>
      </c>
      <c r="J2019" s="21">
        <f>IF(H2019=0,0,I2019/H2019)</f>
        <v/>
      </c>
    </row>
    <row r="2020">
      <c r="A2020" s="17" t="inlineStr">
        <is>
          <t>1001 Pneus</t>
        </is>
      </c>
      <c r="B2020" s="17" t="inlineStr">
        <is>
          <t>Terminé</t>
        </is>
      </c>
      <c r="C2020" s="17" t="inlineStr">
        <is>
          <t>1001 Pneus - catalogue produits</t>
        </is>
      </c>
      <c r="D2020" s="17" t="inlineStr">
        <is>
          <t>Automotive Products</t>
        </is>
      </c>
      <c r="E2020" s="18" t="inlineStr">
        <is>
          <t>PIRELLI P6000 N3 185/70 R 15 89 W pas cher</t>
        </is>
      </c>
      <c r="F2020" s="17" t="inlineStr">
        <is>
          <t>Votre pneu PIRELLI P6000 N3 185/70 R 15 89 W au meilleur prix sur 1001pneus ! ⚡ Livraison rapide et gratuite* ⌚ Paiement CB en 3x / 4x ⭐ Montage des pneus près de chez vous.</t>
        </is>
      </c>
      <c r="G2020" s="19" t="inlineStr">
        <is>
          <t>http://www.1001pneus.fr/pirelli-p6000-185-70-r15-89-w-27762076-pn</t>
        </is>
      </c>
      <c r="H2020" s="20" t="n">
        <v>1936</v>
      </c>
      <c r="I2020" s="20" t="n">
        <v>7</v>
      </c>
      <c r="J2020" s="21">
        <f>IF(H2020=0,0,I2020/H2020)</f>
        <v/>
      </c>
    </row>
    <row r="2021">
      <c r="A2021" s="17" t="inlineStr">
        <is>
          <t>1001 Pneus</t>
        </is>
      </c>
      <c r="B2021" s="17" t="inlineStr">
        <is>
          <t>Terminé</t>
        </is>
      </c>
      <c r="C2021" s="17" t="inlineStr">
        <is>
          <t>1001 Pneus - catalogue produits</t>
        </is>
      </c>
      <c r="D2021" s="17" t="inlineStr">
        <is>
          <t>Pneus 4x4 et SUV</t>
        </is>
      </c>
      <c r="E2021" s="18" t="inlineStr">
        <is>
          <t>TAURUS Winter 175/65 R 15 84 T pas cher</t>
        </is>
      </c>
      <c r="F2021" s="17" t="inlineStr">
        <is>
          <t>Votre pneu TAURUS Winter 175/65 R 15 84 T au meilleur prix sur 1001pneus ! ⚡ Livraison rapide et gratuite* ⌚ Paiement CB en 3x / 4x ⭐ Montage des pneus près de chez vous.</t>
        </is>
      </c>
      <c r="G2021" s="19" t="inlineStr">
        <is>
          <t>http://www.1001pneus.fr/taurus-winter-175-65-r15-84-t-27179603-pn</t>
        </is>
      </c>
      <c r="H2021" s="20" t="n">
        <v>1934</v>
      </c>
      <c r="I2021" s="20" t="n">
        <v>8</v>
      </c>
      <c r="J2021" s="21">
        <f>IF(H2021=0,0,I2021/H2021)</f>
        <v/>
      </c>
    </row>
    <row r="2022">
      <c r="A2022" s="17" t="inlineStr">
        <is>
          <t>1001 Pneus</t>
        </is>
      </c>
      <c r="B2022" s="17" t="inlineStr">
        <is>
          <t>Terminé</t>
        </is>
      </c>
      <c r="C2022" s="17" t="inlineStr">
        <is>
          <t>1001 Pneus - catalogue produits</t>
        </is>
      </c>
      <c r="D2022" s="17" t="inlineStr">
        <is>
          <t>Automotive Products</t>
        </is>
      </c>
      <c r="E2022" s="18" t="inlineStr">
        <is>
          <t>Pneu Fulda MultiControl 165/65 R14 79T 4 Saisons</t>
        </is>
      </c>
      <c r="F2022" s="17" t="inlineStr">
        <is>
          <t>Votre pneu FULDA MultiControl 165/65 R 14 79 T au meilleur prix sur 1001pneus ! ⚡ Livraison rapide et gratuite* ⌚ Paiement CB en 3x / 4x ⭐ Montage des pneus près de chez vous.</t>
        </is>
      </c>
      <c r="G2022" s="19" t="inlineStr">
        <is>
          <t>http://www.1001pneus.fr/fulda-multicontrol-165-65-r14-79-t-24849951-pn</t>
        </is>
      </c>
      <c r="H2022" s="20" t="n">
        <v>1933</v>
      </c>
      <c r="I2022" s="20" t="n">
        <v>3</v>
      </c>
      <c r="J2022" s="21">
        <f>IF(H2022=0,0,I2022/H2022)</f>
        <v/>
      </c>
    </row>
    <row r="2023">
      <c r="A2023" s="17" t="inlineStr">
        <is>
          <t>1001 Pneus</t>
        </is>
      </c>
      <c r="B2023" s="17" t="inlineStr">
        <is>
          <t>Terminé</t>
        </is>
      </c>
      <c r="C2023" s="17" t="inlineStr">
        <is>
          <t>1001 Pneus - catalogue produits</t>
        </is>
      </c>
      <c r="D2023" s="17" t="inlineStr">
        <is>
          <t>Automotive Products</t>
        </is>
      </c>
      <c r="E2023" s="18" t="inlineStr">
        <is>
          <t>MICHELIN e.Primacy 245/50 R 18 104 H XL pas cher</t>
        </is>
      </c>
      <c r="F2023" s="17" t="inlineStr">
        <is>
          <t>Votre pneu MICHELIN e.Primacy 245/50 R 18 104 H XL au meilleur prix sur 1001pneus ! ⚡ Livraison rapide et gratuite* ⌚ Paiement CB en 3x / 4x ⭐ Montage des pneus près de chez vous.</t>
        </is>
      </c>
      <c r="G2023" s="19" t="inlineStr">
        <is>
          <t>http://www.1001pneus.fr/michelin-e-primacy-245-50-r18-104-h-27819637-pn</t>
        </is>
      </c>
      <c r="H2023" s="20" t="n">
        <v>1930</v>
      </c>
      <c r="I2023" s="20" t="n">
        <v>12</v>
      </c>
      <c r="J2023" s="21">
        <f>IF(H2023=0,0,I2023/H2023)</f>
        <v/>
      </c>
    </row>
    <row r="2024">
      <c r="A2024" s="17" t="inlineStr">
        <is>
          <t>1001 Pneus</t>
        </is>
      </c>
      <c r="B2024" s="17" t="inlineStr">
        <is>
          <t>Terminé</t>
        </is>
      </c>
      <c r="C2024" s="17" t="inlineStr">
        <is>
          <t>1001 Pneus - catalogue produits</t>
        </is>
      </c>
      <c r="D2024" s="17" t="inlineStr">
        <is>
          <t>Pneus 4x4 et SUV</t>
        </is>
      </c>
      <c r="E2024" s="18" t="inlineStr">
        <is>
          <t>BRIDGESTONE R-Drive 001 Plus 315/80 R22.5 156/150L</t>
        </is>
      </c>
      <c r="F2024" s="17" t="inlineStr">
        <is>
          <t>Achetez votre BRIDGESTONE R-Drive 001 Plus 315/80 R22.5 156/150L (154/150M) au meilleur prix sur 1001pneus.fr ! ⚡ Livraison rapide et 100% gratuite* ⌚ Paiement CB en 3x ou 4x ⭐</t>
        </is>
      </c>
      <c r="G2024" s="19" t="inlineStr">
        <is>
          <t>http://www.1001pneus.fr/bridgestone-r-drive-001-plus-315-80-r225-156-l-28085294-pn</t>
        </is>
      </c>
      <c r="H2024" s="20" t="n">
        <v>1927</v>
      </c>
      <c r="I2024" s="20" t="n">
        <v>8</v>
      </c>
      <c r="J2024" s="21">
        <f>IF(H2024=0,0,I2024/H2024)</f>
        <v/>
      </c>
    </row>
    <row r="2025">
      <c r="A2025" s="17" t="inlineStr">
        <is>
          <t>1001 Pneus</t>
        </is>
      </c>
      <c r="B2025" s="17" t="inlineStr">
        <is>
          <t>Terminé</t>
        </is>
      </c>
      <c r="C2025" s="17" t="inlineStr">
        <is>
          <t>1001 Pneus - catalogue produits</t>
        </is>
      </c>
      <c r="D2025" s="17" t="inlineStr">
        <is>
          <t>Automotive Products</t>
        </is>
      </c>
      <c r="E2025" s="18" t="inlineStr">
        <is>
          <t>MAXXIS C-824 5.20/5.00 - 10 74 72 M  pas cher</t>
        </is>
      </c>
      <c r="F2025" s="17" t="inlineStr">
        <is>
          <t>Votre pneu MAXXIS C-824 5.20/5.00 - 10 74 72 M au meilleur prix sur 1001pneus ! ⚡ Livraison rapide et gratuite* ⌚ Paiement CB en 3x / 4x ⭐ Montage des pneus près de chez vous.</t>
        </is>
      </c>
      <c r="G2025" s="19" t="inlineStr">
        <is>
          <t>http://www.1001pneus.fr/maxxis-c-824-520-500-10-74-m-27762315-pn</t>
        </is>
      </c>
      <c r="H2025" s="20" t="n">
        <v>1924</v>
      </c>
      <c r="I2025" s="20" t="n">
        <v>12</v>
      </c>
      <c r="J2025" s="21">
        <f>IF(H2025=0,0,I2025/H2025)</f>
        <v/>
      </c>
    </row>
    <row r="2026">
      <c r="A2026" s="17" t="inlineStr">
        <is>
          <t>1001 Pneus</t>
        </is>
      </c>
      <c r="B2026" s="17" t="inlineStr">
        <is>
          <t>Terminé</t>
        </is>
      </c>
      <c r="C2026" s="17" t="inlineStr">
        <is>
          <t>1001 Pneus - catalogue produits</t>
        </is>
      </c>
      <c r="D2026" s="17" t="inlineStr">
        <is>
          <t>Pneus 4x4 et SUV</t>
        </is>
      </c>
      <c r="E2026" s="18" t="inlineStr">
        <is>
          <t>YOKOHAMA 704R 315/60 R22.5 152/148L</t>
        </is>
      </c>
      <c r="F2026" s="17" t="inlineStr">
        <is>
          <t>Achetez votre YOKOHAMA 704R 315/60 R22.5 152/148L au meilleur prix sur 1001pneus.fr ! ⚡ Livraison rapide et 100% gratuite* ⌚ Paiement CB en 3x ou 4x ⭐ Montage des pneus près de</t>
        </is>
      </c>
      <c r="G2026" s="19" t="inlineStr">
        <is>
          <t>http://www.1001pneus.fr/yokohama-704r-315-60-r225-152-l-28185531-pn</t>
        </is>
      </c>
      <c r="H2026" s="20" t="n">
        <v>1922</v>
      </c>
      <c r="I2026" s="20" t="n">
        <v>7</v>
      </c>
      <c r="J2026" s="21">
        <f>IF(H2026=0,0,I2026/H2026)</f>
        <v/>
      </c>
    </row>
    <row r="2027">
      <c r="A2027" s="17" t="inlineStr">
        <is>
          <t>1001 Pneus</t>
        </is>
      </c>
      <c r="B2027" s="17" t="inlineStr">
        <is>
          <t>Terminé</t>
        </is>
      </c>
      <c r="C2027" s="17" t="inlineStr">
        <is>
          <t>1001 Pneus - catalogue produits</t>
        </is>
      </c>
      <c r="D2027" s="17" t="inlineStr">
        <is>
          <t>Automotive Products</t>
        </is>
      </c>
      <c r="E2027" s="18" t="inlineStr">
        <is>
          <t>BRIDGESTONE R-Drive 001 Plus 315/80 R22.5 156/150L</t>
        </is>
      </c>
      <c r="F2027" s="17" t="inlineStr">
        <is>
          <t>Achetez votre BRIDGESTONE R-Drive 001 Plus 315/80 R22.5 156/150L (154/150M) au meilleur prix sur 1001pneus.fr ! ⚡ Livraison rapide et 100% gratuite* ⌚ Paiement CB en 3x ou 4x ⭐</t>
        </is>
      </c>
      <c r="G2027" s="19" t="inlineStr">
        <is>
          <t>http://www.1001pneus.fr/bridgestone-r-drive-001-plus-315-80-r225-156-l-28085294-pn</t>
        </is>
      </c>
      <c r="H2027" s="20" t="n">
        <v>1920</v>
      </c>
      <c r="I2027" s="20" t="n">
        <v>12</v>
      </c>
      <c r="J2027" s="21">
        <f>IF(H2027=0,0,I2027/H2027)</f>
        <v/>
      </c>
    </row>
    <row r="2028">
      <c r="A2028" s="17" t="inlineStr">
        <is>
          <t>1001 Pneus</t>
        </is>
      </c>
      <c r="B2028" s="17" t="inlineStr">
        <is>
          <t>Terminé</t>
        </is>
      </c>
      <c r="C2028" s="17" t="inlineStr">
        <is>
          <t>1001 Pneus - catalogue produits</t>
        </is>
      </c>
      <c r="D2028" s="17" t="inlineStr">
        <is>
          <t>Automotive Products</t>
        </is>
      </c>
      <c r="E2028" s="18" t="inlineStr">
        <is>
          <t>Pneu Fulda MultiControl 155/65 R14 75T 4 Saisons</t>
        </is>
      </c>
      <c r="F2028" s="17" t="inlineStr">
        <is>
          <t>Votre pneu FULDA MultiControl 155/65 R 14 75 T au meilleur prix sur 1001pneus ! ⚡ Livraison rapide et gratuite* ⌚ Paiement CB en 3x / 4x ⭐ Montage des pneus près de chez vous.</t>
        </is>
      </c>
      <c r="G2028" s="19" t="inlineStr">
        <is>
          <t>http://www.1001pneus.fr/fulda-multicontrol-155-65-r14-75-t-24824581-pn</t>
        </is>
      </c>
      <c r="H2028" s="20" t="n">
        <v>1917</v>
      </c>
      <c r="I2028" s="20" t="n">
        <v>5</v>
      </c>
      <c r="J2028" s="21">
        <f>IF(H2028=0,0,I2028/H2028)</f>
        <v/>
      </c>
    </row>
    <row r="2029">
      <c r="A2029" s="17" t="inlineStr">
        <is>
          <t>1001 Pneus</t>
        </is>
      </c>
      <c r="B2029" s="17" t="inlineStr">
        <is>
          <t>Terminé</t>
        </is>
      </c>
      <c r="C2029" s="17" t="inlineStr">
        <is>
          <t>1001 Pneus - catalogue produits</t>
        </is>
      </c>
      <c r="D2029" s="17" t="inlineStr">
        <is>
          <t>Automotive Products</t>
        </is>
      </c>
      <c r="E2029" s="18" t="inlineStr">
        <is>
          <t>KUMHO KRS03 275/70 R22.5 148/145M 16PR</t>
        </is>
      </c>
      <c r="F2029" s="17" t="inlineStr">
        <is>
          <t>Achetez votre KUMHO KRS03 275/70 R22.5 148/145M au meilleur prix sur 1001pneus.fr ! ⚡ Livraison rapide et 100% gratuite* ⌚ Paiement CB en 3x ou 4x ⭐ Montage des pneus près de chez</t>
        </is>
      </c>
      <c r="G2029" s="19" t="inlineStr">
        <is>
          <t>http://www.1001pneus.fr/kumho-krs03-275-70-r225-148-m-28103161-pn</t>
        </is>
      </c>
      <c r="H2029" s="20" t="n">
        <v>1913</v>
      </c>
      <c r="I2029" s="20" t="n">
        <v>14</v>
      </c>
      <c r="J2029" s="21">
        <f>IF(H2029=0,0,I2029/H2029)</f>
        <v/>
      </c>
    </row>
    <row r="2030">
      <c r="A2030" s="17" t="inlineStr">
        <is>
          <t>1001 Pneus</t>
        </is>
      </c>
      <c r="B2030" s="17" t="inlineStr">
        <is>
          <t>Terminé</t>
        </is>
      </c>
      <c r="C2030" s="17" t="inlineStr">
        <is>
          <t>1001 Pneus - catalogue produits</t>
        </is>
      </c>
      <c r="D2030" s="17" t="inlineStr">
        <is>
          <t>Automotive Products</t>
        </is>
      </c>
      <c r="E2030" s="18" t="inlineStr">
        <is>
          <t>PIRELLI Powergy 2 215/55 R 18 99 V XL pas cher</t>
        </is>
      </c>
      <c r="F2030" s="17" t="inlineStr">
        <is>
          <t>Votre pneu PIRELLI Powergy 2 215/55 R 18 99 V XL au meilleur prix sur 1001pneus ! ⚡ Livraison rapide et gratuite* ⌚ Paiement CB en 3x / 4x ⭐ Montage des pneus près de chez vous.</t>
        </is>
      </c>
      <c r="G2030" s="19" t="inlineStr">
        <is>
          <t>http://www.1001pneus.fr/pirelli-powergy-2-215-55-r18-99-v-28221609-pn</t>
        </is>
      </c>
      <c r="H2030" s="20" t="n">
        <v>1912</v>
      </c>
      <c r="I2030" s="20" t="n">
        <v>11</v>
      </c>
      <c r="J2030" s="21">
        <f>IF(H2030=0,0,I2030/H2030)</f>
        <v/>
      </c>
    </row>
    <row r="2031">
      <c r="A2031" s="17" t="inlineStr">
        <is>
          <t>1001 Pneus</t>
        </is>
      </c>
      <c r="B2031" s="17" t="inlineStr">
        <is>
          <t>Terminé</t>
        </is>
      </c>
      <c r="C2031" s="17" t="inlineStr">
        <is>
          <t>1001 Pneus - catalogue produits</t>
        </is>
      </c>
      <c r="D2031" s="17" t="inlineStr">
        <is>
          <t>Automotive Products</t>
        </is>
      </c>
      <c r="E2031" s="18" t="inlineStr">
        <is>
          <t>DUNLOP D404 170/80 - 15 77H TL pas cher</t>
        </is>
      </c>
      <c r="F2031" s="17" t="inlineStr">
        <is>
          <t>Votre pneu DUNLOP D404 170/80 - 15 77H TL au meilleur prix sur 1001pneus ! ⚡ Livraison rapide et gratuite* ⌚ Paiement CB en 3x / 4x ⭐ Montage des pneus près de chez vous.</t>
        </is>
      </c>
      <c r="G2031" s="19" t="inlineStr">
        <is>
          <t>http://www.1001pneus.fr/dunlop-d404-170-80-15-77-h-27773477-pn</t>
        </is>
      </c>
      <c r="H2031" s="20" t="n">
        <v>1905</v>
      </c>
      <c r="I2031" s="20" t="n">
        <v>11</v>
      </c>
      <c r="J2031" s="21">
        <f>IF(H2031=0,0,I2031/H2031)</f>
        <v/>
      </c>
    </row>
    <row r="2032">
      <c r="A2032" s="17" t="inlineStr">
        <is>
          <t>1001 Pneus</t>
        </is>
      </c>
      <c r="B2032" s="17" t="inlineStr">
        <is>
          <t>Terminé</t>
        </is>
      </c>
      <c r="C2032" s="17" t="inlineStr">
        <is>
          <t>1001 Pneus - catalogue produits</t>
        </is>
      </c>
      <c r="D2032" s="17" t="inlineStr">
        <is>
          <t>Automotive Products</t>
        </is>
      </c>
      <c r="E2032" s="18" t="inlineStr">
        <is>
          <t>RADAR RPX-800 185/50 R 16 85 V XL pas cher</t>
        </is>
      </c>
      <c r="F2032" s="17" t="inlineStr">
        <is>
          <t>Votre pneu RADAR RPX-800 185/50 R 16 85 V XL au meilleur prix sur 1001pneus ! ⚡ Livraison rapide et gratuite* ⌚ Paiement CB en 3x / 4x ⭐ Montage des pneus près de chez vous.</t>
        </is>
      </c>
      <c r="G2032" s="19" t="inlineStr">
        <is>
          <t>http://www.1001pneus.fr/radar-rpx-800-185-50-r16-85-v-27785968-pn</t>
        </is>
      </c>
      <c r="H2032" s="20" t="n">
        <v>1903</v>
      </c>
      <c r="I2032" s="20" t="n">
        <v>11</v>
      </c>
      <c r="J2032" s="21">
        <f>IF(H2032=0,0,I2032/H2032)</f>
        <v/>
      </c>
    </row>
    <row r="2033">
      <c r="A2033" s="17" t="inlineStr">
        <is>
          <t>1001 Pneus</t>
        </is>
      </c>
      <c r="B2033" s="17" t="inlineStr">
        <is>
          <t>Terminé</t>
        </is>
      </c>
      <c r="C2033" s="17" t="inlineStr">
        <is>
          <t>1001 Pneus - catalogue produits</t>
        </is>
      </c>
      <c r="D2033" s="17" t="inlineStr">
        <is>
          <t>Automotive Products</t>
        </is>
      </c>
      <c r="E2033" s="18" t="inlineStr">
        <is>
          <t>BFGOODRICH Advantage 185/60 R 15 84 H  pas cher</t>
        </is>
      </c>
      <c r="F2033" s="17" t="inlineStr">
        <is>
          <t>Votre pneu BFGOODRICH Advantage 185/60 R 15 84 H au meilleur prix sur 1001pneus ! ⚡ Livraison rapide et gratuite* ⌚ Paiement CB en 3x / 4x ⭐ Montage des pneus près de chez vous.</t>
        </is>
      </c>
      <c r="G2033" s="19" t="inlineStr">
        <is>
          <t>http://www.1001pneus.fr/bfgoodrich-advantage-185-60-r15-84-h-27782561-pn</t>
        </is>
      </c>
      <c r="H2033" s="20" t="n">
        <v>1898</v>
      </c>
      <c r="I2033" s="20" t="n">
        <v>11</v>
      </c>
      <c r="J2033" s="21">
        <f>IF(H2033=0,0,I2033/H2033)</f>
        <v/>
      </c>
    </row>
    <row r="2034">
      <c r="A2034" s="17" t="inlineStr">
        <is>
          <t>1001 Pneus</t>
        </is>
      </c>
      <c r="B2034" s="17" t="inlineStr">
        <is>
          <t>Terminé</t>
        </is>
      </c>
      <c r="C2034" s="17" t="inlineStr">
        <is>
          <t>1001 Pneus - catalogue produits</t>
        </is>
      </c>
      <c r="D2034" s="17" t="inlineStr">
        <is>
          <t>Automotive Products</t>
        </is>
      </c>
      <c r="E2034" s="18" t="inlineStr">
        <is>
          <t>FALKEN e.Ziex 215/50 R 19 97 V XL Silent Core pas cher</t>
        </is>
      </c>
      <c r="F2034" s="17" t="inlineStr">
        <is>
          <t>Votre pneu FALKEN e.Ziex 215/50 R 19 97 V XL au meilleur prix sur 1001pneus ! ⚡ Livraison rapide et gratuite* ⌚ Paiement CB en 3x / 4x ⭐ Montage des pneus près de chez vous.</t>
        </is>
      </c>
      <c r="G2034" s="19" t="inlineStr">
        <is>
          <t>http://www.1001pneus.fr/falken-e-ziex-215-50-r19-97-v-28185745-pn</t>
        </is>
      </c>
      <c r="H2034" s="20" t="n">
        <v>1893</v>
      </c>
      <c r="I2034" s="20" t="n">
        <v>9</v>
      </c>
      <c r="J2034" s="21">
        <f>IF(H2034=0,0,I2034/H2034)</f>
        <v/>
      </c>
    </row>
    <row r="2035">
      <c r="A2035" s="17" t="inlineStr">
        <is>
          <t>1001 Pneus</t>
        </is>
      </c>
      <c r="B2035" s="17" t="inlineStr">
        <is>
          <t>Terminé</t>
        </is>
      </c>
      <c r="C2035" s="17" t="inlineStr">
        <is>
          <t>1001 Pneus - catalogue produits</t>
        </is>
      </c>
      <c r="D2035" s="17" t="inlineStr">
        <is>
          <t>Automotive Products</t>
        </is>
      </c>
      <c r="E2035" s="18" t="inlineStr">
        <is>
          <t>PIRELLI Diablo Superbike 180/60 R 17 TL pas cher</t>
        </is>
      </c>
      <c r="F2035" s="17" t="inlineStr">
        <is>
          <t>Votre pneu PIRELLI Diablo Superbike 180/60 R 17 TL au meilleur prix sur 1001pneus ! ⚡ Livraison rapide et gratuite* ⌚ Paiement CB en 3x / 4x ⭐ Montage des pneus près de chez vous.</t>
        </is>
      </c>
      <c r="G2035" s="19" t="inlineStr">
        <is>
          <t>http://www.1001pneus.fr/pirelli-diablo-superbike-180-60-r17-21807024-pn</t>
        </is>
      </c>
      <c r="H2035" s="20" t="n">
        <v>1889</v>
      </c>
      <c r="I2035" s="20" t="n">
        <v>5</v>
      </c>
      <c r="J2035" s="21">
        <f>IF(H2035=0,0,I2035/H2035)</f>
        <v/>
      </c>
    </row>
    <row r="2036">
      <c r="A2036" s="17" t="inlineStr">
        <is>
          <t>1001 Pneus</t>
        </is>
      </c>
      <c r="B2036" s="17" t="inlineStr">
        <is>
          <t>Terminé</t>
        </is>
      </c>
      <c r="C2036" s="17" t="inlineStr">
        <is>
          <t>1001 Pneus - catalogue produits</t>
        </is>
      </c>
      <c r="D2036" s="17" t="inlineStr">
        <is>
          <t>Automotive Products</t>
        </is>
      </c>
      <c r="E2036" s="18" t="inlineStr">
        <is>
          <t>YOKOHAMA 704R 315/60 R22.5 152/148L</t>
        </is>
      </c>
      <c r="F2036" s="17" t="inlineStr">
        <is>
          <t>Achetez votre YOKOHAMA 704R 315/60 R22.5 152/148L au meilleur prix sur 1001pneus.fr ! ⚡ Livraison rapide et 100% gratuite* ⌚ Paiement CB en 3x ou 4x ⭐ Montage des pneus près de</t>
        </is>
      </c>
      <c r="G2036" s="19" t="inlineStr">
        <is>
          <t>http://www.1001pneus.fr/yokohama-704r-315-60-r225-152-l-28185531-pn</t>
        </is>
      </c>
      <c r="H2036" s="20" t="n">
        <v>1867</v>
      </c>
      <c r="I2036" s="20" t="n">
        <v>8</v>
      </c>
      <c r="J2036" s="21">
        <f>IF(H2036=0,0,I2036/H2036)</f>
        <v/>
      </c>
    </row>
    <row r="2037">
      <c r="A2037" s="17" t="inlineStr">
        <is>
          <t>1001 Pneus</t>
        </is>
      </c>
      <c r="B2037" s="17" t="inlineStr">
        <is>
          <t>Terminé</t>
        </is>
      </c>
      <c r="C2037" s="17" t="inlineStr">
        <is>
          <t>1001 Pneus - catalogue produits</t>
        </is>
      </c>
      <c r="D2037" s="17" t="inlineStr">
        <is>
          <t>Automotive Products</t>
        </is>
      </c>
      <c r="E2037" s="18" t="inlineStr">
        <is>
          <t>Pneu Fulda MultiControl 155/70 R13 75T 4 Saisons</t>
        </is>
      </c>
      <c r="F2037" s="17" t="inlineStr">
        <is>
          <t>Votre pneu FULDA MultiControl 155/70 R 13 75 T au meilleur prix sur 1001pneus ! ⚡ Livraison rapide et gratuite* ⌚ Paiement CB en 3x / 4x ⭐ Montage des pneus près de chez vous.</t>
        </is>
      </c>
      <c r="G2037" s="19" t="inlineStr">
        <is>
          <t>http://www.1001pneus.fr/fulda-multicontrol-155-70-r13-75-t-24565989-pn</t>
        </is>
      </c>
      <c r="H2037" s="20" t="n">
        <v>1859</v>
      </c>
      <c r="I2037" s="20" t="n">
        <v>7</v>
      </c>
      <c r="J2037" s="21">
        <f>IF(H2037=0,0,I2037/H2037)</f>
        <v/>
      </c>
    </row>
    <row r="2038">
      <c r="A2038" s="17" t="inlineStr">
        <is>
          <t>1001 Pneus</t>
        </is>
      </c>
      <c r="B2038" s="17" t="inlineStr">
        <is>
          <t>Terminé</t>
        </is>
      </c>
      <c r="C2038" s="17" t="inlineStr">
        <is>
          <t>1001 Pneus - catalogue produits</t>
        </is>
      </c>
      <c r="D2038" s="17" t="inlineStr">
        <is>
          <t>Automotive Products</t>
        </is>
      </c>
      <c r="E2038" s="18" t="inlineStr">
        <is>
          <t>HANKOOK Radial RA14 225/60 R 16 105 103 T pas cher</t>
        </is>
      </c>
      <c r="F2038" s="17" t="inlineStr">
        <is>
          <t>Votre pneu HANKOOK Radial RA14 225/60 R 16 105 103 T au meilleur prix sur 1001pneus ! ⚡ Livraison rapide et gratuite* ⌚ Paiement CB en 3x / 4x ⭐ Montage des pneus près de chez</t>
        </is>
      </c>
      <c r="G2038" s="19" t="inlineStr">
        <is>
          <t>http://www.1001pneus.fr/hankook-radial-ra14-225-60-r16-105-t-24172-pn</t>
        </is>
      </c>
      <c r="H2038" s="20" t="n">
        <v>1854</v>
      </c>
      <c r="I2038" s="20" t="n">
        <v>11</v>
      </c>
      <c r="J2038" s="21">
        <f>IF(H2038=0,0,I2038/H2038)</f>
        <v/>
      </c>
    </row>
    <row r="2039">
      <c r="A2039" s="17" t="inlineStr">
        <is>
          <t>1001 Pneus</t>
        </is>
      </c>
      <c r="B2039" s="17" t="inlineStr">
        <is>
          <t>Terminé</t>
        </is>
      </c>
      <c r="C2039" s="17" t="inlineStr">
        <is>
          <t>1001 Pneus - catalogue produits</t>
        </is>
      </c>
      <c r="D2039" s="17" t="inlineStr">
        <is>
          <t>Automotive Products</t>
        </is>
      </c>
      <c r="E2039" s="18" t="inlineStr">
        <is>
          <t>PIRELLI Scorpion 275/45 R 20 110 Y XL  pas cher</t>
        </is>
      </c>
      <c r="F2039" s="17" t="inlineStr">
        <is>
          <t>Votre pneu PIRELLI Scorpion 275/45 R 20 110 Y XL au meilleur prix sur 1001pneus ! ⚡ Livraison rapide et gratuite* ⌚ Paiement CB en 3x / 4x ⭐ Montage des pneus près de chez vous.</t>
        </is>
      </c>
      <c r="G2039" s="19" t="inlineStr">
        <is>
          <t>http://www.1001pneus.fr/pirelli-scorpion-275-45-r20-110-y-28068968-pn</t>
        </is>
      </c>
      <c r="H2039" s="20" t="n">
        <v>1849</v>
      </c>
      <c r="I2039" s="20" t="n">
        <v>16</v>
      </c>
      <c r="J2039" s="21">
        <f>IF(H2039=0,0,I2039/H2039)</f>
        <v/>
      </c>
    </row>
    <row r="2040">
      <c r="A2040" s="17" t="inlineStr">
        <is>
          <t>1001 Pneus</t>
        </is>
      </c>
      <c r="B2040" s="17" t="inlineStr">
        <is>
          <t>Terminé</t>
        </is>
      </c>
      <c r="C2040" s="17" t="inlineStr">
        <is>
          <t>1001 Pneus - catalogue produits</t>
        </is>
      </c>
      <c r="D2040" s="17" t="inlineStr">
        <is>
          <t>Automotive Products</t>
        </is>
      </c>
      <c r="E2040" s="18" t="inlineStr">
        <is>
          <t>SAILUN Atrezzo ZSR 235/50 R 18 101 Y XL pas cher</t>
        </is>
      </c>
      <c r="F2040" s="17" t="inlineStr">
        <is>
          <t>Votre pneu SAILUN Atrezzo ZSR 235/50 R 18 101 Y XL au meilleur prix sur 1001pneus ! ⚡ Livraison rapide et gratuite* ⌚ Paiement CB en 3x / 4x ⭐ Montage des pneus près de chez vous.</t>
        </is>
      </c>
      <c r="G2040" s="19" t="inlineStr">
        <is>
          <t>http://www.1001pneus.fr/sailun-atrezzo-zsr-235-50-r18-101-y-24809506-pn</t>
        </is>
      </c>
      <c r="H2040" s="20" t="n">
        <v>1849</v>
      </c>
      <c r="I2040" s="20" t="n">
        <v>10</v>
      </c>
      <c r="J2040" s="21">
        <f>IF(H2040=0,0,I2040/H2040)</f>
        <v/>
      </c>
    </row>
    <row r="2041">
      <c r="A2041" s="17" t="inlineStr">
        <is>
          <t>1001 Pneus</t>
        </is>
      </c>
      <c r="B2041" s="17" t="inlineStr">
        <is>
          <t>Terminé</t>
        </is>
      </c>
      <c r="C2041" s="17" t="inlineStr">
        <is>
          <t>1001 Pneus - catalogue produits</t>
        </is>
      </c>
      <c r="D2041" s="17" t="inlineStr">
        <is>
          <t>Automotive Products</t>
        </is>
      </c>
      <c r="E2041" s="18" t="inlineStr">
        <is>
          <t>CONTINENTAL UltraContact 225/55 R 16 95 V pas cher</t>
        </is>
      </c>
      <c r="F2041" s="17" t="inlineStr">
        <is>
          <t>Votre pneu CONTINENTAL UltraContact 225/55 R 16 95 V au meilleur prix sur 1001pneus ! ⚡ Livraison rapide et gratuite* ⌚ Paiement CB en 3x / 4x ⭐ Montage des pneus près de chez</t>
        </is>
      </c>
      <c r="G2041" s="19" t="inlineStr">
        <is>
          <t>http://www.1001pneus.fr/continental-ultracontact-225-55-r16-95-v-28142895-pn</t>
        </is>
      </c>
      <c r="H2041" s="20" t="n">
        <v>1843</v>
      </c>
      <c r="I2041" s="20" t="n">
        <v>12</v>
      </c>
      <c r="J2041" s="21">
        <f>IF(H2041=0,0,I2041/H2041)</f>
        <v/>
      </c>
    </row>
    <row r="2042">
      <c r="A2042" s="17" t="inlineStr">
        <is>
          <t>1001 Pneus</t>
        </is>
      </c>
      <c r="B2042" s="17" t="inlineStr">
        <is>
          <t>Terminé</t>
        </is>
      </c>
      <c r="C2042" s="17" t="inlineStr">
        <is>
          <t>1001 Pneus - catalogue produits</t>
        </is>
      </c>
      <c r="D2042" s="17" t="inlineStr">
        <is>
          <t>Automotive Products</t>
        </is>
      </c>
      <c r="E2042" s="18" t="inlineStr">
        <is>
          <t>NEXEN Roadian 581 195/65 R 15 91 H pas cher</t>
        </is>
      </c>
      <c r="F2042" s="17" t="inlineStr">
        <is>
          <t>Votre pneu NEXEN Roadian 581 195/65 R 15 91 H au meilleur prix sur 1001pneus ! ⚡ Livraison rapide et gratuite* ⌚ Paiement CB en 3x / 4x ⭐ Montage des pneus près de chez vous.</t>
        </is>
      </c>
      <c r="G2042" s="19" t="inlineStr">
        <is>
          <t>http://www.1001pneus.fr/nexen-roadian-581-195-65-r15-91-h-28200786-pn</t>
        </is>
      </c>
      <c r="H2042" s="20" t="n">
        <v>1838</v>
      </c>
      <c r="I2042" s="20" t="n">
        <v>8</v>
      </c>
      <c r="J2042" s="21">
        <f>IF(H2042=0,0,I2042/H2042)</f>
        <v/>
      </c>
    </row>
    <row r="2043">
      <c r="A2043" s="17" t="inlineStr">
        <is>
          <t>1001 Pneus</t>
        </is>
      </c>
      <c r="B2043" s="17" t="inlineStr">
        <is>
          <t>Terminé</t>
        </is>
      </c>
      <c r="C2043" s="17" t="inlineStr">
        <is>
          <t>1001 Pneus - catalogue produits</t>
        </is>
      </c>
      <c r="D2043" s="17" t="inlineStr">
        <is>
          <t>Pneus vélo</t>
        </is>
      </c>
      <c r="E2043" s="18" t="inlineStr">
        <is>
          <t>MICHELIN City Touring 29x2.40 (60-622) pas cher</t>
        </is>
      </c>
      <c r="F2043" s="17" t="inlineStr">
        <is>
          <t>Achetez votre MICHELIN City Touring 29x2.40 (60-622) sur 1001pneus.fr ! ⚡ Livraison rapide et 100% gratuite* ⌚ Paiement CB en 3x ou 4x ⭐ Montage des pneus près de chez vous.</t>
        </is>
      </c>
      <c r="G2043" s="19" t="inlineStr">
        <is>
          <t>http://www.1001pneus.fr/michelin-city-touring-29-240-28209297-pn</t>
        </is>
      </c>
      <c r="H2043" s="20" t="n">
        <v>1509</v>
      </c>
      <c r="I2043" s="20" t="n">
        <v>7</v>
      </c>
      <c r="J2043" s="21">
        <f>IF(H2043=0,0,I2043/H2043)</f>
        <v/>
      </c>
    </row>
    <row r="2044">
      <c r="A2044" s="17" t="inlineStr">
        <is>
          <t>1001 Pneus</t>
        </is>
      </c>
      <c r="B2044" s="17" t="inlineStr">
        <is>
          <t>Terminé</t>
        </is>
      </c>
      <c r="C2044" s="17" t="inlineStr">
        <is>
          <t>1001 Pneus - catalogue produits</t>
        </is>
      </c>
      <c r="D2044" s="17" t="inlineStr">
        <is>
          <t>Pneus tourisme été</t>
        </is>
      </c>
      <c r="E2044" s="18" t="inlineStr">
        <is>
          <t>RADAR RPX-800 185/50 R 16 85 V XL pas cher</t>
        </is>
      </c>
      <c r="F2044" s="17" t="inlineStr">
        <is>
          <t>Votre pneu RADAR RPX-800 185/50 R 16 85 V XL au meilleur prix sur 1001pneus ! ⚡ Livraison rapide et gratuite* ⌚ Paiement CB en 3x / 4x ⭐ Montage des pneus près de chez vous.</t>
        </is>
      </c>
      <c r="G2044" s="19" t="inlineStr">
        <is>
          <t>http://www.1001pneus.fr/radar-rpx-800-185-50-r16-85-v-27785968-pn</t>
        </is>
      </c>
      <c r="H2044" s="20" t="n">
        <v>1428</v>
      </c>
      <c r="I2044" s="20" t="n">
        <v>5</v>
      </c>
      <c r="J2044" s="21">
        <f>IF(H2044=0,0,I2044/H2044)</f>
        <v/>
      </c>
    </row>
    <row r="2045">
      <c r="A2045" s="17" t="inlineStr">
        <is>
          <t>1001 Pneus</t>
        </is>
      </c>
      <c r="B2045" s="17" t="inlineStr">
        <is>
          <t>Terminé</t>
        </is>
      </c>
      <c r="C2045" s="17" t="inlineStr">
        <is>
          <t>1001 Pneus - catalogue produits</t>
        </is>
      </c>
      <c r="D2045" s="17" t="inlineStr">
        <is>
          <t>Pneus poids lourd</t>
        </is>
      </c>
      <c r="E2045" s="18" t="inlineStr">
        <is>
          <t>PIRELLI TG88 315/80 R 22.5 156/150K</t>
        </is>
      </c>
      <c r="F2045" s="17" t="inlineStr">
        <is>
          <t>Achetez votre PIRELLI TG88 315/80 R 22.5 156/150K au meilleur prix sur 1001pneus.fr ! ⚡ Livraison rapide et 100% gratuite* ⌚ Paiement CB en 3x ou 4x ⭐ Montage des pneus près de</t>
        </is>
      </c>
      <c r="G2045" s="19" t="inlineStr">
        <is>
          <t>http://www.1001pneus.fr/pirelli-tg88-315-80-r225-156-k-27076716-pn</t>
        </is>
      </c>
      <c r="H2045" s="20" t="n">
        <v>1426</v>
      </c>
      <c r="I2045" s="20" t="n">
        <v>10</v>
      </c>
      <c r="J2045" s="21">
        <f>IF(H2045=0,0,I2045/H2045)</f>
        <v/>
      </c>
    </row>
    <row r="2046">
      <c r="A2046" s="17" t="inlineStr">
        <is>
          <t>1001 Pneus</t>
        </is>
      </c>
      <c r="B2046" s="17" t="inlineStr">
        <is>
          <t>Terminé</t>
        </is>
      </c>
      <c r="C2046" s="17" t="inlineStr">
        <is>
          <t>1001 Pneus - catalogue produits</t>
        </is>
      </c>
      <c r="D2046" s="17" t="inlineStr">
        <is>
          <t>Pneus poids lourd</t>
        </is>
      </c>
      <c r="E2046" s="18" t="inlineStr">
        <is>
          <t>GOODYEAR Eqmax S 385/55 R22.5 160K (158L)</t>
        </is>
      </c>
      <c r="F2046" s="17" t="inlineStr">
        <is>
          <t>Achetez votre GOODYEAR Eqmax S 385/55 R22.5 160K (158L) au meilleur prix sur 1001pneus.fr ! ⚡ Livraison rapide et 100% gratuite* ⌚ Paiement CB en 3x ou 4x ⭐ Montage des pneus près</t>
        </is>
      </c>
      <c r="G2046" s="19" t="inlineStr">
        <is>
          <t>http://www.1001pneus.fr/goodyear-eqmax-s-385-55-r225-160-k-28206901-pn</t>
        </is>
      </c>
      <c r="H2046" s="20" t="n">
        <v>1396</v>
      </c>
      <c r="I2046" s="20" t="n">
        <v>10</v>
      </c>
      <c r="J2046" s="21">
        <f>IF(H2046=0,0,I2046/H2046)</f>
        <v/>
      </c>
    </row>
    <row r="2047">
      <c r="A2047" s="17" t="inlineStr">
        <is>
          <t>1001 Pneus</t>
        </is>
      </c>
      <c r="B2047" s="17" t="inlineStr">
        <is>
          <t>Terminé</t>
        </is>
      </c>
      <c r="C2047" s="17" t="inlineStr">
        <is>
          <t>1001 Pneus - catalogue produits</t>
        </is>
      </c>
      <c r="D2047" s="17" t="inlineStr">
        <is>
          <t>Pneus hiver</t>
        </is>
      </c>
      <c r="E2047" s="18" t="inlineStr">
        <is>
          <t>TAURUS Winter 175/65 R 15 84 T pas cher</t>
        </is>
      </c>
      <c r="F2047" s="17" t="inlineStr">
        <is>
          <t>Votre pneu TAURUS Winter 175/65 R 15 84 T au meilleur prix sur 1001pneus ! ⚡ Livraison rapide et gratuite* ⌚ Paiement CB en 3x / 4x ⭐ Montage des pneus près de chez vous.</t>
        </is>
      </c>
      <c r="G2047" s="19" t="inlineStr">
        <is>
          <t>http://www.1001pneus.fr/taurus-winter-175-65-r15-84-t-27179603-pn</t>
        </is>
      </c>
      <c r="H2047" s="20" t="n">
        <v>1345</v>
      </c>
      <c r="I2047" s="20" t="n">
        <v>2</v>
      </c>
      <c r="J2047" s="21">
        <f>IF(H2047=0,0,I2047/H2047)</f>
        <v/>
      </c>
    </row>
    <row r="2048">
      <c r="A2048" s="17" t="inlineStr">
        <is>
          <t>1001 Pneus</t>
        </is>
      </c>
      <c r="B2048" s="17" t="inlineStr">
        <is>
          <t>Terminé</t>
        </is>
      </c>
      <c r="C2048" s="17" t="inlineStr">
        <is>
          <t>1001 Pneus - catalogue produits</t>
        </is>
      </c>
      <c r="D2048" s="17" t="inlineStr">
        <is>
          <t>Pneus tourisme 4 saisons</t>
        </is>
      </c>
      <c r="E2048" s="18" t="inlineStr">
        <is>
          <t>Pneu Fulda MultiControl 165/65 R14 79T 4 Saisons</t>
        </is>
      </c>
      <c r="F2048" s="17" t="inlineStr">
        <is>
          <t>Votre pneu FULDA MultiControl 165/65 R 14 79 T au meilleur prix sur 1001pneus ! ⚡ Livraison rapide et gratuite* ⌚ Paiement CB en 3x / 4x ⭐ Montage des pneus près de chez vous.</t>
        </is>
      </c>
      <c r="G2048" s="19" t="inlineStr">
        <is>
          <t>http://www.1001pneus.fr/fulda-multicontrol-165-65-r14-79-t-24849951-pn</t>
        </is>
      </c>
      <c r="H2048" s="20" t="n">
        <v>1343</v>
      </c>
      <c r="I2048" s="20" t="n">
        <v>6</v>
      </c>
      <c r="J2048" s="21">
        <f>IF(H2048=0,0,I2048/H2048)</f>
        <v/>
      </c>
    </row>
    <row r="2049">
      <c r="A2049" s="17" t="inlineStr">
        <is>
          <t>1001 Pneus</t>
        </is>
      </c>
      <c r="B2049" s="17" t="inlineStr">
        <is>
          <t>Terminé</t>
        </is>
      </c>
      <c r="C2049" s="17" t="inlineStr">
        <is>
          <t>1001 Pneus - catalogue produits</t>
        </is>
      </c>
      <c r="D2049" s="17" t="inlineStr">
        <is>
          <t>Pneus poids lourd</t>
        </is>
      </c>
      <c r="E2049" s="18" t="inlineStr">
        <is>
          <t>YOKOHAMA 704R 315/60 R22.5 152/148L</t>
        </is>
      </c>
      <c r="F2049" s="17" t="inlineStr">
        <is>
          <t>Achetez votre YOKOHAMA 704R 315/60 R22.5 152/148L au meilleur prix sur 1001pneus.fr ! ⚡ Livraison rapide et 100% gratuite* ⌚ Paiement CB en 3x ou 4x ⭐ Montage des pneus près de</t>
        </is>
      </c>
      <c r="G2049" s="19" t="inlineStr">
        <is>
          <t>http://www.1001pneus.fr/yokohama-704r-315-60-r225-152-l-28185531-pn</t>
        </is>
      </c>
      <c r="H2049" s="20" t="n">
        <v>1339</v>
      </c>
      <c r="I2049" s="20" t="n">
        <v>5</v>
      </c>
      <c r="J2049" s="21">
        <f>IF(H2049=0,0,I2049/H2049)</f>
        <v/>
      </c>
    </row>
    <row r="2050">
      <c r="A2050" s="17" t="inlineStr">
        <is>
          <t>1001 Pneus</t>
        </is>
      </c>
      <c r="B2050" s="17" t="inlineStr">
        <is>
          <t>Terminé</t>
        </is>
      </c>
      <c r="C2050" s="17" t="inlineStr">
        <is>
          <t>1001 Pneus - catalogue produits</t>
        </is>
      </c>
      <c r="D2050" s="17" t="inlineStr">
        <is>
          <t>Pneus poids lourd</t>
        </is>
      </c>
      <c r="E2050" s="18" t="inlineStr">
        <is>
          <t>KUMHO KRS03 275/70 R22.5 148/145M 16PR</t>
        </is>
      </c>
      <c r="F2050" s="17" t="inlineStr">
        <is>
          <t>Achetez votre KUMHO KRS03 275/70 R22.5 148/145M au meilleur prix sur 1001pneus.fr ! ⚡ Livraison rapide et 100% gratuite* ⌚ Paiement CB en 3x ou 4x ⭐ Montage des pneus près de chez</t>
        </is>
      </c>
      <c r="G2050" s="19" t="inlineStr">
        <is>
          <t>http://www.1001pneus.fr/kumho-krs03-275-70-r225-148-m-28103161-pn</t>
        </is>
      </c>
      <c r="H2050" s="20" t="n">
        <v>1338</v>
      </c>
      <c r="I2050" s="20" t="n">
        <v>7</v>
      </c>
      <c r="J2050" s="21">
        <f>IF(H2050=0,0,I2050/H2050)</f>
        <v/>
      </c>
    </row>
    <row r="2051">
      <c r="A2051" s="17" t="inlineStr">
        <is>
          <t>1001 Pneus</t>
        </is>
      </c>
      <c r="B2051" s="17" t="inlineStr">
        <is>
          <t>Terminé</t>
        </is>
      </c>
      <c r="C2051" s="17" t="inlineStr">
        <is>
          <t>1001 Pneus - catalogue produits</t>
        </is>
      </c>
      <c r="D2051" s="17" t="inlineStr">
        <is>
          <t>Pneus tourisme été</t>
        </is>
      </c>
      <c r="E2051" s="18" t="inlineStr">
        <is>
          <t>MICHELIN e.Primacy 245/50 R 18 104 H XL pas cher</t>
        </is>
      </c>
      <c r="F2051" s="17" t="inlineStr">
        <is>
          <t>Votre pneu MICHELIN e.Primacy 245/50 R 18 104 H XL au meilleur prix sur 1001pneus ! ⚡ Livraison rapide et gratuite* ⌚ Paiement CB en 3x / 4x ⭐ Montage des pneus près de chez vous.</t>
        </is>
      </c>
      <c r="G2051" s="19" t="inlineStr">
        <is>
          <t>http://www.1001pneus.fr/michelin-e-primacy-245-50-r18-104-h-27819637-pn</t>
        </is>
      </c>
      <c r="H2051" s="20" t="n">
        <v>1336</v>
      </c>
      <c r="I2051" s="20" t="n">
        <v>6</v>
      </c>
      <c r="J2051" s="21">
        <f>IF(H2051=0,0,I2051/H2051)</f>
        <v/>
      </c>
    </row>
    <row r="2052">
      <c r="A2052" s="17" t="inlineStr">
        <is>
          <t>1001 Pneus</t>
        </is>
      </c>
      <c r="B2052" s="17" t="inlineStr">
        <is>
          <t>Terminé</t>
        </is>
      </c>
      <c r="C2052" s="17" t="inlineStr">
        <is>
          <t>1001 Pneus - catalogue produits</t>
        </is>
      </c>
      <c r="D2052" s="17" t="inlineStr">
        <is>
          <t>Pneus poids lourd</t>
        </is>
      </c>
      <c r="E2052" s="18" t="inlineStr">
        <is>
          <t>BRIDGESTONE R-Drive 001 Plus 315/80 R22.5 156/150L</t>
        </is>
      </c>
      <c r="F2052" s="17" t="inlineStr">
        <is>
          <t>Achetez votre BRIDGESTONE R-Drive 001 Plus 315/80 R22.5 156/150L (154/150M) au meilleur prix sur 1001pneus.fr ! ⚡ Livraison rapide et 100% gratuite* ⌚ Paiement CB en 3x ou 4x ⭐</t>
        </is>
      </c>
      <c r="G2052" s="19" t="inlineStr">
        <is>
          <t>http://www.1001pneus.fr/bridgestone-r-drive-001-plus-315-80-r225-156-l-28085294-pn</t>
        </is>
      </c>
      <c r="H2052" s="20" t="n">
        <v>1334</v>
      </c>
      <c r="I2052" s="20" t="n">
        <v>8</v>
      </c>
      <c r="J2052" s="21">
        <f>IF(H2052=0,0,I2052/H2052)</f>
        <v/>
      </c>
    </row>
    <row r="2053">
      <c r="A2053" s="17" t="inlineStr">
        <is>
          <t>1001 Pneus</t>
        </is>
      </c>
      <c r="B2053" s="17" t="inlineStr">
        <is>
          <t>Terminé</t>
        </is>
      </c>
      <c r="C2053" s="17" t="inlineStr">
        <is>
          <t>1001 Pneus - catalogue produits</t>
        </is>
      </c>
      <c r="D2053" s="17" t="inlineStr">
        <is>
          <t>Pneus remorque et caravane</t>
        </is>
      </c>
      <c r="E2053" s="18" t="inlineStr">
        <is>
          <t>MAXXIS C-824 5.20/5.00 - 10 74 72 M  pas cher</t>
        </is>
      </c>
      <c r="F2053" s="17" t="inlineStr">
        <is>
          <t>Votre pneu MAXXIS C-824 5.20/5.00 - 10 74 72 M au meilleur prix sur 1001pneus ! ⚡ Livraison rapide et gratuite* ⌚ Paiement CB en 3x / 4x ⭐ Montage des pneus près de chez vous.</t>
        </is>
      </c>
      <c r="G2053" s="19" t="inlineStr">
        <is>
          <t>http://www.1001pneus.fr/maxxis-c-824-520-500-10-74-m-27762315-pn</t>
        </is>
      </c>
      <c r="H2053" s="20" t="n">
        <v>1333</v>
      </c>
      <c r="I2053" s="20" t="n">
        <v>4</v>
      </c>
      <c r="J2053" s="21">
        <f>IF(H2053=0,0,I2053/H2053)</f>
        <v/>
      </c>
    </row>
    <row r="2054">
      <c r="A2054" s="17" t="inlineStr">
        <is>
          <t>1001 Pneus</t>
        </is>
      </c>
      <c r="B2054" s="17" t="inlineStr">
        <is>
          <t>Terminé</t>
        </is>
      </c>
      <c r="C2054" s="17" t="inlineStr">
        <is>
          <t>1001 Pneus - catalogue produits</t>
        </is>
      </c>
      <c r="D2054" s="17" t="inlineStr">
        <is>
          <t>Pneus tourisme été</t>
        </is>
      </c>
      <c r="E2054" s="18" t="inlineStr">
        <is>
          <t>CONTINENTAL UltraContact 225/55 R 16 95 V pas cher</t>
        </is>
      </c>
      <c r="F2054" s="17" t="inlineStr">
        <is>
          <t>Votre pneu CONTINENTAL UltraContact 225/55 R 16 95 V au meilleur prix sur 1001pneus ! ⚡ Livraison rapide et gratuite* ⌚ Paiement CB en 3x / 4x ⭐ Montage des pneus près de chez</t>
        </is>
      </c>
      <c r="G2054" s="19" t="inlineStr">
        <is>
          <t>http://www.1001pneus.fr/continental-ultracontact-225-55-r16-95-v-28142895-pn</t>
        </is>
      </c>
      <c r="H2054" s="20" t="n">
        <v>1321</v>
      </c>
      <c r="I2054" s="20" t="n">
        <v>5</v>
      </c>
      <c r="J2054" s="21">
        <f>IF(H2054=0,0,I2054/H2054)</f>
        <v/>
      </c>
    </row>
    <row r="2055">
      <c r="A2055" s="17" t="inlineStr">
        <is>
          <t>1001 Pneus</t>
        </is>
      </c>
      <c r="B2055" s="17" t="inlineStr">
        <is>
          <t>Terminé</t>
        </is>
      </c>
      <c r="C2055" s="17" t="inlineStr">
        <is>
          <t>1001 Pneus - catalogue produits</t>
        </is>
      </c>
      <c r="D2055" s="17" t="inlineStr">
        <is>
          <t>Pneus tourisme été</t>
        </is>
      </c>
      <c r="E2055" s="18" t="inlineStr">
        <is>
          <t>PIRELLI P6000 N3 185/70 R 15 89 W pas cher</t>
        </is>
      </c>
      <c r="F2055" s="17" t="inlineStr">
        <is>
          <t>Votre pneu PIRELLI P6000 N3 185/70 R 15 89 W au meilleur prix sur 1001pneus ! ⚡ Livraison rapide et gratuite* ⌚ Paiement CB en 3x / 4x ⭐ Montage des pneus près de chez vous.</t>
        </is>
      </c>
      <c r="G2055" s="19" t="inlineStr">
        <is>
          <t>http://www.1001pneus.fr/pirelli-p6000-185-70-r15-89-w-27762076-pn</t>
        </is>
      </c>
      <c r="H2055" s="20" t="n">
        <v>1317</v>
      </c>
      <c r="I2055" s="20" t="n">
        <v>5</v>
      </c>
      <c r="J2055" s="21">
        <f>IF(H2055=0,0,I2055/H2055)</f>
        <v/>
      </c>
    </row>
    <row r="2056">
      <c r="A2056" s="17" t="inlineStr">
        <is>
          <t>1001 Pneus</t>
        </is>
      </c>
      <c r="B2056" s="17" t="inlineStr">
        <is>
          <t>Terminé</t>
        </is>
      </c>
      <c r="C2056" s="17" t="inlineStr">
        <is>
          <t>1001 Pneus - catalogue produits</t>
        </is>
      </c>
      <c r="D2056" s="17" t="inlineStr">
        <is>
          <t>Pneus tourisme été</t>
        </is>
      </c>
      <c r="E2056" s="18" t="inlineStr">
        <is>
          <t>LINGLONG Green-Max 215/55 R 17 98 W XL pas cher</t>
        </is>
      </c>
      <c r="F2056" s="17" t="inlineStr">
        <is>
          <t>Votre pneu LINGLONG Green-Max 215/55 R 17 98 W XL au meilleur prix sur 1001pneus ! ⚡ Livraison rapide et gratuite* ⌚ Paiement CB en 3x / 4x ⭐ Montage des pneus près de chez vous.</t>
        </is>
      </c>
      <c r="G2056" s="19" t="inlineStr">
        <is>
          <t>http://www.1001pneus.fr/linglong-green-max-215-55-r17-98-w-28049646-pn</t>
        </is>
      </c>
      <c r="H2056" s="20" t="n">
        <v>1316</v>
      </c>
      <c r="I2056" s="20" t="n">
        <v>8</v>
      </c>
      <c r="J2056" s="21">
        <f>IF(H2056=0,0,I2056/H2056)</f>
        <v/>
      </c>
    </row>
    <row r="2057">
      <c r="A2057" s="17" t="inlineStr">
        <is>
          <t>1001 Pneus</t>
        </is>
      </c>
      <c r="B2057" s="17" t="inlineStr">
        <is>
          <t>Terminé</t>
        </is>
      </c>
      <c r="C2057" s="17" t="inlineStr">
        <is>
          <t>1001 Pneus - catalogue produits</t>
        </is>
      </c>
      <c r="D2057" s="17" t="inlineStr">
        <is>
          <t>Pneus tourisme été</t>
        </is>
      </c>
      <c r="E2057" s="18" t="inlineStr">
        <is>
          <t>SAILUN Atrezzo ZSR 235/50 R 18 101 Y XL pas cher</t>
        </is>
      </c>
      <c r="F2057" s="17" t="inlineStr">
        <is>
          <t>Votre pneu SAILUN Atrezzo ZSR 235/50 R 18 101 Y XL au meilleur prix sur 1001pneus ! ⚡ Livraison rapide et gratuite* ⌚ Paiement CB en 3x / 4x ⭐ Montage des pneus près de chez vous.</t>
        </is>
      </c>
      <c r="G2057" s="19" t="inlineStr">
        <is>
          <t>http://www.1001pneus.fr/sailun-atrezzo-zsr-235-50-r18-101-y-24809506-pn</t>
        </is>
      </c>
      <c r="H2057" s="20" t="n">
        <v>1313</v>
      </c>
      <c r="I2057" s="20" t="n">
        <v>4</v>
      </c>
      <c r="J2057" s="21">
        <f>IF(H2057=0,0,I2057/H2057)</f>
        <v/>
      </c>
    </row>
    <row r="2058">
      <c r="A2058" s="17" t="inlineStr">
        <is>
          <t>1001 Pneus</t>
        </is>
      </c>
      <c r="B2058" s="17" t="inlineStr">
        <is>
          <t>Terminé</t>
        </is>
      </c>
      <c r="C2058" s="17" t="inlineStr">
        <is>
          <t>1001 Pneus - catalogue produits</t>
        </is>
      </c>
      <c r="D2058" s="17" t="inlineStr">
        <is>
          <t>Pneus tourisme été</t>
        </is>
      </c>
      <c r="E2058" s="18" t="inlineStr">
        <is>
          <t>FALKEN e.Ziex 215/50 R 19 97 V XL Silent Core pas cher</t>
        </is>
      </c>
      <c r="F2058" s="17" t="inlineStr">
        <is>
          <t>Votre pneu FALKEN e.Ziex 215/50 R 19 97 V XL au meilleur prix sur 1001pneus ! ⚡ Livraison rapide et gratuite* ⌚ Paiement CB en 3x / 4x ⭐ Montage des pneus près de chez vous.</t>
        </is>
      </c>
      <c r="G2058" s="19" t="inlineStr">
        <is>
          <t>http://www.1001pneus.fr/falken-e-ziex-215-50-r19-97-v-28185745-pn</t>
        </is>
      </c>
      <c r="H2058" s="20" t="n">
        <v>1311</v>
      </c>
      <c r="I2058" s="20" t="n">
        <v>14</v>
      </c>
      <c r="J2058" s="21">
        <f>IF(H2058=0,0,I2058/H2058)</f>
        <v/>
      </c>
    </row>
    <row r="2059">
      <c r="A2059" s="17" t="inlineStr">
        <is>
          <t>1001 Pneus</t>
        </is>
      </c>
      <c r="B2059" s="17" t="inlineStr">
        <is>
          <t>Terminé</t>
        </is>
      </c>
      <c r="C2059" s="17" t="inlineStr">
        <is>
          <t>1001 Pneus - catalogue produits</t>
        </is>
      </c>
      <c r="D2059" s="17" t="inlineStr">
        <is>
          <t>Pneus tourisme été</t>
        </is>
      </c>
      <c r="E2059" s="18" t="inlineStr">
        <is>
          <t>PIRELLI Powergy 2 215/55 R 18 99 V XL pas cher</t>
        </is>
      </c>
      <c r="F2059" s="17" t="inlineStr">
        <is>
          <t>Votre pneu PIRELLI Powergy 2 215/55 R 18 99 V XL au meilleur prix sur 1001pneus ! ⚡ Livraison rapide et gratuite* ⌚ Paiement CB en 3x / 4x ⭐ Montage des pneus près de chez vous.</t>
        </is>
      </c>
      <c r="G2059" s="19" t="inlineStr">
        <is>
          <t>http://www.1001pneus.fr/pirelli-powergy-2-215-55-r18-99-v-28221609-pn</t>
        </is>
      </c>
      <c r="H2059" s="20" t="n">
        <v>1311</v>
      </c>
      <c r="I2059" s="20" t="n">
        <v>6</v>
      </c>
      <c r="J2059" s="21">
        <f>IF(H2059=0,0,I2059/H2059)</f>
        <v/>
      </c>
    </row>
    <row r="2060">
      <c r="A2060" s="17" t="inlineStr">
        <is>
          <t>1001 Pneus</t>
        </is>
      </c>
      <c r="B2060" s="17" t="inlineStr">
        <is>
          <t>Terminé</t>
        </is>
      </c>
      <c r="C2060" s="17" t="inlineStr">
        <is>
          <t>1001 Pneus - catalogue produits</t>
        </is>
      </c>
      <c r="D2060" s="17" t="inlineStr">
        <is>
          <t>Pneus utilitaires</t>
        </is>
      </c>
      <c r="E2060" s="18" t="inlineStr">
        <is>
          <t>SEMPERIT Van-Allseason 215/70 R 15 109 107 S pas cher</t>
        </is>
      </c>
      <c r="F2060" s="17" t="inlineStr">
        <is>
          <t>Votre pneu SEMPERIT Van-Allseason 215/70 R 15 109 107 S au meilleur prix sur 1001pneus ! ⚡ Livraison rapide et gratuite* ⌚ Paiement CB en 3x / 4x ⭐ Montage des pneus près de chez</t>
        </is>
      </c>
      <c r="G2060" s="19" t="inlineStr">
        <is>
          <t>http://www.1001pneus.fr/semperit-van-allseason-215-70-r15-109-s-28145485-pn</t>
        </is>
      </c>
      <c r="H2060" s="20" t="n">
        <v>1308</v>
      </c>
      <c r="I2060" s="20" t="n">
        <v>7</v>
      </c>
      <c r="J2060" s="21">
        <f>IF(H2060=0,0,I2060/H2060)</f>
        <v/>
      </c>
    </row>
    <row r="2061">
      <c r="A2061" s="17" t="inlineStr">
        <is>
          <t>1001 Pneus</t>
        </is>
      </c>
      <c r="B2061" s="17" t="inlineStr">
        <is>
          <t>Terminé</t>
        </is>
      </c>
      <c r="C2061" s="17" t="inlineStr">
        <is>
          <t>1001 Pneus - catalogue produits</t>
        </is>
      </c>
      <c r="D2061" s="17" t="inlineStr">
        <is>
          <t>Pneus tourisme été</t>
        </is>
      </c>
      <c r="E2061" s="18" t="inlineStr">
        <is>
          <t>MICHELIN XVS 185/ VR 15 93 V  pas cher</t>
        </is>
      </c>
      <c r="F2061" s="17" t="inlineStr">
        <is>
          <t>Votre pneu MICHELIN XVS 185/ VR 15 93 V au meilleur prix sur 1001pneus ! ⚡ Livraison rapide et gratuite* ⌚ Paiement CB en 3x / 4x ⭐ Montage des pneus près de chez vous.</t>
        </is>
      </c>
      <c r="G2061" s="19" t="inlineStr">
        <is>
          <t>http://www.1001pneus.fr/michelin-xvs-185-vr15-93-v-27773945-pn</t>
        </is>
      </c>
      <c r="H2061" s="20" t="n">
        <v>1300</v>
      </c>
      <c r="I2061" s="20" t="n">
        <v>8</v>
      </c>
      <c r="J2061" s="21">
        <f>IF(H2061=0,0,I2061/H2061)</f>
        <v/>
      </c>
    </row>
    <row r="2062">
      <c r="A2062" s="17" t="inlineStr">
        <is>
          <t>1001 Pneus</t>
        </is>
      </c>
      <c r="B2062" s="17" t="inlineStr">
        <is>
          <t>Terminé</t>
        </is>
      </c>
      <c r="C2062" s="17" t="inlineStr">
        <is>
          <t>1001 Pneus - catalogue produits</t>
        </is>
      </c>
      <c r="D2062" s="17" t="inlineStr">
        <is>
          <t>Pneus tourisme été</t>
        </is>
      </c>
      <c r="E2062" s="18" t="inlineStr">
        <is>
          <t>BFGOODRICH Advantage 185/60 R 15 84 H  pas cher</t>
        </is>
      </c>
      <c r="F2062" s="17" t="inlineStr">
        <is>
          <t>Votre pneu BFGOODRICH Advantage 185/60 R 15 84 H au meilleur prix sur 1001pneus ! ⚡ Livraison rapide et gratuite* ⌚ Paiement CB en 3x / 4x ⭐ Montage des pneus près de chez vous.</t>
        </is>
      </c>
      <c r="G2062" s="19" t="inlineStr">
        <is>
          <t>http://www.1001pneus.fr/bfgoodrich-advantage-185-60-r15-84-h-27782561-pn</t>
        </is>
      </c>
      <c r="H2062" s="20" t="n">
        <v>1300</v>
      </c>
      <c r="I2062" s="20" t="n">
        <v>1</v>
      </c>
      <c r="J2062" s="21">
        <f>IF(H2062=0,0,I2062/H2062)</f>
        <v/>
      </c>
    </row>
    <row r="2063">
      <c r="A2063" s="17" t="inlineStr">
        <is>
          <t>1001 Pneus</t>
        </is>
      </c>
      <c r="B2063" s="17" t="inlineStr">
        <is>
          <t>Terminé</t>
        </is>
      </c>
      <c r="C2063" s="17" t="inlineStr">
        <is>
          <t>1001 Pneus - catalogue produits</t>
        </is>
      </c>
      <c r="D2063" s="17" t="inlineStr">
        <is>
          <t>Pneus utilitaires</t>
        </is>
      </c>
      <c r="E2063" s="18" t="inlineStr">
        <is>
          <t>HANKOOK Radial RA14 225/60 R 16 105 103 T pas cher</t>
        </is>
      </c>
      <c r="F2063" s="17" t="inlineStr">
        <is>
          <t>Votre pneu HANKOOK Radial RA14 225/60 R 16 105 103 T au meilleur prix sur 1001pneus ! ⚡ Livraison rapide et gratuite* ⌚ Paiement CB en 3x / 4x ⭐ Montage des pneus près de chez</t>
        </is>
      </c>
      <c r="G2063" s="19" t="inlineStr">
        <is>
          <t>http://www.1001pneus.fr/hankook-radial-ra14-225-60-r16-105-t-24172-pn</t>
        </is>
      </c>
      <c r="H2063" s="20" t="n">
        <v>1268</v>
      </c>
      <c r="I2063" s="20" t="n">
        <v>3</v>
      </c>
      <c r="J2063" s="21">
        <f>IF(H2063=0,0,I2063/H2063)</f>
        <v/>
      </c>
    </row>
    <row r="2064">
      <c r="A2064" s="17" t="inlineStr">
        <is>
          <t>1001 Pneus</t>
        </is>
      </c>
      <c r="B2064" s="17" t="inlineStr">
        <is>
          <t>Terminé</t>
        </is>
      </c>
      <c r="C2064" s="17" t="inlineStr">
        <is>
          <t>1001 Pneus - catalogue produits</t>
        </is>
      </c>
      <c r="D2064" s="17" t="inlineStr">
        <is>
          <t>Pneus tourisme 4 saisons</t>
        </is>
      </c>
      <c r="E2064" s="18" t="inlineStr">
        <is>
          <t>Pneu Fulda MultiControl 155/65 R14 75T 4 Saisons</t>
        </is>
      </c>
      <c r="F2064" s="17" t="inlineStr">
        <is>
          <t>Votre pneu FULDA MultiControl 155/65 R 14 75 T au meilleur prix sur 1001pneus ! ⚡ Livraison rapide et gratuite* ⌚ Paiement CB en 3x / 4x ⭐ Montage des pneus près de chez vous.</t>
        </is>
      </c>
      <c r="G2064" s="19" t="inlineStr">
        <is>
          <t>http://www.1001pneus.fr/fulda-multicontrol-155-65-r14-75-t-24824581-pn</t>
        </is>
      </c>
      <c r="H2064" s="20" t="n">
        <v>1268</v>
      </c>
      <c r="I2064" s="20" t="n">
        <v>1</v>
      </c>
      <c r="J2064" s="21">
        <f>IF(H2064=0,0,I2064/H2064)</f>
        <v/>
      </c>
    </row>
    <row r="2065">
      <c r="A2065" s="17" t="inlineStr">
        <is>
          <t>1001 Pneus</t>
        </is>
      </c>
      <c r="B2065" s="17" t="inlineStr">
        <is>
          <t>Terminé</t>
        </is>
      </c>
      <c r="C2065" s="17" t="inlineStr">
        <is>
          <t>1001 Pneus - catalogue produits</t>
        </is>
      </c>
      <c r="D2065" s="17" t="inlineStr">
        <is>
          <t>Pneus hiver</t>
        </is>
      </c>
      <c r="E2065" s="18" t="inlineStr">
        <is>
          <t>UNIROYAL WinterExpert 225/60 R 18 104 V XL FR pas cher</t>
        </is>
      </c>
      <c r="F2065" s="17" t="inlineStr">
        <is>
          <t>Votre pneu UNIROYAL WinterExpert 225/60 R 18 104 V XL au meilleur prix sur 1001pneus ! ⚡ Livraison rapide et gratuite* ⌚ Paiement CB en 3x / 4x ⭐ Montage des pneus près de chez</t>
        </is>
      </c>
      <c r="G2065" s="19" t="inlineStr">
        <is>
          <t>http://www.1001pneus.fr/uniroyal-winterexpert-225-60-r18-104-v-27872994-pn</t>
        </is>
      </c>
      <c r="H2065" s="20" t="n">
        <v>1261</v>
      </c>
      <c r="I2065" s="20" t="n">
        <v>10</v>
      </c>
      <c r="J2065" s="21">
        <f>IF(H2065=0,0,I2065/H2065)</f>
        <v/>
      </c>
    </row>
    <row r="2066">
      <c r="A2066" s="17" t="inlineStr">
        <is>
          <t>1001 Pneus</t>
        </is>
      </c>
      <c r="B2066" s="17" t="inlineStr">
        <is>
          <t>Terminé</t>
        </is>
      </c>
      <c r="C2066" s="17" t="inlineStr">
        <is>
          <t>1001 Pneus - catalogue produits</t>
        </is>
      </c>
      <c r="D2066" s="17" t="inlineStr">
        <is>
          <t>Pneus tourisme 4 saisons</t>
        </is>
      </c>
      <c r="E2066" s="18" t="inlineStr">
        <is>
          <t>Pneu Fulda MultiControl 155/70 R13 75T 4 Saisons</t>
        </is>
      </c>
      <c r="F2066" s="17" t="inlineStr">
        <is>
          <t>Votre pneu FULDA MultiControl 155/70 R 13 75 T au meilleur prix sur 1001pneus ! ⚡ Livraison rapide et gratuite* ⌚ Paiement CB en 3x / 4x ⭐ Montage des pneus près de chez vous.</t>
        </is>
      </c>
      <c r="G2066" s="19" t="inlineStr">
        <is>
          <t>http://www.1001pneus.fr/fulda-multicontrol-155-70-r13-75-t-24565989-pn</t>
        </is>
      </c>
      <c r="H2066" s="20" t="n">
        <v>1235</v>
      </c>
      <c r="I2066" s="20" t="n">
        <v>11</v>
      </c>
      <c r="J2066" s="21">
        <f>IF(H2066=0,0,I2066/H2066)</f>
        <v/>
      </c>
    </row>
    <row r="2067">
      <c r="A2067" s="17" t="inlineStr">
        <is>
          <t>La marque en moins</t>
        </is>
      </c>
      <c r="B2067" s="17" t="inlineStr">
        <is>
          <t>Terminé</t>
        </is>
      </c>
      <c r="C2067" s="17" t="inlineStr">
        <is>
          <t>Campagne test</t>
        </is>
      </c>
      <c r="D2067" s="17" t="inlineStr">
        <is>
          <t>la marque en moins</t>
        </is>
      </c>
      <c r="E2067" s="18" t="inlineStr">
        <is>
          <t>Abonnement couche - dès 0,18€ par couche – taille T1 à T6</t>
        </is>
      </c>
      <c r="F2067" s="17" t="inlineStr">
        <is>
          <t>Optez pour un abonnement couche au meilleur prix : recevez régulièrement des couches de qualité, assurant confort et praticité pour votre bébé.</t>
        </is>
      </c>
      <c r="G2067" s="19" t="inlineStr">
        <is>
          <t>https://lamarqueenmoins.fr/products/couches-kit-essai#utm_source=lemrock&amp;utm_medium=cpc&amp;utm_campaign=1</t>
        </is>
      </c>
      <c r="H2067" s="20" t="n">
        <v>4455</v>
      </c>
      <c r="I2067" s="20" t="n">
        <v>23</v>
      </c>
      <c r="J2067" s="21">
        <f>IF(H2067=0,0,I2067/H2067)</f>
        <v/>
      </c>
    </row>
    <row r="2068">
      <c r="A2068" s="17" t="inlineStr">
        <is>
          <t>Ultra Premium Direct</t>
        </is>
      </c>
      <c r="B2068" s="17" t="inlineStr">
        <is>
          <t>Terminé</t>
        </is>
      </c>
      <c r="C2068" s="17" t="inlineStr">
        <is>
          <t>upd 3</t>
        </is>
      </c>
      <c r="D2068" s="17" t="inlineStr">
        <is>
          <t>Santé, hygiène et compléments</t>
        </is>
      </c>
      <c r="E2068" s="18" t="inlineStr">
        <is>
          <t>Shampooing chien - Pour tous les pelages - Ultra Premium</t>
        </is>
      </c>
      <c r="F2068" s="17" t="inlineStr">
        <is>
          <t>Notre shampooing fabriqué en France est composé à 95% d</t>
        </is>
      </c>
      <c r="G2068" s="19" t="inlineStr">
        <is>
          <t>https://qaa.ultrapremiumdirect.com/?P4FCFD5874B117S1UB412d4101460V4</t>
        </is>
      </c>
      <c r="H2068" s="20" t="n">
        <v>262</v>
      </c>
      <c r="I2068" s="20" t="n">
        <v>0</v>
      </c>
      <c r="J2068" s="21">
        <f>IF(H2068=0,0,I2068/H2068)</f>
        <v/>
      </c>
    </row>
    <row r="2069">
      <c r="A2069" s="17" t="inlineStr">
        <is>
          <t>Ultra Premium Direct</t>
        </is>
      </c>
      <c r="B2069" s="17" t="inlineStr">
        <is>
          <t>Terminé</t>
        </is>
      </c>
      <c r="C2069" s="17" t="inlineStr">
        <is>
          <t>upd 3</t>
        </is>
      </c>
      <c r="D2069" s="17" t="inlineStr">
        <is>
          <t>Santé, hygiène et compléments</t>
        </is>
      </c>
      <c r="E2069" s="18" t="inlineStr">
        <is>
          <t>Huile de Saumon pour Chien et Chat - Ultra Premium Direct</t>
        </is>
      </c>
      <c r="F2069" s="17" t="inlineStr">
        <is>
          <t>Notre huile de saumon est adaptée aux chiens et chats de tout âge, elle possède plusieurs avantages : appétence, pelage doux, peau saine.</t>
        </is>
      </c>
      <c r="G2069" s="19" t="inlineStr">
        <is>
          <t>https://qaa.ultrapremiumdirect.com/?P4FCFD5874B117S1UB412d4101443V4</t>
        </is>
      </c>
      <c r="H2069" s="20" t="n">
        <v>192</v>
      </c>
      <c r="I2069" s="20" t="n">
        <v>1</v>
      </c>
      <c r="J2069" s="21">
        <f>IF(H2069=0,0,I2069/H2069)</f>
        <v/>
      </c>
    </row>
    <row r="2070">
      <c r="A2070" s="17" t="inlineStr">
        <is>
          <t>Ultra Premium Direct</t>
        </is>
      </c>
      <c r="B2070" s="17" t="inlineStr">
        <is>
          <t>Terminé</t>
        </is>
      </c>
      <c r="C2070" s="17" t="inlineStr">
        <is>
          <t>upd 3</t>
        </is>
      </c>
      <c r="D2070" s="17" t="inlineStr">
        <is>
          <t>Santé, hygiène et compléments</t>
        </is>
      </c>
      <c r="E2070" s="18" t="inlineStr">
        <is>
          <t>Pipettes répulsives Antiparasitaires pour chien de petite</t>
        </is>
      </c>
      <c r="F2070" s="17" t="inlineStr">
        <is>
          <t>Nos pipettes antiparasitaires pour chien de petite taille offrent une protection naturelle et efficace contre les parasites pour le bien-être de votre chien.</t>
        </is>
      </c>
      <c r="G2070" s="19" t="inlineStr">
        <is>
          <t>https://qaa.ultrapremiumdirect.com/?P4FCFD5874B117S1UB412d4101444V4</t>
        </is>
      </c>
      <c r="H2070" s="20" t="n">
        <v>185</v>
      </c>
      <c r="I2070" s="20" t="n">
        <v>1</v>
      </c>
      <c r="J2070" s="21">
        <f>IF(H2070=0,0,I2070/H2070)</f>
        <v/>
      </c>
    </row>
    <row r="2071">
      <c r="A2071" s="17" t="inlineStr">
        <is>
          <t>Ultra Premium Direct</t>
        </is>
      </c>
      <c r="B2071" s="17" t="inlineStr">
        <is>
          <t>Terminé</t>
        </is>
      </c>
      <c r="C2071" s="17" t="inlineStr">
        <is>
          <t>upd 3</t>
        </is>
      </c>
      <c r="D2071" s="17" t="inlineStr">
        <is>
          <t>Santé, hygiène et compléments</t>
        </is>
      </c>
      <c r="E2071" s="18" t="inlineStr">
        <is>
          <t>Lotion nettoyante oreilles pour chien et chat - Ultra</t>
        </is>
      </c>
      <c r="F2071" s="17" t="inlineStr">
        <is>
          <t>Notre lotion nettoyante oreilles fabriquée en France nettoie en douceur les oreilles des chiens et des chats. Elle est composée à 97% d</t>
        </is>
      </c>
      <c r="G2071" s="19" t="inlineStr">
        <is>
          <t>https://qaa.ultrapremiumdirect.com/?P4FCFD5874B117S1UB412d4101461V4</t>
        </is>
      </c>
      <c r="H2071" s="20" t="n">
        <v>173</v>
      </c>
      <c r="I2071" s="20" t="n">
        <v>0</v>
      </c>
      <c r="J2071" s="21">
        <f>IF(H2071=0,0,I2071/H2071)</f>
        <v/>
      </c>
    </row>
    <row r="2072">
      <c r="A2072" s="17" t="inlineStr">
        <is>
          <t>Ultra Premium Direct</t>
        </is>
      </c>
      <c r="B2072" s="17" t="inlineStr">
        <is>
          <t>Terminé</t>
        </is>
      </c>
      <c r="C2072" s="17" t="inlineStr">
        <is>
          <t>upd 3</t>
        </is>
      </c>
      <c r="D2072" s="17" t="inlineStr">
        <is>
          <t>Santé, hygiène et compléments</t>
        </is>
      </c>
      <c r="E2072" s="18" t="inlineStr">
        <is>
          <t>Lotion nettoyante yeux pour chien et chat - Ultra Premium</t>
        </is>
      </c>
      <c r="F2072" s="17" t="inlineStr">
        <is>
          <t>Notre lotion nettoyante est idéale pour un nettoyage doux et efficace des yeux de votre chien et de votre chat.</t>
        </is>
      </c>
      <c r="G2072" s="19" t="inlineStr">
        <is>
          <t>https://qaa.ultrapremiumdirect.com/?P4FCFD5874B117S1UB412d4101462V4</t>
        </is>
      </c>
      <c r="H2072" s="20" t="n">
        <v>162</v>
      </c>
      <c r="I2072" s="20" t="n">
        <v>1</v>
      </c>
      <c r="J2072" s="21">
        <f>IF(H2072=0,0,I2072/H2072)</f>
        <v/>
      </c>
    </row>
    <row r="2073">
      <c r="A2073" s="17" t="inlineStr">
        <is>
          <t>Ultra Premium Direct</t>
        </is>
      </c>
      <c r="B2073" s="17" t="inlineStr">
        <is>
          <t>Terminé</t>
        </is>
      </c>
      <c r="C2073" s="17" t="inlineStr">
        <is>
          <t>upd 3</t>
        </is>
      </c>
      <c r="D2073" s="17" t="inlineStr">
        <is>
          <t>Accessoires et jouets</t>
        </is>
      </c>
      <c r="E2073" s="18" t="inlineStr">
        <is>
          <t>Collier pour chien en édition limitée - Ultra Premium Direct</t>
        </is>
      </c>
      <c r="F2073" s="17" t="inlineStr">
        <is>
          <t>Découvrez le collier pour chien élégant, résistant et fabriqué en France. Une édition limitée signée Ultra Premium Direct et Fidèle Paris qui allie confort et style.</t>
        </is>
      </c>
      <c r="G2073" s="19" t="inlineStr">
        <is>
          <t>https://qaa.ultrapremiumdirect.com/?P4FCFD5874B117S1UB412d4101451V4</t>
        </is>
      </c>
      <c r="H2073" s="20" t="n">
        <v>152</v>
      </c>
      <c r="I2073" s="20" t="n">
        <v>2</v>
      </c>
      <c r="J2073" s="21">
        <f>IF(H2073=0,0,I2073/H2073)</f>
        <v/>
      </c>
    </row>
    <row r="2074">
      <c r="A2074" s="17" t="inlineStr">
        <is>
          <t>Ultra Premium Direct</t>
        </is>
      </c>
      <c r="B2074" s="17" t="inlineStr">
        <is>
          <t>Terminé</t>
        </is>
      </c>
      <c r="C2074" s="17" t="inlineStr">
        <is>
          <t>upd 3</t>
        </is>
      </c>
      <c r="D2074" s="17" t="inlineStr">
        <is>
          <t>Alimentation chien</t>
        </is>
      </c>
      <c r="E2074" s="18" t="inlineStr">
        <is>
          <t>Toppers Soupe pour chien sans céréales au poulet carotte &amp;</t>
        </is>
      </c>
      <c r="F2074" s="17" t="inlineStr">
        <is>
          <t>Les Toppers, soupes pour chien sans céréales au poulet sont idéales pour varier les plaisirs et donner de l</t>
        </is>
      </c>
      <c r="G2074" s="19" t="inlineStr">
        <is>
          <t>https://qaa.ultrapremiumdirect.com/?P4FCFD5874B117S1UB412d4101422V4</t>
        </is>
      </c>
      <c r="H2074" s="20" t="n">
        <v>148</v>
      </c>
      <c r="I2074" s="20" t="n">
        <v>2</v>
      </c>
      <c r="J2074" s="21">
        <f>IF(H2074=0,0,I2074/H2074)</f>
        <v/>
      </c>
    </row>
    <row r="2075">
      <c r="A2075" s="17" t="inlineStr">
        <is>
          <t>Ultra Premium Direct</t>
        </is>
      </c>
      <c r="B2075" s="17" t="inlineStr">
        <is>
          <t>Terminé</t>
        </is>
      </c>
      <c r="C2075" s="17" t="inlineStr">
        <is>
          <t>upd 3</t>
        </is>
      </c>
      <c r="D2075" s="17" t="inlineStr">
        <is>
          <t>Santé, hygiène et compléments</t>
        </is>
      </c>
      <c r="E2075" s="18" t="inlineStr">
        <is>
          <t>Antiparasitaires Chat - Ultra Premium Direct</t>
        </is>
      </c>
      <c r="F2075" s="17" t="inlineStr">
        <is>
          <t>Nos pipettes antiparasitaires pour chats offrent une protection contre les puces, les tiques et les moustiques en respectant leur sensibilité.</t>
        </is>
      </c>
      <c r="G2075" s="19" t="inlineStr">
        <is>
          <t>https://qaa.ultrapremiumdirect.com/?P4FCFD5874B117S1UB412d4101447V4</t>
        </is>
      </c>
      <c r="H2075" s="20" t="n">
        <v>148</v>
      </c>
      <c r="I2075" s="20" t="n">
        <v>1</v>
      </c>
      <c r="J2075" s="21">
        <f>IF(H2075=0,0,I2075/H2075)</f>
        <v/>
      </c>
    </row>
    <row r="2076">
      <c r="A2076" s="17" t="inlineStr">
        <is>
          <t>Ultra Premium Direct</t>
        </is>
      </c>
      <c r="B2076" s="17" t="inlineStr">
        <is>
          <t>Terminé</t>
        </is>
      </c>
      <c r="C2076" s="17" t="inlineStr">
        <is>
          <t>upd 3</t>
        </is>
      </c>
      <c r="D2076" s="17" t="inlineStr">
        <is>
          <t>Alimentation chien</t>
        </is>
      </c>
      <c r="E2076" s="18" t="inlineStr">
        <is>
          <t>Croquettes Super Premium pour Chiot Petite et Moyenne</t>
        </is>
      </c>
      <c r="F2076" s="17" t="inlineStr">
        <is>
          <t>Nos croquettes Super Premium pour chiot sont adaptées aux chiens de petite et moyenne taille et sont riches en poulet pour offrir le meilleur à votre chien.</t>
        </is>
      </c>
      <c r="G2076" s="19" t="inlineStr">
        <is>
          <t>https://qaa.ultrapremiumdirect.com/?P4FCFD5874B117S1UB412d4101374V4</t>
        </is>
      </c>
      <c r="H2076" s="20" t="n">
        <v>141</v>
      </c>
      <c r="I2076" s="20" t="n">
        <v>0</v>
      </c>
      <c r="J2076" s="21">
        <f>IF(H2076=0,0,I2076/H2076)</f>
        <v/>
      </c>
    </row>
    <row r="2077">
      <c r="A2077" s="17" t="inlineStr">
        <is>
          <t>Ultra Premium Direct</t>
        </is>
      </c>
      <c r="B2077" s="17" t="inlineStr">
        <is>
          <t>Terminé</t>
        </is>
      </c>
      <c r="C2077" s="17" t="inlineStr">
        <is>
          <t>upd 3</t>
        </is>
      </c>
      <c r="D2077" s="17" t="inlineStr">
        <is>
          <t>Accessoires et jouets</t>
        </is>
      </c>
      <c r="E2077" s="18" t="inlineStr">
        <is>
          <t>Laisse multi-positions pour chien en édition limitée</t>
        </is>
      </c>
      <c r="F2077" s="17" t="inlineStr">
        <is>
          <t>Laisse multi-positions pour chien réglable, élégante et fabriquée en France. Résistante, imperméable et exclusive : découvrez la collection Fidèle Paris x Ultra Premium Direct.</t>
        </is>
      </c>
      <c r="G2077" s="19" t="inlineStr">
        <is>
          <t>https://qaa.ultrapremiumdirect.com/?P4FCFD5874B117S1UB412d4101455V4</t>
        </is>
      </c>
      <c r="H2077" s="20" t="n">
        <v>140</v>
      </c>
      <c r="I2077" s="20" t="n">
        <v>2</v>
      </c>
      <c r="J2077" s="21">
        <f>IF(H2077=0,0,I2077/H2077)</f>
        <v/>
      </c>
    </row>
    <row r="2078">
      <c r="A2078" s="17" t="inlineStr">
        <is>
          <t>Ultra Premium Direct</t>
        </is>
      </c>
      <c r="B2078" s="17" t="inlineStr">
        <is>
          <t>Terminé</t>
        </is>
      </c>
      <c r="C2078" s="17" t="inlineStr">
        <is>
          <t>upd 3</t>
        </is>
      </c>
      <c r="D2078" s="17" t="inlineStr">
        <is>
          <t>Alimentation chat</t>
        </is>
      </c>
      <c r="E2078" s="18" t="inlineStr">
        <is>
          <t>Croquettes sans céréales au poulet frais pour chat</t>
        </is>
      </c>
      <c r="F2078" s="17" t="inlineStr">
        <is>
          <t>Offrez à votre chat stérilisé une alimentation de haute qualité, adaptée à ses besoins spécifiques, avec nos croquettes riches en poulet frais.</t>
        </is>
      </c>
      <c r="G2078" s="19" t="inlineStr">
        <is>
          <t>https://qaa.ultrapremiumdirect.com/?P4FCFD5874B117S1UB412d4101410V4</t>
        </is>
      </c>
      <c r="H2078" s="20" t="n">
        <v>140</v>
      </c>
      <c r="I2078" s="20" t="n">
        <v>0</v>
      </c>
      <c r="J2078" s="21">
        <f>IF(H2078=0,0,I2078/H2078)</f>
        <v/>
      </c>
    </row>
    <row r="2079">
      <c r="A2079" s="17" t="inlineStr">
        <is>
          <t>Ultra Premium Direct</t>
        </is>
      </c>
      <c r="B2079" s="17" t="inlineStr">
        <is>
          <t>Terminé</t>
        </is>
      </c>
      <c r="C2079" s="17" t="inlineStr">
        <is>
          <t>upd 3</t>
        </is>
      </c>
      <c r="D2079" s="17" t="inlineStr">
        <is>
          <t>Accessoires et jouets</t>
        </is>
      </c>
      <c r="E2079" s="18" t="inlineStr">
        <is>
          <t>Balle en corde avec poignée - Jouet pour chien - Ultra</t>
        </is>
      </c>
      <c r="F2079" s="17" t="inlineStr">
        <is>
          <t>Partagez des moments de jeu privilégiés avec votre petit compagnon grâce à notre jouet corde pour chien Ultra Premium Direct.</t>
        </is>
      </c>
      <c r="G2079" s="19" t="inlineStr">
        <is>
          <t>https://qaa.ultrapremiumdirect.com/?P4FCFD5874B117S1UB412d4101449V4</t>
        </is>
      </c>
      <c r="H2079" s="20" t="n">
        <v>138</v>
      </c>
      <c r="I2079" s="20" t="n">
        <v>1</v>
      </c>
      <c r="J2079" s="21">
        <f>IF(H2079=0,0,I2079/H2079)</f>
        <v/>
      </c>
    </row>
    <row r="2080">
      <c r="A2080" s="17" t="inlineStr">
        <is>
          <t>Ultra Premium Direct</t>
        </is>
      </c>
      <c r="B2080" s="17" t="inlineStr">
        <is>
          <t>Terminé</t>
        </is>
      </c>
      <c r="C2080" s="17" t="inlineStr">
        <is>
          <t>upd 3</t>
        </is>
      </c>
      <c r="D2080" s="17" t="inlineStr">
        <is>
          <t>Friandises et snacks</t>
        </is>
      </c>
      <c r="E2080" s="18" t="inlineStr">
        <is>
          <t>Friandise crémeuse pour chat - Ultra Premium Direct</t>
        </is>
      </c>
      <c r="F2080" s="17" t="inlineStr">
        <is>
          <t>Découvrez les friandises crémeuses pour chat Ultra Premium Direct, fabriquées en France sans céréales, pour des moments de plaisir intense.</t>
        </is>
      </c>
      <c r="G2080" s="19" t="inlineStr">
        <is>
          <t>https://qaa.ultrapremiumdirect.com/?P4FCFD5874B117S1UB412d4101442V4</t>
        </is>
      </c>
      <c r="H2080" s="20" t="n">
        <v>137</v>
      </c>
      <c r="I2080" s="20" t="n">
        <v>2</v>
      </c>
      <c r="J2080" s="21">
        <f>IF(H2080=0,0,I2080/H2080)</f>
        <v/>
      </c>
    </row>
    <row r="2081">
      <c r="A2081" s="17" t="inlineStr">
        <is>
          <t>Ultra Premium Direct</t>
        </is>
      </c>
      <c r="B2081" s="17" t="inlineStr">
        <is>
          <t>Terminé</t>
        </is>
      </c>
      <c r="C2081" s="17" t="inlineStr">
        <is>
          <t>upd 3</t>
        </is>
      </c>
      <c r="D2081" s="17" t="inlineStr">
        <is>
          <t>Alimentation chien</t>
        </is>
      </c>
      <c r="E2081" s="18" t="inlineStr">
        <is>
          <t>Croquettes Sans Céréales Grand Chien et Géant - Ultra</t>
        </is>
      </c>
      <c r="F2081" s="17" t="inlineStr">
        <is>
          <t>Les croquettes sans céréales Original sont adaptées aux grands chiens et aux chiens géants pour leur offrir une alimentation complète et équilibrée.</t>
        </is>
      </c>
      <c r="G2081" s="19" t="inlineStr">
        <is>
          <t>https://qaa.ultrapremiumdirect.com/?P4FCFD5874B117S1UB412d4101389V4</t>
        </is>
      </c>
      <c r="H2081" s="20" t="n">
        <v>136</v>
      </c>
      <c r="I2081" s="20" t="n">
        <v>1</v>
      </c>
      <c r="J2081" s="21">
        <f>IF(H2081=0,0,I2081/H2081)</f>
        <v/>
      </c>
    </row>
    <row r="2082">
      <c r="A2082" s="17" t="inlineStr">
        <is>
          <t>Ultra Premium Direct</t>
        </is>
      </c>
      <c r="B2082" s="17" t="inlineStr">
        <is>
          <t>Terminé</t>
        </is>
      </c>
      <c r="C2082" s="17" t="inlineStr">
        <is>
          <t>upd 3</t>
        </is>
      </c>
      <c r="D2082" s="17" t="inlineStr">
        <is>
          <t>Alimentation chien</t>
        </is>
      </c>
      <c r="E2082" s="18" t="inlineStr">
        <is>
          <t>Nourriture de qualité pour chien et chat - Ultra Premium</t>
        </is>
      </c>
      <c r="F2082" s="17" t="inlineStr">
        <is>
          <t>Alimentation de qualité pour chien et chat | Jusqu’à 40% d’économie | Gamme de croquettes, pâtées, friandises, etc. de qualité premium et fabriquée en France !</t>
        </is>
      </c>
      <c r="G2082" s="19" t="inlineStr">
        <is>
          <t>https://qaa.ultrapremiumdirect.com/?P4FCFD5874B117S1UB412d4101384V4</t>
        </is>
      </c>
      <c r="H2082" s="20" t="n">
        <v>133</v>
      </c>
      <c r="I2082" s="20" t="n">
        <v>1</v>
      </c>
      <c r="J2082" s="21">
        <f>IF(H2082=0,0,I2082/H2082)</f>
        <v/>
      </c>
    </row>
    <row r="2083">
      <c r="A2083" s="17" t="inlineStr">
        <is>
          <t>Ultra Premium Direct</t>
        </is>
      </c>
      <c r="B2083" s="17" t="inlineStr">
        <is>
          <t>Terminé</t>
        </is>
      </c>
      <c r="C2083" s="17" t="inlineStr">
        <is>
          <t>upd 3</t>
        </is>
      </c>
      <c r="D2083" s="17" t="inlineStr">
        <is>
          <t>Alimentation chat</t>
        </is>
      </c>
      <c r="E2083" s="18" t="inlineStr">
        <is>
          <t>Mousses Sans Céréales pour Chat Sole/Poulet - Ultra Premium</t>
        </is>
      </c>
      <c r="F2083" s="17" t="inlineStr">
        <is>
          <t>Nos mousses pour chat sans céréales à la sole et au poulet sont naturellement gourmandes et adaptées au régime carnivore du chat.</t>
        </is>
      </c>
      <c r="G2083" s="19" t="inlineStr">
        <is>
          <t>https://qaa.ultrapremiumdirect.com/?P4FCFD5874B117S1UB412d4101416V4</t>
        </is>
      </c>
      <c r="H2083" s="20" t="n">
        <v>130</v>
      </c>
      <c r="I2083" s="20" t="n">
        <v>1</v>
      </c>
      <c r="J2083" s="21">
        <f>IF(H2083=0,0,I2083/H2083)</f>
        <v/>
      </c>
    </row>
    <row r="2084">
      <c r="A2084" s="17" t="inlineStr">
        <is>
          <t>Ultra Premium Direct</t>
        </is>
      </c>
      <c r="B2084" s="17" t="inlineStr">
        <is>
          <t>Terminé</t>
        </is>
      </c>
      <c r="C2084" s="17" t="inlineStr">
        <is>
          <t>upd 3</t>
        </is>
      </c>
      <c r="D2084" s="17" t="inlineStr">
        <is>
          <t>Santé, hygiène et compléments</t>
        </is>
      </c>
      <c r="E2084" s="18" t="inlineStr">
        <is>
          <t>Litière agglomérante pour chat - Ultra Premium Direct</t>
        </is>
      </c>
      <c r="F2084" s="17" t="inlineStr">
        <is>
          <t>Notre litière agglomérante pour chat est composée à 100% d</t>
        </is>
      </c>
      <c r="G2084" s="19" t="inlineStr">
        <is>
          <t>https://qaa.ultrapremiumdirect.com/?P4FCFD5874B117S1UB412d4101457V4</t>
        </is>
      </c>
      <c r="H2084" s="20" t="n">
        <v>128</v>
      </c>
      <c r="I2084" s="20" t="n">
        <v>0</v>
      </c>
      <c r="J2084" s="21">
        <f>IF(H2084=0,0,I2084/H2084)</f>
        <v/>
      </c>
    </row>
    <row r="2085">
      <c r="A2085" s="17" t="inlineStr">
        <is>
          <t>Ultra Premium Direct</t>
        </is>
      </c>
      <c r="B2085" s="17" t="inlineStr">
        <is>
          <t>Terminé</t>
        </is>
      </c>
      <c r="C2085" s="17" t="inlineStr">
        <is>
          <t>upd 3</t>
        </is>
      </c>
      <c r="D2085" s="17" t="inlineStr">
        <is>
          <t>Alimentation chat</t>
        </is>
      </c>
      <c r="E2085" s="18" t="inlineStr">
        <is>
          <t>Coffret Chat Mastu x Ultra Premium Direct – Édition Limitée</t>
        </is>
      </c>
      <c r="F2085" s="17" t="inlineStr">
        <is>
          <t>Découvrez le coffret Mastu x Ultra Premium Direct pour chat : gourmandises, jouets et accessoires exclusifs pour le plaisir et le bien-être de votre félin.</t>
        </is>
      </c>
      <c r="G2085" s="19" t="inlineStr">
        <is>
          <t>https://qaa.ultrapremiumdirect.com/?P4FCFD5874B117S1UB412d4101448V4</t>
        </is>
      </c>
      <c r="H2085" s="20" t="n">
        <v>128</v>
      </c>
      <c r="I2085" s="20" t="n">
        <v>0</v>
      </c>
      <c r="J2085" s="21">
        <f>IF(H2085=0,0,I2085/H2085)</f>
        <v/>
      </c>
    </row>
    <row r="2086">
      <c r="A2086" s="17" t="inlineStr">
        <is>
          <t>Ultra Premium Direct</t>
        </is>
      </c>
      <c r="B2086" s="17" t="inlineStr">
        <is>
          <t>Terminé</t>
        </is>
      </c>
      <c r="C2086" s="17" t="inlineStr">
        <is>
          <t>upd 3</t>
        </is>
      </c>
      <c r="D2086" s="17" t="inlineStr">
        <is>
          <t>Alimentation chien</t>
        </is>
      </c>
      <c r="E2086" s="18" t="inlineStr">
        <is>
          <t>Croquettes Super Premium pour Chien Petite Taille - 10Kg</t>
        </is>
      </c>
      <c r="F2086" s="17" t="inlineStr">
        <is>
          <t>Nos croquettes pour chien de petite taille à faible teneur en céréales sont idéales pour apporter à votre chien une alimentation de qualité au quotidien.</t>
        </is>
      </c>
      <c r="G2086" s="19" t="inlineStr">
        <is>
          <t>https://qaa.ultrapremiumdirect.com/?P4FCFD5874B117S1UB412d4101377V4</t>
        </is>
      </c>
      <c r="H2086" s="20" t="n">
        <v>127</v>
      </c>
      <c r="I2086" s="20" t="n">
        <v>2</v>
      </c>
      <c r="J2086" s="21">
        <f>IF(H2086=0,0,I2086/H2086)</f>
        <v/>
      </c>
    </row>
    <row r="2087">
      <c r="A2087" s="17" t="inlineStr">
        <is>
          <t>Ultra Premium Direct</t>
        </is>
      </c>
      <c r="B2087" s="17" t="inlineStr">
        <is>
          <t>Terminé</t>
        </is>
      </c>
      <c r="C2087" s="17" t="inlineStr">
        <is>
          <t>upd 3</t>
        </is>
      </c>
      <c r="D2087" s="17" t="inlineStr">
        <is>
          <t>Alimentation chien</t>
        </is>
      </c>
      <c r="E2087" s="18" t="inlineStr">
        <is>
          <t>Nourriture de qualité pour chien et chat - Ultra Premium</t>
        </is>
      </c>
      <c r="F2087" s="17" t="inlineStr">
        <is>
          <t>Alimentation de qualité pour chien et chat | Jusqu’à 40% d’économie | Gamme de croquettes, pâtées, friandises, etc. de qualité premium et fabriquée en France !</t>
        </is>
      </c>
      <c r="G2087" s="19" t="inlineStr">
        <is>
          <t>https://qaa.ultrapremiumdirect.com/?P4FCFD5874B117S1UB412d4101379V4</t>
        </is>
      </c>
      <c r="H2087" s="20" t="n">
        <v>126</v>
      </c>
      <c r="I2087" s="20" t="n">
        <v>4</v>
      </c>
      <c r="J2087" s="21">
        <f>IF(H2087=0,0,I2087/H2087)</f>
        <v/>
      </c>
    </row>
    <row r="2088">
      <c r="A2088" s="17" t="inlineStr">
        <is>
          <t>Ultra Premium Direct</t>
        </is>
      </c>
      <c r="B2088" s="17" t="inlineStr">
        <is>
          <t>Terminé</t>
        </is>
      </c>
      <c r="C2088" s="17" t="inlineStr">
        <is>
          <t>upd 3</t>
        </is>
      </c>
      <c r="D2088" s="17" t="inlineStr">
        <is>
          <t>Alimentation chat</t>
        </is>
      </c>
      <c r="E2088" s="18" t="inlineStr">
        <is>
          <t>Croquettes Système urinaire pour Chat stérilisé - Care</t>
        </is>
      </c>
      <c r="F2088" s="17" t="inlineStr">
        <is>
          <t>Nos croquettes pour chat Care au poulet prennent soin du système urinaire de votre chat, pour son bien-être au quotidien.</t>
        </is>
      </c>
      <c r="G2088" s="19" t="inlineStr">
        <is>
          <t>https://qaa.ultrapremiumdirect.com/?P4FCFD5874B117S1UB412d4101407V4</t>
        </is>
      </c>
      <c r="H2088" s="20" t="n">
        <v>124</v>
      </c>
      <c r="I2088" s="20" t="n">
        <v>1</v>
      </c>
      <c r="J2088" s="21">
        <f>IF(H2088=0,0,I2088/H2088)</f>
        <v/>
      </c>
    </row>
    <row r="2089">
      <c r="A2089" s="17" t="inlineStr">
        <is>
          <t>Ultra Premium Direct</t>
        </is>
      </c>
      <c r="B2089" s="17" t="inlineStr">
        <is>
          <t>Terminé</t>
        </is>
      </c>
      <c r="C2089" s="17" t="inlineStr">
        <is>
          <t>upd 3</t>
        </is>
      </c>
      <c r="D2089" s="17" t="inlineStr">
        <is>
          <t>Friandises et snacks</t>
        </is>
      </c>
      <c r="E2089" s="18" t="inlineStr">
        <is>
          <t>28 bâtonnets à mâcher pour chien de 2 à 25kg - Ultra</t>
        </is>
      </c>
      <c r="F2089" s="17" t="inlineStr">
        <is>
          <t>Conçus pour les chiens de petite et moyenne taille, nos bâtonnets à mâcher favorisent la bonne hygiène bucco-dentaire de votre animal.</t>
        </is>
      </c>
      <c r="G2089" s="19" t="inlineStr">
        <is>
          <t>https://qaa.ultrapremiumdirect.com/?P4FCFD5874B117S1UB412d4101426V4</t>
        </is>
      </c>
      <c r="H2089" s="20" t="n">
        <v>124</v>
      </c>
      <c r="I2089" s="20" t="n">
        <v>0</v>
      </c>
      <c r="J2089" s="21">
        <f>IF(H2089=0,0,I2089/H2089)</f>
        <v/>
      </c>
    </row>
    <row r="2090">
      <c r="A2090" s="17" t="inlineStr">
        <is>
          <t>Ultra Premium Direct</t>
        </is>
      </c>
      <c r="B2090" s="17" t="inlineStr">
        <is>
          <t>Terminé</t>
        </is>
      </c>
      <c r="C2090" s="17" t="inlineStr">
        <is>
          <t>upd 3</t>
        </is>
      </c>
      <c r="D2090" s="17" t="inlineStr">
        <is>
          <t>Friandises et snacks</t>
        </is>
      </c>
      <c r="E2090" s="18" t="inlineStr">
        <is>
          <t>Friandise croustillante pour chat - Ultra Premium Direct</t>
        </is>
      </c>
      <c r="F2090" s="17" t="inlineStr">
        <is>
          <t>Découvrez les friandises croustillantes pour chat Ultra Premium Direct fabriquées sans céréales, croquantes à l’extérieur et tendres à l’intérieur.</t>
        </is>
      </c>
      <c r="G2090" s="19" t="inlineStr">
        <is>
          <t>https://qaa.ultrapremiumdirect.com/?P4FCFD5874B117S1UB412d4101435V4</t>
        </is>
      </c>
      <c r="H2090" s="20" t="n">
        <v>120</v>
      </c>
      <c r="I2090" s="20" t="n">
        <v>1</v>
      </c>
      <c r="J2090" s="21">
        <f>IF(H2090=0,0,I2090/H2090)</f>
        <v/>
      </c>
    </row>
    <row r="2091">
      <c r="A2091" s="17" t="inlineStr">
        <is>
          <t>Ultra Premium Direct</t>
        </is>
      </c>
      <c r="B2091" s="17" t="inlineStr">
        <is>
          <t>Terminé</t>
        </is>
      </c>
      <c r="C2091" s="17" t="inlineStr">
        <is>
          <t>upd 3</t>
        </is>
      </c>
      <c r="D2091" s="17" t="inlineStr">
        <is>
          <t>Alimentation chien</t>
        </is>
      </c>
      <c r="E2091" s="18" t="inlineStr">
        <is>
          <t>Émincés en sauce à l’agneau pour chien – Ultra Premium</t>
        </is>
      </c>
      <c r="F2091" s="17" t="inlineStr">
        <is>
          <t>Offrez à votre chien une délicieuse recette d’émincés en sauce à l’agneau fabriquée en France sans céréales, pour un moment de plaisir à chaque repas.</t>
        </is>
      </c>
      <c r="G2091" s="19" t="inlineStr">
        <is>
          <t>https://qaa.ultrapremiumdirect.com/?P4FCFD5874B117S1UB412d4101425V4</t>
        </is>
      </c>
      <c r="H2091" s="20" t="n">
        <v>118</v>
      </c>
      <c r="I2091" s="20" t="n">
        <v>0</v>
      </c>
      <c r="J2091" s="21">
        <f>IF(H2091=0,0,I2091/H2091)</f>
        <v/>
      </c>
    </row>
    <row r="2092">
      <c r="A2092" s="17" t="inlineStr">
        <is>
          <t>Ultra Premium Direct</t>
        </is>
      </c>
      <c r="B2092" s="17" t="inlineStr">
        <is>
          <t>Terminé</t>
        </is>
      </c>
      <c r="C2092" s="17" t="inlineStr">
        <is>
          <t>upd 3</t>
        </is>
      </c>
      <c r="D2092" s="17" t="inlineStr">
        <is>
          <t>Alimentation chien</t>
        </is>
      </c>
      <c r="E2092" s="18" t="inlineStr">
        <is>
          <t>Pâtée pour Chien Haut de Gamme Sans Céréales - Poulet &amp;</t>
        </is>
      </c>
      <c r="F2092" s="17" t="inlineStr">
        <is>
          <t>Notre pâtée pour chien est délicatement préparée avec du poulet, de la dinde et un mélange équilibré de fruits et de légumes pour des menus savoureux.</t>
        </is>
      </c>
      <c r="G2092" s="19" t="inlineStr">
        <is>
          <t>https://qaa.ultrapremiumdirect.com/?P4FCFD5874B117S1UB412d4101421V4</t>
        </is>
      </c>
      <c r="H2092" s="20" t="n">
        <v>117</v>
      </c>
      <c r="I2092" s="20" t="n">
        <v>1</v>
      </c>
      <c r="J2092" s="21">
        <f>IF(H2092=0,0,I2092/H2092)</f>
        <v/>
      </c>
    </row>
    <row r="2093">
      <c r="A2093" s="17" t="inlineStr">
        <is>
          <t>Ultra Premium Direct</t>
        </is>
      </c>
      <c r="B2093" s="17" t="inlineStr">
        <is>
          <t>Terminé</t>
        </is>
      </c>
      <c r="C2093" s="17" t="inlineStr">
        <is>
          <t>upd 3</t>
        </is>
      </c>
      <c r="D2093" s="17" t="inlineStr">
        <is>
          <t>Alimentation chat</t>
        </is>
      </c>
      <c r="E2093" s="18" t="inlineStr">
        <is>
          <t>Croquettes Chats Sans Céréales Chaton - Ultra Premium Direct</t>
        </is>
      </c>
      <c r="F2093" s="17" t="inlineStr">
        <is>
          <t>Les croquettes sans céréales chatons Ultra Premium Direct contiennent 70% de viandes et 30% de fruits et légumes. Garanties sans Gluten.</t>
        </is>
      </c>
      <c r="G2093" s="19" t="inlineStr">
        <is>
          <t>https://qaa.ultrapremiumdirect.com/?P4FCFD5874B117S1UB412d4101406V4</t>
        </is>
      </c>
      <c r="H2093" s="20" t="n">
        <v>116</v>
      </c>
      <c r="I2093" s="20" t="n">
        <v>0</v>
      </c>
      <c r="J2093" s="21">
        <f>IF(H2093=0,0,I2093/H2093)</f>
        <v/>
      </c>
    </row>
    <row r="2094">
      <c r="A2094" s="17" t="inlineStr">
        <is>
          <t>Ultra Premium Direct</t>
        </is>
      </c>
      <c r="B2094" s="17" t="inlineStr">
        <is>
          <t>Terminé</t>
        </is>
      </c>
      <c r="C2094" s="17" t="inlineStr">
        <is>
          <t>upd 3</t>
        </is>
      </c>
      <c r="D2094" s="17" t="inlineStr">
        <is>
          <t>Alimentation chat</t>
        </is>
      </c>
      <c r="E2094" s="18" t="inlineStr">
        <is>
          <t>Sachets Fraicheur Chat Sans Céréales - Emincés au Saumon et</t>
        </is>
      </c>
      <c r="F2094" s="17" t="inlineStr">
        <is>
          <t>Les sachets fraîcheur pour chat sans céréales Ultra Premium Direct sont proposés en 2 saveurs : saumon et cabillaud en accord avec la nature de votre chat.</t>
        </is>
      </c>
      <c r="G2094" s="19" t="inlineStr">
        <is>
          <t>https://qaa.ultrapremiumdirect.com/?P4FCFD5874B117S1UB412d4101413V4</t>
        </is>
      </c>
      <c r="H2094" s="20" t="n">
        <v>116</v>
      </c>
      <c r="I2094" s="20" t="n">
        <v>0</v>
      </c>
      <c r="J2094" s="21">
        <f>IF(H2094=0,0,I2094/H2094)</f>
        <v/>
      </c>
    </row>
    <row r="2095">
      <c r="A2095" s="17" t="inlineStr">
        <is>
          <t>Ultra Premium Direct</t>
        </is>
      </c>
      <c r="B2095" s="17" t="inlineStr">
        <is>
          <t>Terminé</t>
        </is>
      </c>
      <c r="C2095" s="17" t="inlineStr">
        <is>
          <t>upd 3</t>
        </is>
      </c>
      <c r="D2095" s="17" t="inlineStr">
        <is>
          <t>Friandises et snacks</t>
        </is>
      </c>
      <c r="E2095" s="18" t="inlineStr">
        <is>
          <t>Sticks pour chat - Ultra Premium Direct</t>
        </is>
      </c>
      <c r="F2095" s="17" t="inlineStr">
        <is>
          <t>Tendres et savoureux, les sticks à la volaille pour chat Ultra Premium Direct sont fabriqués sans céréales pour respecter le régime carnivore de votre félin.</t>
        </is>
      </c>
      <c r="G2095" s="19" t="inlineStr">
        <is>
          <t>https://qaa.ultrapremiumdirect.com/?P4FCFD5874B117S1UB412d4101440V4</t>
        </is>
      </c>
      <c r="H2095" s="20" t="n">
        <v>114</v>
      </c>
      <c r="I2095" s="20" t="n">
        <v>0</v>
      </c>
      <c r="J2095" s="21">
        <f>IF(H2095=0,0,I2095/H2095)</f>
        <v/>
      </c>
    </row>
    <row r="2096">
      <c r="A2096" s="17" t="inlineStr">
        <is>
          <t>Ultra Premium Direct</t>
        </is>
      </c>
      <c r="B2096" s="17" t="inlineStr">
        <is>
          <t>Terminé</t>
        </is>
      </c>
      <c r="C2096" s="17" t="inlineStr">
        <is>
          <t>upd 3</t>
        </is>
      </c>
      <c r="D2096" s="17" t="inlineStr">
        <is>
          <t>Alimentation chien</t>
        </is>
      </c>
      <c r="E2096" s="18" t="inlineStr">
        <is>
          <t>Nourriture de qualité pour chien et chat - Ultra Premium</t>
        </is>
      </c>
      <c r="F2096" s="17" t="inlineStr">
        <is>
          <t>Alimentation de qualité pour chien et chat | Jusqu’à 40% d’économie | Gamme de croquettes, pâtées, friandises, etc. de qualité premium et fabriquée en France !</t>
        </is>
      </c>
      <c r="G2096" s="19" t="inlineStr">
        <is>
          <t>https://qaa.ultrapremiumdirect.com/?P4FCFD5874B117S1UB412d4101387V4</t>
        </is>
      </c>
      <c r="H2096" s="20" t="n">
        <v>111</v>
      </c>
      <c r="I2096" s="20" t="n">
        <v>1</v>
      </c>
      <c r="J2096" s="21">
        <f>IF(H2096=0,0,I2096/H2096)</f>
        <v/>
      </c>
    </row>
    <row r="2097">
      <c r="A2097" s="17" t="inlineStr">
        <is>
          <t>Ultra Premium Direct</t>
        </is>
      </c>
      <c r="B2097" s="17" t="inlineStr">
        <is>
          <t>Terminé</t>
        </is>
      </c>
      <c r="C2097" s="17" t="inlineStr">
        <is>
          <t>upd 3</t>
        </is>
      </c>
      <c r="D2097" s="17" t="inlineStr">
        <is>
          <t>Alimentation chat</t>
        </is>
      </c>
      <c r="E2097" s="18" t="inlineStr">
        <is>
          <t>Croquettes Chat Sans Céréales Chat Adulte - Ultra Premium</t>
        </is>
      </c>
      <c r="F2097" s="17" t="inlineStr">
        <is>
          <t>Les croquettes sans céréales chat et chaton Ultra Premium Direct contiennent 70% d</t>
        </is>
      </c>
      <c r="G2097" s="19" t="inlineStr">
        <is>
          <t>https://qaa.ultrapremiumdirect.com/?P4FCFD5874B117S1UB412d4101402V4</t>
        </is>
      </c>
      <c r="H2097" s="20" t="n">
        <v>106</v>
      </c>
      <c r="I2097" s="20" t="n">
        <v>1</v>
      </c>
      <c r="J2097" s="21">
        <f>IF(H2097=0,0,I2097/H2097)</f>
        <v/>
      </c>
    </row>
    <row r="2098">
      <c r="A2098" s="17" t="inlineStr">
        <is>
          <t>MINI</t>
        </is>
      </c>
      <c r="B2098" s="17" t="inlineStr">
        <is>
          <t>Hors fichier de suivi</t>
        </is>
      </c>
      <c r="C2098" s="17" t="inlineStr">
        <is>
          <t>Mini</t>
        </is>
      </c>
      <c r="D2098" s="17" t="inlineStr">
        <is>
          <t>Mini</t>
        </is>
      </c>
      <c r="E2098" s="18" t="inlineStr">
        <is>
          <t>MINI - conseil personnalisé sur la gamme</t>
        </is>
      </c>
      <c r="F2098" s="17" t="inlineStr">
        <is>
          <t>Prenez rendez-vous en ligne pour découvrir la gamme MINI.</t>
        </is>
      </c>
      <c r="G2098" s="19" t="inlineStr">
        <is>
          <t>https://track.adform.net/C/?bn=89973263;gdpr=${GDPR};gdpr_consent=${GDPR_CONSENT_50}</t>
        </is>
      </c>
      <c r="H2098" s="20" t="n">
        <v>642766</v>
      </c>
      <c r="I2098" s="20" t="n">
        <v>2851</v>
      </c>
      <c r="J2098" s="21">
        <f>IF(H2098=0,0,I2098/H2098)</f>
        <v/>
      </c>
    </row>
    <row r="2099">
      <c r="A2099" s="17" t="inlineStr">
        <is>
          <t>Comptoir des Pros</t>
        </is>
      </c>
      <c r="B2099" s="17" t="inlineStr">
        <is>
          <t>Hors fichier de suivi</t>
        </is>
      </c>
      <c r="C2099" s="17" t="inlineStr">
        <is>
          <t>MABEX</t>
        </is>
      </c>
      <c r="D2099" s="17" t="inlineStr">
        <is>
          <t>Électroportatif pro</t>
        </is>
      </c>
      <c r="E2099" s="18" t="inlineStr">
        <is>
          <t>Schneider Electric|Commande d'éclairage Odace - Noir</t>
        </is>
      </c>
      <c r="F2099" s="17" t="inlineStr">
        <is>
          <t>Commande d'éclairage Odace - Noir onyx. Tout l'équipement PRO au meilleur prix chez Comptoir des Pros.</t>
        </is>
      </c>
      <c r="G2099" s="19" t="inlineStr">
        <is>
          <t>https://www.comptoirdespros.com/commande-d-eclairage-odace-noir-onyx-scn-s940214.html?UTM_source=lemrock</t>
        </is>
      </c>
      <c r="H2099" s="20" t="n">
        <v>10708</v>
      </c>
      <c r="I2099" s="20" t="n">
        <v>55</v>
      </c>
      <c r="J2099" s="21">
        <f>IF(H2099=0,0,I2099/H2099)</f>
        <v/>
      </c>
    </row>
    <row r="2100">
      <c r="A2100" s="17" t="inlineStr">
        <is>
          <t>Comptoir des Pros</t>
        </is>
      </c>
      <c r="B2100" s="17" t="inlineStr">
        <is>
          <t>Hors fichier de suivi</t>
        </is>
      </c>
      <c r="C2100" s="17" t="inlineStr">
        <is>
          <t>MABEX</t>
        </is>
      </c>
      <c r="D2100" s="17" t="inlineStr">
        <is>
          <t>Interrupteurs d'éclairage</t>
        </is>
      </c>
      <c r="E2100" s="18" t="inlineStr">
        <is>
          <t>Schneider Electric|Commande d'éclairage Odace - Noir</t>
        </is>
      </c>
      <c r="F2100" s="17" t="inlineStr">
        <is>
          <t>Commande d'éclairage Odace - Noir onyx. Tout l'équipement PRO au meilleur prix chez Comptoir des Pros.</t>
        </is>
      </c>
      <c r="G2100" s="19" t="inlineStr">
        <is>
          <t>https://www.comptoirdespros.com/commande-d-eclairage-odace-noir-onyx-scn-s940214.html?UTM_source=lemrock</t>
        </is>
      </c>
      <c r="H2100" s="20" t="n">
        <v>10399</v>
      </c>
      <c r="I2100" s="20" t="n">
        <v>75</v>
      </c>
      <c r="J2100" s="21">
        <f>IF(H2100=0,0,I2100/H2100)</f>
        <v/>
      </c>
    </row>
    <row r="2101">
      <c r="A2101" s="17" t="inlineStr">
        <is>
          <t>Comptoir des Pros</t>
        </is>
      </c>
      <c r="B2101" s="17" t="inlineStr">
        <is>
          <t>Hors fichier de suivi</t>
        </is>
      </c>
      <c r="C2101" s="17" t="inlineStr">
        <is>
          <t>MABEX</t>
        </is>
      </c>
      <c r="D2101" s="17" t="inlineStr">
        <is>
          <t>Chaussures de sécurité</t>
        </is>
      </c>
      <c r="E2101" s="18" t="inlineStr">
        <is>
          <t>Chaussures de sécurité basses Pégase taille 38</t>
        </is>
      </c>
      <c r="F2101" s="17" t="inlineStr">
        <is>
          <t>Tige en cuir pleine fleur hydrofuge noir Doublure en Cambrelle® Intercalaire antiperforation non métallique Embout de sécurité non métallique Semelle CITY en PU bi-densité</t>
        </is>
      </c>
      <c r="G2101" s="19" t="inlineStr">
        <is>
          <t>https://www.comptoirdespros.com/chaussures-de-securite-basses-pegase-pointure-38.html</t>
        </is>
      </c>
      <c r="H2101" s="20" t="n">
        <v>9003</v>
      </c>
      <c r="I2101" s="20" t="n">
        <v>37</v>
      </c>
      <c r="J2101" s="21">
        <f>IF(H2101=0,0,I2101/H2101)</f>
        <v/>
      </c>
    </row>
    <row r="2102">
      <c r="A2102" s="17" t="inlineStr">
        <is>
          <t>Comptoir des Pros</t>
        </is>
      </c>
      <c r="B2102" s="17" t="inlineStr">
        <is>
          <t>Hors fichier de suivi</t>
        </is>
      </c>
      <c r="C2102" s="17" t="inlineStr">
        <is>
          <t>MABEX</t>
        </is>
      </c>
      <c r="D2102" s="17" t="inlineStr">
        <is>
          <t>Vestes de pluie haute visibilité</t>
        </is>
      </c>
      <c r="E2102" s="18" t="inlineStr">
        <is>
          <t>Sioen|Veste de pluie haute-visibilité Monoray taille</t>
        </is>
      </c>
      <c r="F2102" s="17" t="inlineStr">
        <is>
          <t>Veste de pluie haute-visibilité Monoray taille XL. Tout l'équipement pro au meilleur prix chez Comptoir des Pros.</t>
        </is>
      </c>
      <c r="G2102" s="19" t="inlineStr">
        <is>
          <t>https://www.comptoirdespros.com/veste-r-de-pluie-fluo-monoray-taille-xl.html?UTM_source=lemrock</t>
        </is>
      </c>
      <c r="H2102" s="20" t="n">
        <v>8306</v>
      </c>
      <c r="I2102" s="20" t="n">
        <v>41</v>
      </c>
      <c r="J2102" s="21">
        <f>IF(H2102=0,0,I2102/H2102)</f>
        <v/>
      </c>
    </row>
    <row r="2103">
      <c r="A2103" s="17" t="inlineStr">
        <is>
          <t>Comptoir des Pros</t>
        </is>
      </c>
      <c r="B2103" s="17" t="inlineStr">
        <is>
          <t>Hors fichier de suivi</t>
        </is>
      </c>
      <c r="C2103" s="17" t="inlineStr">
        <is>
          <t>MABEX</t>
        </is>
      </c>
      <c r="D2103" s="17" t="inlineStr">
        <is>
          <t>Électroportatif pro</t>
        </is>
      </c>
      <c r="E2103" s="18" t="inlineStr">
        <is>
          <t>Visseuse 12V 30Nm + 2x2Ah + chargeur + coffret - M12 BD-202C</t>
        </is>
      </c>
      <c r="F2103" s="17" t="inlineStr">
        <is>
          <t>Visseuse M12™ 1/4" HEX avec un couple de 30 Nm, modèle M12 BD-202C, de Milwaukee Visseuse ultra compacte , seulement 175 mm de long ce qui permet un travail dans les espaces</t>
        </is>
      </c>
      <c r="G2103" s="19" t="inlineStr">
        <is>
          <t>https://www.comptoirdespros.com/visseuse-12v-2-0ah-30-nm-m12-bd-202c-2-batteries-2ah-chargeur-coffret.html</t>
        </is>
      </c>
      <c r="H2103" s="20" t="n">
        <v>7556</v>
      </c>
      <c r="I2103" s="20" t="n">
        <v>34</v>
      </c>
      <c r="J2103" s="21">
        <f>IF(H2103=0,0,I2103/H2103)</f>
        <v/>
      </c>
    </row>
    <row r="2104">
      <c r="A2104" s="17" t="inlineStr">
        <is>
          <t>Comptoir des Pros</t>
        </is>
      </c>
      <c r="B2104" s="17" t="inlineStr">
        <is>
          <t>Hors fichier de suivi</t>
        </is>
      </c>
      <c r="C2104" s="17" t="inlineStr">
        <is>
          <t>MABEX</t>
        </is>
      </c>
      <c r="D2104" s="17" t="inlineStr">
        <is>
          <t>Plumbers</t>
        </is>
      </c>
      <c r="E2104" s="18" t="inlineStr">
        <is>
          <t>Plomberie et chauffe-eau prix bas | Comptoir des Pros</t>
        </is>
      </c>
      <c r="F2104" s="17" t="inlineStr">
        <is>
          <t>Le lot de 5 colliers monobloc Nicoll en 40 mm arrive sous sachet, dans l’équipement pro vendu au meilleur prix par Comptoir des Pros.</t>
        </is>
      </c>
      <c r="G2104" s="19" t="inlineStr">
        <is>
          <t>https://www.comptoirdespros.com/collier-monobloc-sous-sachet-40-mm-5cm40.html?UTM_source=lemrock</t>
        </is>
      </c>
      <c r="H2104" s="20" t="n">
        <v>7347</v>
      </c>
      <c r="I2104" s="20" t="n">
        <v>92</v>
      </c>
      <c r="J2104" s="21">
        <f>IF(H2104=0,0,I2104/H2104)</f>
        <v/>
      </c>
    </row>
    <row r="2105">
      <c r="A2105" s="17" t="inlineStr">
        <is>
          <t>Comptoir des Pros</t>
        </is>
      </c>
      <c r="B2105" s="17" t="inlineStr">
        <is>
          <t>Hors fichier de suivi</t>
        </is>
      </c>
      <c r="C2105" s="17" t="inlineStr">
        <is>
          <t>MABEX</t>
        </is>
      </c>
      <c r="D2105" s="17" t="inlineStr">
        <is>
          <t>Colliers monobloc</t>
        </is>
      </c>
      <c r="E2105" s="18" t="inlineStr">
        <is>
          <t>Nicoll|Lot de 5 colliers monobloc sous sachet 40 mm|5CM40</t>
        </is>
      </c>
      <c r="F2105" s="17" t="inlineStr">
        <is>
          <t>Lot de 5 colliers monobloc sous sachet 40 mm. Tout l'équipement pro au meilleur prix chez Comptoir des Pros.</t>
        </is>
      </c>
      <c r="G2105" s="19" t="inlineStr">
        <is>
          <t>https://www.comptoirdespros.com/collier-monobloc-sous-sachet-40-mm-5cm40.html?UTM_source=lemrock</t>
        </is>
      </c>
      <c r="H2105" s="20" t="n">
        <v>7117</v>
      </c>
      <c r="I2105" s="20" t="n">
        <v>44</v>
      </c>
      <c r="J2105" s="21">
        <f>IF(H2105=0,0,I2105/H2105)</f>
        <v/>
      </c>
    </row>
    <row r="2106">
      <c r="A2106" s="17" t="inlineStr">
        <is>
          <t>Comptoir des Pros</t>
        </is>
      </c>
      <c r="B2106" s="17" t="inlineStr">
        <is>
          <t>Hors fichier de suivi</t>
        </is>
      </c>
      <c r="C2106" s="17" t="inlineStr">
        <is>
          <t>MABEX</t>
        </is>
      </c>
      <c r="D2106" s="17" t="inlineStr">
        <is>
          <t>Tools and Hardware</t>
        </is>
      </c>
      <c r="E2106" s="18" t="inlineStr">
        <is>
          <t>Outillage et quincaillerie prix bas | Comptoir des Pros</t>
        </is>
      </c>
      <c r="F2106" s="17" t="inlineStr">
        <is>
          <t>Le lot de 5 colliers monobloc Nicoll de 40 mm arrive sous sachet pour fixer vos canalisations, avec tout l’équipement pro au meilleur prix.</t>
        </is>
      </c>
      <c r="G2106" s="19" t="inlineStr">
        <is>
          <t>https://www.comptoirdespros.com/collier-monobloc-sous-sachet-40-mm-5cm40.html?UTM_source=lemrock</t>
        </is>
      </c>
      <c r="H2106" s="20" t="n">
        <v>7006</v>
      </c>
      <c r="I2106" s="20" t="n">
        <v>32</v>
      </c>
      <c r="J2106" s="21">
        <f>IF(H2106=0,0,I2106/H2106)</f>
        <v/>
      </c>
    </row>
    <row r="2107">
      <c r="A2107" s="17" t="inlineStr">
        <is>
          <t>Comptoir des Pros</t>
        </is>
      </c>
      <c r="B2107" s="17" t="inlineStr">
        <is>
          <t>Hors fichier de suivi</t>
        </is>
      </c>
      <c r="C2107" s="17" t="inlineStr">
        <is>
          <t>MABEX</t>
        </is>
      </c>
      <c r="D2107" s="17" t="inlineStr">
        <is>
          <t>Chaussures de sécurité</t>
        </is>
      </c>
      <c r="E2107" s="18" t="inlineStr">
        <is>
          <t>Chaussures basses Pauline PAULSB0BL - Blanc- pointure 37</t>
        </is>
      </c>
      <c r="F2107" s="17" t="inlineStr">
        <is>
          <t>Tige en microfibre blanche perforée. Doublure Cambrelle®. Embout de sécurité métallique. Semelle en PU bi-densité Paraboline.</t>
        </is>
      </c>
      <c r="G2107" s="19" t="inlineStr">
        <is>
          <t>https://www.comptoirdespros.com/chaussures-basses-pauline-paulsb0bl-blanc-pointure-37.html</t>
        </is>
      </c>
      <c r="H2107" s="20" t="n">
        <v>6624</v>
      </c>
      <c r="I2107" s="20" t="n">
        <v>33</v>
      </c>
      <c r="J2107" s="21">
        <f>IF(H2107=0,0,I2107/H2107)</f>
        <v/>
      </c>
    </row>
    <row r="2108">
      <c r="A2108" s="17" t="inlineStr">
        <is>
          <t>Comptoir des Pros</t>
        </is>
      </c>
      <c r="B2108" s="17" t="inlineStr">
        <is>
          <t>Hors fichier de suivi</t>
        </is>
      </c>
      <c r="C2108" s="17" t="inlineStr">
        <is>
          <t>MABEX</t>
        </is>
      </c>
      <c r="D2108" s="17" t="inlineStr">
        <is>
          <t>Électroportatif pro</t>
        </is>
      </c>
      <c r="E2108" s="18" t="inlineStr">
        <is>
          <t>Nicoll|Lot de 5 colliers monobloc sous sachet 40 mm|5CM40</t>
        </is>
      </c>
      <c r="F2108" s="17" t="inlineStr">
        <is>
          <t>Lot de 5 colliers monobloc sous sachet 40 mm. Tout l'équipement pro au meilleur prix chez Comptoir des Pros.</t>
        </is>
      </c>
      <c r="G2108" s="19" t="inlineStr">
        <is>
          <t>https://www.comptoirdespros.com/collier-monobloc-sous-sachet-40-mm-5cm40.html?UTM_source=lemrock</t>
        </is>
      </c>
      <c r="H2108" s="20" t="n">
        <v>6467</v>
      </c>
      <c r="I2108" s="20" t="n">
        <v>21</v>
      </c>
      <c r="J2108" s="21">
        <f>IF(H2108=0,0,I2108/H2108)</f>
        <v/>
      </c>
    </row>
    <row r="2109">
      <c r="A2109" s="17" t="inlineStr">
        <is>
          <t>Comptoir des Pros</t>
        </is>
      </c>
      <c r="B2109" s="17" t="inlineStr">
        <is>
          <t>Hors fichier de suivi</t>
        </is>
      </c>
      <c r="C2109" s="17" t="inlineStr">
        <is>
          <t>MABEX</t>
        </is>
      </c>
      <c r="D2109" s="17" t="inlineStr">
        <is>
          <t>Tools and Hardware</t>
        </is>
      </c>
      <c r="E2109" s="18" t="inlineStr">
        <is>
          <t>Outillage et quincaillerie prix bas | Comptoir des Pros</t>
        </is>
      </c>
      <c r="F2109" s="17" t="inlineStr">
        <is>
          <t>La visseuse Milwaukee M12 BD-202C délivre 30 Nm sur 175 mm de long et travaille dans les espaces réduits, avec 2 batteries 2 Ah, chargeur et coffret.</t>
        </is>
      </c>
      <c r="G2109" s="19" t="inlineStr">
        <is>
          <t>https://www.comptoirdespros.com/visseuse-12v-2-0ah-30-nm-m12-bd-202c-2-batteries-2ah-chargeur-coffret.html</t>
        </is>
      </c>
      <c r="H2109" s="20" t="n">
        <v>5885</v>
      </c>
      <c r="I2109" s="20" t="n">
        <v>27</v>
      </c>
      <c r="J2109" s="21">
        <f>IF(H2109=0,0,I2109/H2109)</f>
        <v/>
      </c>
    </row>
    <row r="2110">
      <c r="A2110" s="17" t="inlineStr">
        <is>
          <t>Comptoir des Pros</t>
        </is>
      </c>
      <c r="B2110" s="17" t="inlineStr">
        <is>
          <t>Hors fichier de suivi</t>
        </is>
      </c>
      <c r="C2110" s="17" t="inlineStr">
        <is>
          <t>MABEX</t>
        </is>
      </c>
      <c r="D2110" s="17" t="inlineStr">
        <is>
          <t>Électroportatif pro</t>
        </is>
      </c>
      <c r="E2110" s="18" t="inlineStr">
        <is>
          <t>Perceuse-visseuse Brushless 18V 82Nm + coffret HD Box - M18</t>
        </is>
      </c>
      <c r="F2110" s="17" t="inlineStr">
        <is>
          <t>M18™ BRUSHLESS PERCEUSE VISSEUSE modèle M18 BLDD2-0X de Milwaukee référence 4933464514 La nouvelle conception du moteur sans charbons fournit un couple 40% supérieur à celui du</t>
        </is>
      </c>
      <c r="G2110" s="19" t="inlineStr">
        <is>
          <t>https://www.comptoirdespros.com/perceuse-visseuse-brushless-18v-m18-bldd-0-coffret-hd-box.html</t>
        </is>
      </c>
      <c r="H2110" s="20" t="n">
        <v>5848</v>
      </c>
      <c r="I2110" s="20" t="n">
        <v>36</v>
      </c>
      <c r="J2110" s="21">
        <f>IF(H2110=0,0,I2110/H2110)</f>
        <v/>
      </c>
    </row>
    <row r="2111">
      <c r="A2111" s="17" t="inlineStr">
        <is>
          <t>Comptoir des Pros</t>
        </is>
      </c>
      <c r="B2111" s="17" t="inlineStr">
        <is>
          <t>Hors fichier de suivi</t>
        </is>
      </c>
      <c r="C2111" s="17" t="inlineStr">
        <is>
          <t>MABEX</t>
        </is>
      </c>
      <c r="D2111" s="17" t="inlineStr">
        <is>
          <t>Tools and Hardware</t>
        </is>
      </c>
      <c r="E2111" s="18" t="inlineStr">
        <is>
          <t>Outillage pro au meilleur prix | Comptoir des Pros</t>
        </is>
      </c>
      <c r="F2111" s="17" t="inlineStr">
        <is>
          <t>Le vérin 30 tonnes à vis mécanique Facom U.33A soulève sans hydraulique, comme le reste de l’outillage Facom garanti à vie.</t>
        </is>
      </c>
      <c r="G2111" s="19" t="inlineStr">
        <is>
          <t>https://www.comptoirdespros.com/verin-30t-a-vis-mecanique.html</t>
        </is>
      </c>
      <c r="H2111" s="20" t="n">
        <v>5797</v>
      </c>
      <c r="I2111" s="20" t="n">
        <v>29</v>
      </c>
      <c r="J2111" s="21">
        <f>IF(H2111=0,0,I2111/H2111)</f>
        <v/>
      </c>
    </row>
    <row r="2112">
      <c r="A2112" s="17" t="inlineStr">
        <is>
          <t>Comptoir des Pros</t>
        </is>
      </c>
      <c r="B2112" s="17" t="inlineStr">
        <is>
          <t>Hors fichier de suivi</t>
        </is>
      </c>
      <c r="C2112" s="17" t="inlineStr">
        <is>
          <t>MABEX</t>
        </is>
      </c>
      <c r="D2112" s="17" t="inlineStr">
        <is>
          <t>Chauffe-eau</t>
        </is>
      </c>
      <c r="E2112" s="18" t="inlineStr">
        <is>
          <t>Chauffe-eau 15L sous évier compact Petites Capacités Ø33cm</t>
        </is>
      </c>
      <c r="F2112" s="17" t="inlineStr">
        <is>
          <t>Chauffe-eau électrique d'appoint au format mini Petites capacités compact sous évier rond 15 L diamètre 33 cm référence 326216 de Atlantic Économique : la proximité chauffe-eau /</t>
        </is>
      </c>
      <c r="G2112" s="19" t="inlineStr">
        <is>
          <t>https://www.comptoirdespros.com/chauffe-eau-electrique-blinde-petite-capacite-chauffeo-sous-evier-326216.html</t>
        </is>
      </c>
      <c r="H2112" s="20" t="n">
        <v>5435</v>
      </c>
      <c r="I2112" s="20" t="n">
        <v>30</v>
      </c>
      <c r="J2112" s="21">
        <f>IF(H2112=0,0,I2112/H2112)</f>
        <v/>
      </c>
    </row>
    <row r="2113">
      <c r="A2113" s="17" t="inlineStr">
        <is>
          <t>Comptoir des Pros</t>
        </is>
      </c>
      <c r="B2113" s="17" t="inlineStr">
        <is>
          <t>Hors fichier de suivi</t>
        </is>
      </c>
      <c r="C2113" s="17" t="inlineStr">
        <is>
          <t>MABEX</t>
        </is>
      </c>
      <c r="D2113" s="17" t="inlineStr">
        <is>
          <t>Chauffe-eau</t>
        </is>
      </c>
      <c r="E2113" s="18" t="inlineStr">
        <is>
          <t>Chauffe-eau Chaufféo vertical mural 50L Ø50cm</t>
        </is>
      </c>
      <c r="F2113" s="17" t="inlineStr">
        <is>
          <t>Chauffe-eau électrique Chaufféo vertical mural 50 L référence 321105 de la marque Atlantic Eau chaude rapidement disponible avec le cumulus Chaufféo . Design travaillé pour une</t>
        </is>
      </c>
      <c r="G2113" s="19" t="inlineStr">
        <is>
          <t>https://www.comptoirdespros.com/chauffe-eau-vertical-mural-blinde-chauffeo-321105.html</t>
        </is>
      </c>
      <c r="H2113" s="20" t="n">
        <v>5367</v>
      </c>
      <c r="I2113" s="20" t="n">
        <v>19</v>
      </c>
      <c r="J2113" s="21">
        <f>IF(H2113=0,0,I2113/H2113)</f>
        <v/>
      </c>
    </row>
    <row r="2114">
      <c r="A2114" s="17" t="inlineStr">
        <is>
          <t>Comptoir des Pros</t>
        </is>
      </c>
      <c r="B2114" s="17" t="inlineStr">
        <is>
          <t>Hors fichier de suivi</t>
        </is>
      </c>
      <c r="C2114" s="17" t="inlineStr">
        <is>
          <t>MABEX</t>
        </is>
      </c>
      <c r="D2114" s="17" t="inlineStr">
        <is>
          <t>Outillage à main, électroportatif et rangement pro</t>
        </is>
      </c>
      <c r="E2114" s="18" t="inlineStr">
        <is>
          <t>Servantes et caisses à outils pas chères | Comptoir des Pros</t>
        </is>
      </c>
      <c r="F2114" s="17" t="inlineStr">
        <is>
          <t>Servantes d’atelier, caisses, coffrets et modules de rangement des grandes marques pro pour classer et transporter l’outillage, livrés gratuitement dès 120 € HT.</t>
        </is>
      </c>
      <c r="G2114" s="19" t="inlineStr">
        <is>
          <t>https://www.comptoirdespros.com/rangement.html</t>
        </is>
      </c>
      <c r="H2114" s="20" t="n">
        <v>5212</v>
      </c>
      <c r="I2114" s="20" t="n">
        <v>27</v>
      </c>
      <c r="J2114" s="21">
        <f>IF(H2114=0,0,I2114/H2114)</f>
        <v/>
      </c>
    </row>
    <row r="2115">
      <c r="A2115" s="17" t="inlineStr">
        <is>
          <t>Comptoir des Pros</t>
        </is>
      </c>
      <c r="B2115" s="17" t="inlineStr">
        <is>
          <t>Hors fichier de suivi</t>
        </is>
      </c>
      <c r="C2115" s="17" t="inlineStr">
        <is>
          <t>MABEX</t>
        </is>
      </c>
      <c r="D2115" s="17" t="inlineStr">
        <is>
          <t>Chauffe-eau</t>
        </is>
      </c>
      <c r="E2115" s="18" t="inlineStr">
        <is>
          <t>Chauffe-eau 30L sur évier étroit Petites Capacités Ø33cm</t>
        </is>
      </c>
      <c r="F2115" s="17" t="inlineStr">
        <is>
          <t>Chauffe-eau électrique d'appoint au format mini Petites capacités étroit sur évier rond 30 L diamètre 33 cm référence 321104 de Atlantic Économique : la proximité chauffe-eau /</t>
        </is>
      </c>
      <c r="G2115" s="19" t="inlineStr">
        <is>
          <t>https://www.comptoirdespros.com/chauffe-eau-electrique-blinde-petite-capacite-chauffeo-sur-evier-321104.html</t>
        </is>
      </c>
      <c r="H2115" s="20" t="n">
        <v>5197</v>
      </c>
      <c r="I2115" s="20" t="n">
        <v>30</v>
      </c>
      <c r="J2115" s="21">
        <f>IF(H2115=0,0,I2115/H2115)</f>
        <v/>
      </c>
    </row>
    <row r="2116">
      <c r="A2116" s="17" t="inlineStr">
        <is>
          <t>Comptoir des Pros</t>
        </is>
      </c>
      <c r="B2116" s="17" t="inlineStr">
        <is>
          <t>Hors fichier de suivi</t>
        </is>
      </c>
      <c r="C2116" s="17" t="inlineStr">
        <is>
          <t>MABEX</t>
        </is>
      </c>
      <c r="D2116" s="17" t="inlineStr">
        <is>
          <t>Plumbers</t>
        </is>
      </c>
      <c r="E2116" s="18" t="inlineStr">
        <is>
          <t>Matériel de plomberie au meilleur prix | Comptoir des Pros</t>
        </is>
      </c>
      <c r="F2116" s="17" t="inlineStr">
        <is>
          <t>Le raccord droit SteelPres se sertit sans flamme : acier électrozingué E 195 - 1.0034 et joint O-Ring EPDM noir, dans un système de raccords à sertir.</t>
        </is>
      </c>
      <c r="G2116" s="19" t="inlineStr">
        <is>
          <t>https://www.comptoirdespros.com/raccord-filete-387-steelpresr-387102015.html</t>
        </is>
      </c>
      <c r="H2116" s="20" t="n">
        <v>5161</v>
      </c>
      <c r="I2116" s="20" t="n">
        <v>24</v>
      </c>
      <c r="J2116" s="21">
        <f>IF(H2116=0,0,I2116/H2116)</f>
        <v/>
      </c>
    </row>
    <row r="2117">
      <c r="A2117" s="17" t="inlineStr">
        <is>
          <t>Comptoir des Pros</t>
        </is>
      </c>
      <c r="B2117" s="17" t="inlineStr">
        <is>
          <t>Hors fichier de suivi</t>
        </is>
      </c>
      <c r="C2117" s="17" t="inlineStr">
        <is>
          <t>MABEX</t>
        </is>
      </c>
      <c r="D2117" s="17" t="inlineStr">
        <is>
          <t>Plumbers</t>
        </is>
      </c>
      <c r="E2117" s="18" t="inlineStr">
        <is>
          <t>Plomberie et chauffe-eau prix bas | Comptoir des Pros</t>
        </is>
      </c>
      <c r="F2117" s="17" t="inlineStr">
        <is>
          <t>Le chauffe-eau Atlantic de 30 L s’installe sur l’évier dans 33 cm de diamètre : la proximité du point d’eau en fait un appoint économique.</t>
        </is>
      </c>
      <c r="G2117" s="19" t="inlineStr">
        <is>
          <t>https://www.comptoirdespros.com/chauffe-eau-electrique-blinde-petite-capacite-chauffeo-sur-evier-321104.html</t>
        </is>
      </c>
      <c r="H2117" s="20" t="n">
        <v>5068</v>
      </c>
      <c r="I2117" s="20" t="n">
        <v>26</v>
      </c>
      <c r="J2117" s="21">
        <f>IF(H2117=0,0,I2117/H2117)</f>
        <v/>
      </c>
    </row>
    <row r="2118">
      <c r="A2118" s="17" t="inlineStr">
        <is>
          <t>Comptoir des Pros</t>
        </is>
      </c>
      <c r="B2118" s="17" t="inlineStr">
        <is>
          <t>Hors fichier de suivi</t>
        </is>
      </c>
      <c r="C2118" s="17" t="inlineStr">
        <is>
          <t>MABEX</t>
        </is>
      </c>
      <c r="D2118" s="17" t="inlineStr">
        <is>
          <t>Colliers monobloc</t>
        </is>
      </c>
      <c r="E2118" s="18" t="inlineStr">
        <is>
          <t>Extracteurs auto-serrants pour prise extérieure - griffes</t>
        </is>
      </c>
      <c r="F2118" s="17" t="inlineStr">
        <is>
          <t>Extracteurs auto-serrants pour prise extérieure - griffes fines 20-150 Facom référence U.302-150 . Besoin d'autres outils robustes et garantis à vie ? Faites un tour du côté de</t>
        </is>
      </c>
      <c r="G2118" s="19" t="inlineStr">
        <is>
          <t>https://www.comptoirdespros.com/extracteurs-auto-serrants-pour-prise-exterieure-griffes-fines-20-150.html</t>
        </is>
      </c>
      <c r="H2118" s="20" t="n">
        <v>4729</v>
      </c>
      <c r="I2118" s="20" t="n">
        <v>17</v>
      </c>
      <c r="J2118" s="21">
        <f>IF(H2118=0,0,I2118/H2118)</f>
        <v/>
      </c>
    </row>
    <row r="2119">
      <c r="A2119" s="17" t="inlineStr">
        <is>
          <t>Comptoir des Pros</t>
        </is>
      </c>
      <c r="B2119" s="17" t="inlineStr">
        <is>
          <t>Hors fichier de suivi</t>
        </is>
      </c>
      <c r="C2119" s="17" t="inlineStr">
        <is>
          <t>MABEX</t>
        </is>
      </c>
      <c r="D2119" s="17" t="inlineStr">
        <is>
          <t>Tools and Hardware</t>
        </is>
      </c>
      <c r="E2119" s="18" t="inlineStr">
        <is>
          <t>Outillage et quincaillerie prix bas | Comptoir des Pros</t>
        </is>
      </c>
      <c r="F2119" s="17" t="inlineStr">
        <is>
          <t>Les extracteurs auto-serrants Facom U.302-150 attaquent les prises extérieures avec des griffes fines de 20 à 150 mm, et sont garantis à vie.</t>
        </is>
      </c>
      <c r="G2119" s="19" t="inlineStr">
        <is>
          <t>https://www.comptoirdespros.com/extracteurs-auto-serrants-pour-prise-exterieure-griffes-fines-20-150.html</t>
        </is>
      </c>
      <c r="H2119" s="20" t="n">
        <v>4656</v>
      </c>
      <c r="I2119" s="20" t="n">
        <v>15</v>
      </c>
      <c r="J2119" s="21">
        <f>IF(H2119=0,0,I2119/H2119)</f>
        <v/>
      </c>
    </row>
    <row r="2120">
      <c r="A2120" s="17" t="inlineStr">
        <is>
          <t>Comptoir des Pros</t>
        </is>
      </c>
      <c r="B2120" s="17" t="inlineStr">
        <is>
          <t>Hors fichier de suivi</t>
        </is>
      </c>
      <c r="C2120" s="17" t="inlineStr">
        <is>
          <t>MABEX</t>
        </is>
      </c>
      <c r="D2120" s="17" t="inlineStr">
        <is>
          <t>Tools and Hardware</t>
        </is>
      </c>
      <c r="E2120" s="18" t="inlineStr">
        <is>
          <t>Outillage et quincaillerie prix bas | Comptoir des Pros</t>
        </is>
      </c>
      <c r="F2120" s="17" t="inlineStr">
        <is>
          <t>La commande d’éclairage Odace de Schneider Electric, en noir onyx, complète vos interrupteurs, avec tout l’équipement pro au meilleur prix.</t>
        </is>
      </c>
      <c r="G2120" s="19" t="inlineStr">
        <is>
          <t>https://www.comptoirdespros.com/commande-d-eclairage-odace-noir-onyx-scn-s940214.html?UTM_source=lemrock</t>
        </is>
      </c>
      <c r="H2120" s="20" t="n">
        <v>4594</v>
      </c>
      <c r="I2120" s="20" t="n">
        <v>28</v>
      </c>
      <c r="J2120" s="21">
        <f>IF(H2120=0,0,I2120/H2120)</f>
        <v/>
      </c>
    </row>
    <row r="2121">
      <c r="A2121" s="17" t="inlineStr">
        <is>
          <t>Comptoir des Pros</t>
        </is>
      </c>
      <c r="B2121" s="17" t="inlineStr">
        <is>
          <t>Hors fichier de suivi</t>
        </is>
      </c>
      <c r="C2121" s="17" t="inlineStr">
        <is>
          <t>MABEX</t>
        </is>
      </c>
      <c r="D2121" s="17" t="inlineStr">
        <is>
          <t>Tools and Hardware</t>
        </is>
      </c>
      <c r="E2121" s="18" t="inlineStr">
        <is>
          <t>Outillage pro au meilleur prix | Comptoir des Pros</t>
        </is>
      </c>
      <c r="F2121" s="17" t="inlineStr">
        <is>
          <t>La perceuse-visseuse Milwaukee M18 Brushless délivre 82 Nm avec son moteur sans charbons, soit 40 % de couple en plus, coffret HD Box inclus.</t>
        </is>
      </c>
      <c r="G2121" s="19" t="inlineStr">
        <is>
          <t>https://www.comptoirdespros.com/perceuse-visseuse-brushless-18v-m18-bldd-0-coffret-hd-box.html</t>
        </is>
      </c>
      <c r="H2121" s="20" t="n">
        <v>4479</v>
      </c>
      <c r="I2121" s="20" t="n">
        <v>25</v>
      </c>
      <c r="J2121" s="21">
        <f>IF(H2121=0,0,I2121/H2121)</f>
        <v/>
      </c>
    </row>
    <row r="2122">
      <c r="A2122" s="17" t="inlineStr">
        <is>
          <t>Comptoir des Pros</t>
        </is>
      </c>
      <c r="B2122" s="17" t="inlineStr">
        <is>
          <t>Hors fichier de suivi</t>
        </is>
      </c>
      <c r="C2122" s="17" t="inlineStr">
        <is>
          <t>MABEX</t>
        </is>
      </c>
      <c r="D2122" s="17" t="inlineStr">
        <is>
          <t>Home Improvement and Repair</t>
        </is>
      </c>
      <c r="E2122" s="18" t="inlineStr">
        <is>
          <t>Matériel de rénovation au meilleur prix | Comptoir des Pros</t>
        </is>
      </c>
      <c r="F2122" s="17" t="inlineStr">
        <is>
          <t>Le chauffe-eau Atlantic Chaufféo vertical mural de 50 L, réf. 321105 en Ø 50 cm, donne de l’eau chaude rapidement avec un design travaillé.</t>
        </is>
      </c>
      <c r="G2122" s="19" t="inlineStr">
        <is>
          <t>https://www.comptoirdespros.com/chauffe-eau-vertical-mural-blinde-chauffeo-321105.html</t>
        </is>
      </c>
      <c r="H2122" s="20" t="n">
        <v>4477</v>
      </c>
      <c r="I2122" s="20" t="n">
        <v>29</v>
      </c>
      <c r="J2122" s="21">
        <f>IF(H2122=0,0,I2122/H2122)</f>
        <v/>
      </c>
    </row>
    <row r="2123">
      <c r="A2123" s="17" t="inlineStr">
        <is>
          <t>Comptoir des Pros</t>
        </is>
      </c>
      <c r="B2123" s="17" t="inlineStr">
        <is>
          <t>Hors fichier de suivi</t>
        </is>
      </c>
      <c r="C2123" s="17" t="inlineStr">
        <is>
          <t>MABEX</t>
        </is>
      </c>
      <c r="D2123" s="17" t="inlineStr">
        <is>
          <t>Plumbers</t>
        </is>
      </c>
      <c r="E2123" s="18" t="inlineStr">
        <is>
          <t>Plomberie et chauffe-eau prix bas | Comptoir des Pros</t>
        </is>
      </c>
      <c r="F2123" s="17" t="inlineStr">
        <is>
          <t>Le chauffe-eau électrique Atlantic Chaufféo, vertical mural de 50 L, met l’eau chaude rapidement à disposition dans un cumulus au design travaillé.</t>
        </is>
      </c>
      <c r="G2123" s="19" t="inlineStr">
        <is>
          <t>https://www.comptoirdespros.com/chauffe-eau-vertical-mural-blinde-chauffeo-321105.html</t>
        </is>
      </c>
      <c r="H2123" s="20" t="n">
        <v>4324</v>
      </c>
      <c r="I2123" s="20" t="n">
        <v>32</v>
      </c>
      <c r="J2123" s="21">
        <f>IF(H2123=0,0,I2123/H2123)</f>
        <v/>
      </c>
    </row>
    <row r="2124">
      <c r="A2124" s="17" t="inlineStr">
        <is>
          <t>Comptoir des Pros</t>
        </is>
      </c>
      <c r="B2124" s="17" t="inlineStr">
        <is>
          <t>Hors fichier de suivi</t>
        </is>
      </c>
      <c r="C2124" s="17" t="inlineStr">
        <is>
          <t>MABEX</t>
        </is>
      </c>
      <c r="D2124" s="17" t="inlineStr">
        <is>
          <t>Chauffage et eau chaude</t>
        </is>
      </c>
      <c r="E2124" s="18" t="inlineStr">
        <is>
          <t>Chauffe-eau thermodynamique prix bas | Comptoir des Pros</t>
        </is>
      </c>
      <c r="F2124" s="17" t="inlineStr">
        <is>
          <t>Chauffe-eaux thermodynamiques Atlantic qui tirent la chaleur de l’air ambiant pour chauffer l’eau : la gamme du fabricant au prix pro, avec les conseils de nos experts.</t>
        </is>
      </c>
      <c r="G2124" s="19" t="inlineStr">
        <is>
          <t>https://www.comptoirdespros.com/marques/atlantic/chauffe-eaux-atlantic/chauffe-eaux-thermodynamique-atlantic.html</t>
        </is>
      </c>
      <c r="H2124" s="20" t="n">
        <v>4263</v>
      </c>
      <c r="I2124" s="20" t="n">
        <v>26</v>
      </c>
      <c r="J2124" s="21">
        <f>IF(H2124=0,0,I2124/H2124)</f>
        <v/>
      </c>
    </row>
    <row r="2125">
      <c r="A2125" s="17" t="inlineStr">
        <is>
          <t>Comptoir des Pros</t>
        </is>
      </c>
      <c r="B2125" s="17" t="inlineStr">
        <is>
          <t>Hors fichier de suivi</t>
        </is>
      </c>
      <c r="C2125" s="17" t="inlineStr">
        <is>
          <t>MABEX</t>
        </is>
      </c>
      <c r="D2125" s="17" t="inlineStr">
        <is>
          <t>Colliers monobloc</t>
        </is>
      </c>
      <c r="E2125" s="18" t="inlineStr">
        <is>
          <t>Wonder Grip|Gants antifroid Thermo lite plus</t>
        </is>
      </c>
      <c r="F2125" s="17" t="inlineStr">
        <is>
          <t>Gants antifroid Thermo lite plus WG-348R. Tout l'équipement PRO au meilleur prix chez Comptoir des Pros.</t>
        </is>
      </c>
      <c r="G2125" s="19" t="inlineStr">
        <is>
          <t>https://www.comptoirdespros.com/gants-antifroid-thermo-lite-plus-wg-348r-wgr-wg348r0912.html?UTM_source=lemrock</t>
        </is>
      </c>
      <c r="H2125" s="20" t="n">
        <v>4202</v>
      </c>
      <c r="I2125" s="20" t="n">
        <v>26</v>
      </c>
      <c r="J2125" s="21">
        <f>IF(H2125=0,0,I2125/H2125)</f>
        <v/>
      </c>
    </row>
    <row r="2126">
      <c r="A2126" s="17" t="inlineStr">
        <is>
          <t>Comptoir des Pros</t>
        </is>
      </c>
      <c r="B2126" s="17" t="inlineStr">
        <is>
          <t>Hors fichier de suivi</t>
        </is>
      </c>
      <c r="C2126" s="17" t="inlineStr">
        <is>
          <t>MABEX</t>
        </is>
      </c>
      <c r="D2126" s="17" t="inlineStr">
        <is>
          <t>Home Improvement and Repair</t>
        </is>
      </c>
      <c r="E2126" s="18" t="inlineStr">
        <is>
          <t>Chauffage et plomberie prix bas | Comptoir des Pros</t>
        </is>
      </c>
      <c r="F2126" s="17" t="inlineStr">
        <is>
          <t>La commande d’éclairage Odace de Schneider Electric, finition noir onyx, fait partie de l’équipement pro vendu par Comptoir des Pros.</t>
        </is>
      </c>
      <c r="G2126" s="19" t="inlineStr">
        <is>
          <t>https://www.comptoirdespros.com/commande-d-eclairage-odace-noir-onyx-scn-s940214.html?UTM_source=lemrock</t>
        </is>
      </c>
      <c r="H2126" s="20" t="n">
        <v>4192</v>
      </c>
      <c r="I2126" s="20" t="n">
        <v>21</v>
      </c>
      <c r="J2126" s="21">
        <f>IF(H2126=0,0,I2126/H2126)</f>
        <v/>
      </c>
    </row>
    <row r="2127">
      <c r="A2127" s="17" t="inlineStr">
        <is>
          <t>Comptoir des Pros</t>
        </is>
      </c>
      <c r="B2127" s="17" t="inlineStr">
        <is>
          <t>Hors fichier de suivi</t>
        </is>
      </c>
      <c r="C2127" s="17" t="inlineStr">
        <is>
          <t>MABEX</t>
        </is>
      </c>
      <c r="D2127" s="17" t="inlineStr">
        <is>
          <t>Tools and Hardware</t>
        </is>
      </c>
      <c r="E2127" s="18" t="inlineStr">
        <is>
          <t>Outillage et quincaillerie prix bas | Comptoir des Pros</t>
        </is>
      </c>
      <c r="F2127" s="17" t="inlineStr">
        <is>
          <t>Le raccord droit SteelPres se sertit sans flamme : acier électrozingué E 195 - 1.0034 et joint O-Ring EPDM noir, dans un système de raccords à sertir.</t>
        </is>
      </c>
      <c r="G2127" s="19" t="inlineStr">
        <is>
          <t>https://www.comptoirdespros.com/raccord-filete-387-steelpresr-387102015.html</t>
        </is>
      </c>
      <c r="H2127" s="20" t="n">
        <v>4141</v>
      </c>
      <c r="I2127" s="20" t="n">
        <v>19</v>
      </c>
      <c r="J2127" s="21">
        <f>IF(H2127=0,0,I2127/H2127)</f>
        <v/>
      </c>
    </row>
    <row r="2128">
      <c r="A2128" s="17" t="inlineStr">
        <is>
          <t>Comptoir des Pros</t>
        </is>
      </c>
      <c r="B2128" s="17" t="inlineStr">
        <is>
          <t>Hors fichier de suivi</t>
        </is>
      </c>
      <c r="C2128" s="17" t="inlineStr">
        <is>
          <t>MABEX</t>
        </is>
      </c>
      <c r="D2128" s="17" t="inlineStr">
        <is>
          <t>Colliers monobloc</t>
        </is>
      </c>
      <c r="E2128" s="18" t="inlineStr">
        <is>
          <t>Vérin 30t à vis mécanique</t>
        </is>
      </c>
      <c r="F2128" s="17" t="inlineStr">
        <is>
          <t>Vérin 30t à vis mécanique Facom référence U.33A . Besoin d'autres outils robustes et garantis à vie ? Faites un tour du côté de nos indispensables Facom</t>
        </is>
      </c>
      <c r="G2128" s="19" t="inlineStr">
        <is>
          <t>https://www.comptoirdespros.com/verin-30t-a-vis-mecanique.html</t>
        </is>
      </c>
      <c r="H2128" s="20" t="n">
        <v>4007</v>
      </c>
      <c r="I2128" s="20" t="n">
        <v>18</v>
      </c>
      <c r="J2128" s="21">
        <f>IF(H2128=0,0,I2128/H2128)</f>
        <v/>
      </c>
    </row>
    <row r="2129">
      <c r="A2129" s="17" t="inlineStr">
        <is>
          <t>Comptoir des Pros</t>
        </is>
      </c>
      <c r="B2129" s="17" t="inlineStr">
        <is>
          <t>Hors fichier de suivi</t>
        </is>
      </c>
      <c r="C2129" s="17" t="inlineStr">
        <is>
          <t>MABEX</t>
        </is>
      </c>
      <c r="D2129" s="17" t="inlineStr">
        <is>
          <t>Home Improvement and Repair</t>
        </is>
      </c>
      <c r="E2129" s="18" t="inlineStr">
        <is>
          <t>Chauffage et plomberie prix bas | Comptoir des Pros</t>
        </is>
      </c>
      <c r="F2129" s="17" t="inlineStr">
        <is>
          <t>Le radiateur Thermor Tenerife diffuse une chaleur douce de 1500 W en format vertical blanc, proposé au meilleur prix par Comptoir des Pros.</t>
        </is>
      </c>
      <c r="G2129" s="19" t="inlineStr">
        <is>
          <t>https://www.comptoirdespros.com/radiateur-electrique-tenerife-vertical-blanc-1500w.html?UTM_source=lemrock</t>
        </is>
      </c>
      <c r="H2129" s="20" t="n">
        <v>3953</v>
      </c>
      <c r="I2129" s="20" t="n">
        <v>16</v>
      </c>
      <c r="J2129" s="21">
        <f>IF(H2129=0,0,I2129/H2129)</f>
        <v/>
      </c>
    </row>
    <row r="2130">
      <c r="A2130" s="17" t="inlineStr">
        <is>
          <t>Comptoir des Pros</t>
        </is>
      </c>
      <c r="B2130" s="17" t="inlineStr">
        <is>
          <t>Hors fichier de suivi</t>
        </is>
      </c>
      <c r="C2130" s="17" t="inlineStr">
        <is>
          <t>MABEX</t>
        </is>
      </c>
      <c r="D2130" s="17" t="inlineStr">
        <is>
          <t>Colliers monobloc</t>
        </is>
      </c>
      <c r="E2130" s="18" t="inlineStr">
        <is>
          <t>Raccord droit acier électrozingué à sertir SteelPres® M</t>
        </is>
      </c>
      <c r="F2130" s="17" t="inlineStr">
        <is>
          <t>Systèmes de raccords a sertir. Matière : acier E 195 - 1.0034. Joints : O-Ring EPDM noir.</t>
        </is>
      </c>
      <c r="G2130" s="19" t="inlineStr">
        <is>
          <t>https://www.comptoirdespros.com/raccord-filete-387-steelpresr-387102015.html</t>
        </is>
      </c>
      <c r="H2130" s="20" t="n">
        <v>3852</v>
      </c>
      <c r="I2130" s="20" t="n">
        <v>18</v>
      </c>
      <c r="J2130" s="21">
        <f>IF(H2130=0,0,I2130/H2130)</f>
        <v/>
      </c>
    </row>
    <row r="2131">
      <c r="A2131" s="17" t="inlineStr">
        <is>
          <t>Comptoir des Pros</t>
        </is>
      </c>
      <c r="B2131" s="17" t="inlineStr">
        <is>
          <t>Hors fichier de suivi</t>
        </is>
      </c>
      <c r="C2131" s="17" t="inlineStr">
        <is>
          <t>MABEX</t>
        </is>
      </c>
      <c r="D2131" s="17" t="inlineStr">
        <is>
          <t>Plumbers</t>
        </is>
      </c>
      <c r="E2131" s="18" t="inlineStr">
        <is>
          <t>Plomberie et chauffe-eau prix bas | Comptoir des Pros</t>
        </is>
      </c>
      <c r="F2131" s="17" t="inlineStr">
        <is>
          <t>Le chauffe-eau électrique Atlantic de 15 L se loge sous l’évier en 33 cm de diamètre, un appoint économique au plus près du point d’eau.</t>
        </is>
      </c>
      <c r="G2131" s="19" t="inlineStr">
        <is>
          <t>https://www.comptoirdespros.com/chauffe-eau-electrique-blinde-petite-capacite-chauffeo-sous-evier-326216.html</t>
        </is>
      </c>
      <c r="H2131" s="20" t="n">
        <v>3830</v>
      </c>
      <c r="I2131" s="20" t="n">
        <v>22</v>
      </c>
      <c r="J2131" s="21">
        <f>IF(H2131=0,0,I2131/H2131)</f>
        <v/>
      </c>
    </row>
    <row r="2132">
      <c r="A2132" s="17" t="inlineStr">
        <is>
          <t>Comptoir des Pros</t>
        </is>
      </c>
      <c r="B2132" s="17" t="inlineStr">
        <is>
          <t>Hors fichier de suivi</t>
        </is>
      </c>
      <c r="C2132" s="17" t="inlineStr">
        <is>
          <t>MABEX</t>
        </is>
      </c>
      <c r="D2132" s="17" t="inlineStr">
        <is>
          <t>Colliers monobloc</t>
        </is>
      </c>
      <c r="E2132" s="18" t="inlineStr">
        <is>
          <t>Chauffe-eau Chaufféo vertical mural 50L Ø50cm</t>
        </is>
      </c>
      <c r="F2132" s="17" t="inlineStr">
        <is>
          <t>Chauffe-eau électrique Chaufféo vertical mural 50 L référence 321105 de la marque Atlantic Eau chaude rapidement disponible avec le cumulus Chaufféo . Design travaillé pour une</t>
        </is>
      </c>
      <c r="G2132" s="19" t="inlineStr">
        <is>
          <t>https://www.comptoirdespros.com/chauffe-eau-vertical-mural-blinde-chauffeo-321105.html</t>
        </is>
      </c>
      <c r="H2132" s="20" t="n">
        <v>3745</v>
      </c>
      <c r="I2132" s="20" t="n">
        <v>22</v>
      </c>
      <c r="J2132" s="21">
        <f>IF(H2132=0,0,I2132/H2132)</f>
        <v/>
      </c>
    </row>
    <row r="2133">
      <c r="A2133" s="17" t="inlineStr">
        <is>
          <t>Comptoir des Pros</t>
        </is>
      </c>
      <c r="B2133" s="17" t="inlineStr">
        <is>
          <t>Hors fichier de suivi</t>
        </is>
      </c>
      <c r="C2133" s="17" t="inlineStr">
        <is>
          <t>MABEX</t>
        </is>
      </c>
      <c r="D2133" s="17" t="inlineStr">
        <is>
          <t>Colliers monobloc</t>
        </is>
      </c>
      <c r="E2133" s="18" t="inlineStr">
        <is>
          <t>Ansell|Gants de manipulation fine HyFlex 11-925 taille 11</t>
        </is>
      </c>
      <c r="F2133" s="17" t="inlineStr">
        <is>
          <t>Gants de manipulation fine HyFlex 11-925 taille 11 (sachet de 12 paires). Tout l'équipement pro au meilleur prix chez Comptoir des Pros.</t>
        </is>
      </c>
      <c r="G2133" s="19" t="inlineStr">
        <is>
          <t>https://www.comptoirdespros.com/gants-hyflex-11-925-taille-11.html?UTM_source=lemrock</t>
        </is>
      </c>
      <c r="H2133" s="20" t="n">
        <v>3725</v>
      </c>
      <c r="I2133" s="20" t="n">
        <v>21</v>
      </c>
      <c r="J2133" s="21">
        <f>IF(H2133=0,0,I2133/H2133)</f>
        <v/>
      </c>
    </row>
    <row r="2134">
      <c r="A2134" s="17" t="inlineStr">
        <is>
          <t>Comptoir des Pros</t>
        </is>
      </c>
      <c r="B2134" s="17" t="inlineStr">
        <is>
          <t>Hors fichier de suivi</t>
        </is>
      </c>
      <c r="C2134" s="17" t="inlineStr">
        <is>
          <t>MABEX</t>
        </is>
      </c>
      <c r="D2134" s="17" t="inlineStr">
        <is>
          <t>Colliers monobloc</t>
        </is>
      </c>
      <c r="E2134" s="18" t="inlineStr">
        <is>
          <t>Honeywell|Gants jetables nitrile non poudré Dermatril</t>
        </is>
      </c>
      <c r="F2134" s="17" t="inlineStr">
        <is>
          <t>Gants jetables nitrile non poudré Dermatril 740-074006081C. Tout l'équipement PRO au meilleur prix chez Comptoir des Pros.</t>
        </is>
      </c>
      <c r="G2134" s="19" t="inlineStr">
        <is>
          <t>https://www.comptoirdespros.com/gants-hon-074006081c.html?UTM_source=lemrock</t>
        </is>
      </c>
      <c r="H2134" s="20" t="n">
        <v>3718</v>
      </c>
      <c r="I2134" s="20" t="n">
        <v>15</v>
      </c>
      <c r="J2134" s="21">
        <f>IF(H2134=0,0,I2134/H2134)</f>
        <v/>
      </c>
    </row>
    <row r="2135">
      <c r="A2135" s="17" t="inlineStr">
        <is>
          <t>Comptoir des Pros</t>
        </is>
      </c>
      <c r="B2135" s="17" t="inlineStr">
        <is>
          <t>Hors fichier de suivi</t>
        </is>
      </c>
      <c r="C2135" s="17" t="inlineStr">
        <is>
          <t>MABEX</t>
        </is>
      </c>
      <c r="D2135" s="17" t="inlineStr">
        <is>
          <t>Home Improvement and Repair</t>
        </is>
      </c>
      <c r="E2135" s="18" t="inlineStr">
        <is>
          <t>Chauffage et plomberie prix bas | Comptoir des Pros</t>
        </is>
      </c>
      <c r="F2135" s="17" t="inlineStr">
        <is>
          <t>Le raccord droit à sertir SteelPres, en acier électrozingué E 195 avec joint O-Ring EPDM noir, se monte sans flamme sur vos réseaux.</t>
        </is>
      </c>
      <c r="G2135" s="19" t="inlineStr">
        <is>
          <t>https://www.comptoirdespros.com/raccord-filete-387-steelpresr-387102015.html</t>
        </is>
      </c>
      <c r="H2135" s="20" t="n">
        <v>3443</v>
      </c>
      <c r="I2135" s="20" t="n">
        <v>16</v>
      </c>
      <c r="J2135" s="21">
        <f>IF(H2135=0,0,I2135/H2135)</f>
        <v/>
      </c>
    </row>
    <row r="2136">
      <c r="A2136" s="17" t="inlineStr">
        <is>
          <t>Comptoir des Pros</t>
        </is>
      </c>
      <c r="B2136" s="17" t="inlineStr">
        <is>
          <t>Hors fichier de suivi</t>
        </is>
      </c>
      <c r="C2136" s="17" t="inlineStr">
        <is>
          <t>MABEX</t>
        </is>
      </c>
      <c r="D2136" s="17" t="inlineStr">
        <is>
          <t>Outillage à main, électroportatif et rangement pro</t>
        </is>
      </c>
      <c r="E2136" s="18" t="inlineStr">
        <is>
          <t>Packs outils électroportatifs pas chers | Comptoir des Pros</t>
        </is>
      </c>
      <c r="F2136" s="17" t="inlineStr">
        <is>
          <t>Packs d’outils électroportatifs Milwaukee, Makita, Dewalt, Bosch et Festool pour équiper un chantier d’un coup, livrés gratuitement dès 120 € HT d’achat.</t>
        </is>
      </c>
      <c r="G2136" s="19" t="inlineStr">
        <is>
          <t>https://www.comptoirdespros.com/outillage-electroportatif/composition-outils.html</t>
        </is>
      </c>
      <c r="H2136" s="20" t="n">
        <v>3413</v>
      </c>
      <c r="I2136" s="20" t="n">
        <v>34</v>
      </c>
      <c r="J2136" s="21">
        <f>IF(H2136=0,0,I2136/H2136)</f>
        <v/>
      </c>
    </row>
    <row r="2137">
      <c r="A2137" s="17" t="inlineStr">
        <is>
          <t>Comptoir des Pros</t>
        </is>
      </c>
      <c r="B2137" s="17" t="inlineStr">
        <is>
          <t>Hors fichier de suivi</t>
        </is>
      </c>
      <c r="C2137" s="17" t="inlineStr">
        <is>
          <t>MABEX</t>
        </is>
      </c>
      <c r="D2137" s="17" t="inlineStr">
        <is>
          <t>Chantier : colles, mastics et offre pro par métier</t>
        </is>
      </c>
      <c r="E2137" s="18" t="inlineStr">
        <is>
          <t>Colles et mastics Soudal pas chers | Comptoir des Pros</t>
        </is>
      </c>
      <c r="F2137" s="17" t="inlineStr">
        <is>
          <t>Mastics silicone, acrylique et polyuréthane, colles Fix All, mousses PU et fixations chimiques Soudal en cartouche, livrés gratuitement dès 120 € HT d’achat.</t>
        </is>
      </c>
      <c r="G2137" s="19" t="inlineStr">
        <is>
          <t>https://www.comptoirdespros.com/marques/soudal.html</t>
        </is>
      </c>
      <c r="H2137" s="20" t="n">
        <v>3390</v>
      </c>
      <c r="I2137" s="20" t="n">
        <v>10</v>
      </c>
      <c r="J2137" s="21">
        <f>IF(H2137=0,0,I2137/H2137)</f>
        <v/>
      </c>
    </row>
    <row r="2138">
      <c r="A2138" s="17" t="inlineStr">
        <is>
          <t>Comptoir des Pros</t>
        </is>
      </c>
      <c r="B2138" s="17" t="inlineStr">
        <is>
          <t>Hors fichier de suivi</t>
        </is>
      </c>
      <c r="C2138" s="17" t="inlineStr">
        <is>
          <t>MABEX</t>
        </is>
      </c>
      <c r="D2138" s="17" t="inlineStr">
        <is>
          <t>Business and Industrial</t>
        </is>
      </c>
      <c r="E2138" s="18" t="inlineStr">
        <is>
          <t>Équipement pro pas cher | Comptoir des Pros</t>
        </is>
      </c>
      <c r="F2138" s="17" t="inlineStr">
        <is>
          <t>La commande d’éclairage Odace de Schneider Electric, finition noir onyx, fait partie de l’équipement pro vendu par Comptoir des Pros.</t>
        </is>
      </c>
      <c r="G2138" s="19" t="inlineStr">
        <is>
          <t>https://www.comptoirdespros.com/commande-d-eclairage-odace-noir-onyx-scn-s940214.html?UTM_source=lemrock</t>
        </is>
      </c>
      <c r="H2138" s="20" t="n">
        <v>3370</v>
      </c>
      <c r="I2138" s="20" t="n">
        <v>17</v>
      </c>
      <c r="J2138" s="21">
        <f>IF(H2138=0,0,I2138/H2138)</f>
        <v/>
      </c>
    </row>
    <row r="2139">
      <c r="A2139" s="17" t="inlineStr">
        <is>
          <t>Comptoir des Pros</t>
        </is>
      </c>
      <c r="B2139" s="17" t="inlineStr">
        <is>
          <t>Hors fichier de suivi</t>
        </is>
      </c>
      <c r="C2139" s="17" t="inlineStr">
        <is>
          <t>MABEX</t>
        </is>
      </c>
      <c r="D2139" s="17" t="inlineStr">
        <is>
          <t>Home Improvement and Repair</t>
        </is>
      </c>
      <c r="E2139" s="18" t="inlineStr">
        <is>
          <t>Chauffage et plomberie prix bas | Comptoir des Pros</t>
        </is>
      </c>
      <c r="F2139" s="17" t="inlineStr">
        <is>
          <t>Le chauffe-eau Atlantic de 30 L s’installe sur l’évier dans 33 cm de diamètre : la proximité du point d’eau en fait un appoint économique.</t>
        </is>
      </c>
      <c r="G2139" s="19" t="inlineStr">
        <is>
          <t>https://www.comptoirdespros.com/chauffe-eau-electrique-blinde-petite-capacite-chauffeo-sur-evier-321104.html</t>
        </is>
      </c>
      <c r="H2139" s="20" t="n">
        <v>3370</v>
      </c>
      <c r="I2139" s="20" t="n">
        <v>15</v>
      </c>
      <c r="J2139" s="21">
        <f>IF(H2139=0,0,I2139/H2139)</f>
        <v/>
      </c>
    </row>
    <row r="2140">
      <c r="A2140" s="17" t="inlineStr">
        <is>
          <t>Comptoir des Pros</t>
        </is>
      </c>
      <c r="B2140" s="17" t="inlineStr">
        <is>
          <t>Hors fichier de suivi</t>
        </is>
      </c>
      <c r="C2140" s="17" t="inlineStr">
        <is>
          <t>MABEX</t>
        </is>
      </c>
      <c r="D2140" s="17" t="inlineStr">
        <is>
          <t>Business and Industrial</t>
        </is>
      </c>
      <c r="E2140" s="18" t="inlineStr">
        <is>
          <t>Ansell|Gants de manipulation fine HyFlex 11-925 taille 11</t>
        </is>
      </c>
      <c r="F2140" s="17" t="inlineStr">
        <is>
          <t>Gants de manipulation fine HyFlex 11-925 taille 11 (sachet de 12 paires). Tout l'équipement pro au meilleur prix chez Comptoir des Pros.</t>
        </is>
      </c>
      <c r="G2140" s="19" t="inlineStr">
        <is>
          <t>https://www.comptoirdespros.com/gants-hyflex-11-925-taille-11.html?UTM_source=lemrock</t>
        </is>
      </c>
      <c r="H2140" s="20" t="n">
        <v>3355</v>
      </c>
      <c r="I2140" s="20" t="n">
        <v>21</v>
      </c>
      <c r="J2140" s="21">
        <f>IF(H2140=0,0,I2140/H2140)</f>
        <v/>
      </c>
    </row>
    <row r="2141">
      <c r="A2141" s="17" t="inlineStr">
        <is>
          <t>Comptoir des Pros</t>
        </is>
      </c>
      <c r="B2141" s="17" t="inlineStr">
        <is>
          <t>Hors fichier de suivi</t>
        </is>
      </c>
      <c r="C2141" s="17" t="inlineStr">
        <is>
          <t>MABEX</t>
        </is>
      </c>
      <c r="D2141" s="17" t="inlineStr">
        <is>
          <t>Business and Industrial</t>
        </is>
      </c>
      <c r="E2141" s="18" t="inlineStr">
        <is>
          <t>Équipement pro pas cher | Comptoir des Pros</t>
        </is>
      </c>
      <c r="F2141" s="17" t="inlineStr">
        <is>
          <t>La perceuse-visseuse Milwaukee M18 Brushless délivre 82 Nm avec son moteur sans charbons, soit 40 % de couple en plus, coffret HD Box inclus.</t>
        </is>
      </c>
      <c r="G2141" s="19" t="inlineStr">
        <is>
          <t>https://www.comptoirdespros.com/perceuse-visseuse-brushless-18v-m18-bldd-0-coffret-hd-box.html</t>
        </is>
      </c>
      <c r="H2141" s="20" t="n">
        <v>3337</v>
      </c>
      <c r="I2141" s="20" t="n">
        <v>19</v>
      </c>
      <c r="J2141" s="21">
        <f>IF(H2141=0,0,I2141/H2141)</f>
        <v/>
      </c>
    </row>
    <row r="2142">
      <c r="A2142" s="17" t="inlineStr">
        <is>
          <t>Comptoir des Pros</t>
        </is>
      </c>
      <c r="B2142" s="17" t="inlineStr">
        <is>
          <t>Hors fichier de suivi</t>
        </is>
      </c>
      <c r="C2142" s="17" t="inlineStr">
        <is>
          <t>MABEX</t>
        </is>
      </c>
      <c r="D2142" s="17" t="inlineStr">
        <is>
          <t>Business and Industrial</t>
        </is>
      </c>
      <c r="E2142" s="18" t="inlineStr">
        <is>
          <t>Équipement pro pas cher | Comptoir des Pros</t>
        </is>
      </c>
      <c r="F2142" s="17" t="inlineStr">
        <is>
          <t>Le chauffe-eau Atlantic de 30 L s’installe sur l’évier dans 33 cm de diamètre : la proximité du point d’eau en fait un appoint économique.</t>
        </is>
      </c>
      <c r="G2142" s="19" t="inlineStr">
        <is>
          <t>https://www.comptoirdespros.com/chauffe-eau-electrique-blinde-petite-capacite-chauffeo-sur-evier-321104.html</t>
        </is>
      </c>
      <c r="H2142" s="20" t="n">
        <v>3328</v>
      </c>
      <c r="I2142" s="20" t="n">
        <v>21</v>
      </c>
      <c r="J2142" s="21">
        <f>IF(H2142=0,0,I2142/H2142)</f>
        <v/>
      </c>
    </row>
    <row r="2143">
      <c r="A2143" s="17" t="inlineStr">
        <is>
          <t>Comptoir des Pros</t>
        </is>
      </c>
      <c r="B2143" s="17" t="inlineStr">
        <is>
          <t>Hors fichier de suivi</t>
        </is>
      </c>
      <c r="C2143" s="17" t="inlineStr">
        <is>
          <t>MABEX</t>
        </is>
      </c>
      <c r="D2143" s="17" t="inlineStr">
        <is>
          <t>Home Improvement and Repair</t>
        </is>
      </c>
      <c r="E2143" s="18" t="inlineStr">
        <is>
          <t>Chauffage et plomberie prix bas | Comptoir des Pros</t>
        </is>
      </c>
      <c r="F2143" s="17" t="inlineStr">
        <is>
          <t>Le chauffe-eau électrique Atlantic de 15 L se loge sous l’évier en 33 cm de diamètre, un appoint économique au plus près du point d’eau.</t>
        </is>
      </c>
      <c r="G2143" s="19" t="inlineStr">
        <is>
          <t>https://www.comptoirdespros.com/chauffe-eau-electrique-blinde-petite-capacite-chauffeo-sous-evier-326216.html</t>
        </is>
      </c>
      <c r="H2143" s="20" t="n">
        <v>3315</v>
      </c>
      <c r="I2143" s="20" t="n">
        <v>17</v>
      </c>
      <c r="J2143" s="21">
        <f>IF(H2143=0,0,I2143/H2143)</f>
        <v/>
      </c>
    </row>
    <row r="2144">
      <c r="A2144" s="17" t="inlineStr">
        <is>
          <t>Comptoir des Pros</t>
        </is>
      </c>
      <c r="B2144" s="17" t="inlineStr">
        <is>
          <t>Hors fichier de suivi</t>
        </is>
      </c>
      <c r="C2144" s="17" t="inlineStr">
        <is>
          <t>MABEX</t>
        </is>
      </c>
      <c r="D2144" s="17" t="inlineStr">
        <is>
          <t>Business and Industrial</t>
        </is>
      </c>
      <c r="E2144" s="18" t="inlineStr">
        <is>
          <t>Wonder Grip|Gants antifroid Thermo lite plus</t>
        </is>
      </c>
      <c r="F2144" s="17" t="inlineStr">
        <is>
          <t>Gants antifroid Thermo lite plus WG-348R. Tout l'équipement PRO au meilleur prix chez Comptoir des Pros.</t>
        </is>
      </c>
      <c r="G2144" s="19" t="inlineStr">
        <is>
          <t>https://www.comptoirdespros.com/gants-antifroid-thermo-lite-plus-wg-348r-wgr-wg348r0912.html?UTM_source=lemrock</t>
        </is>
      </c>
      <c r="H2144" s="20" t="n">
        <v>3311</v>
      </c>
      <c r="I2144" s="20" t="n">
        <v>14</v>
      </c>
      <c r="J2144" s="21">
        <f>IF(H2144=0,0,I2144/H2144)</f>
        <v/>
      </c>
    </row>
    <row r="2145">
      <c r="A2145" s="17" t="inlineStr">
        <is>
          <t>Comptoir des Pros</t>
        </is>
      </c>
      <c r="B2145" s="17" t="inlineStr">
        <is>
          <t>Hors fichier de suivi</t>
        </is>
      </c>
      <c r="C2145" s="17" t="inlineStr">
        <is>
          <t>MABEX</t>
        </is>
      </c>
      <c r="D2145" s="17" t="inlineStr">
        <is>
          <t>Business and Industrial</t>
        </is>
      </c>
      <c r="E2145" s="18" t="inlineStr">
        <is>
          <t>Chaussures basses Pauline PAULSB0BL - Blanc- pointure 37</t>
        </is>
      </c>
      <c r="F2145" s="17" t="inlineStr">
        <is>
          <t>Tige en microfibre blanche perforée. Doublure Cambrelle®. Embout de sécurité métallique. Semelle en PU bi-densité Paraboline.</t>
        </is>
      </c>
      <c r="G2145" s="19" t="inlineStr">
        <is>
          <t>https://www.comptoirdespros.com/chaussures-basses-pauline-paulsb0bl-blanc-pointure-37.html</t>
        </is>
      </c>
      <c r="H2145" s="20" t="n">
        <v>3302</v>
      </c>
      <c r="I2145" s="20" t="n">
        <v>17</v>
      </c>
      <c r="J2145" s="21">
        <f>IF(H2145=0,0,I2145/H2145)</f>
        <v/>
      </c>
    </row>
    <row r="2146">
      <c r="A2146" s="17" t="inlineStr">
        <is>
          <t>Comptoir des Pros</t>
        </is>
      </c>
      <c r="B2146" s="17" t="inlineStr">
        <is>
          <t>Hors fichier de suivi</t>
        </is>
      </c>
      <c r="C2146" s="17" t="inlineStr">
        <is>
          <t>MABEX</t>
        </is>
      </c>
      <c r="D2146" s="17" t="inlineStr">
        <is>
          <t>Business and Industrial</t>
        </is>
      </c>
      <c r="E2146" s="18" t="inlineStr">
        <is>
          <t>Équipement pro pas cher | Comptoir des Pros</t>
        </is>
      </c>
      <c r="F2146" s="17" t="inlineStr">
        <is>
          <t>Le radiateur Thermor Tenerife diffuse une chaleur douce de 1500 W en format vertical blanc, proposé au meilleur prix par Comptoir des Pros.</t>
        </is>
      </c>
      <c r="G2146" s="19" t="inlineStr">
        <is>
          <t>https://www.comptoirdespros.com/radiateur-electrique-tenerife-vertical-blanc-1500w.html?UTM_source=lemrock</t>
        </is>
      </c>
      <c r="H2146" s="20" t="n">
        <v>3290</v>
      </c>
      <c r="I2146" s="20" t="n">
        <v>16</v>
      </c>
      <c r="J2146" s="21">
        <f>IF(H2146=0,0,I2146/H2146)</f>
        <v/>
      </c>
    </row>
    <row r="2147">
      <c r="A2147" s="17" t="inlineStr">
        <is>
          <t>Comptoir des Pros</t>
        </is>
      </c>
      <c r="B2147" s="17" t="inlineStr">
        <is>
          <t>Hors fichier de suivi</t>
        </is>
      </c>
      <c r="C2147" s="17" t="inlineStr">
        <is>
          <t>MABEX</t>
        </is>
      </c>
      <c r="D2147" s="17" t="inlineStr">
        <is>
          <t>Business and Industrial</t>
        </is>
      </c>
      <c r="E2147" s="18" t="inlineStr">
        <is>
          <t>Équipement pro pas cher | Comptoir des Pros</t>
        </is>
      </c>
      <c r="F2147" s="17" t="inlineStr">
        <is>
          <t>La visseuse Milwaukee M12 BD-202C donne 30 Nm sur 175 mm de long, avec 2 batteries 2 Ah, le chargeur et le coffret, pour les espaces étroits.</t>
        </is>
      </c>
      <c r="G2147" s="19" t="inlineStr">
        <is>
          <t>https://www.comptoirdespros.com/visseuse-12v-2-0ah-30-nm-m12-bd-202c-2-batteries-2ah-chargeur-coffret.html</t>
        </is>
      </c>
      <c r="H2147" s="20" t="n">
        <v>3287</v>
      </c>
      <c r="I2147" s="20" t="n">
        <v>18</v>
      </c>
      <c r="J2147" s="21">
        <f>IF(H2147=0,0,I2147/H2147)</f>
        <v/>
      </c>
    </row>
    <row r="2148">
      <c r="A2148" s="17" t="inlineStr">
        <is>
          <t>Comptoir des Pros</t>
        </is>
      </c>
      <c r="B2148" s="17" t="inlineStr">
        <is>
          <t>Hors fichier de suivi</t>
        </is>
      </c>
      <c r="C2148" s="17" t="inlineStr">
        <is>
          <t>MABEX</t>
        </is>
      </c>
      <c r="D2148" s="17" t="inlineStr">
        <is>
          <t>Business and Industrial</t>
        </is>
      </c>
      <c r="E2148" s="18" t="inlineStr">
        <is>
          <t>Chaussures de sécurité basses Pégase taille 38</t>
        </is>
      </c>
      <c r="F2148" s="17" t="inlineStr">
        <is>
          <t>Tige en cuir pleine fleur hydrofuge noir Doublure en Cambrelle® Intercalaire antiperforation non métallique Embout de sécurité non métallique Semelle CITY en PU bi-densité</t>
        </is>
      </c>
      <c r="G2148" s="19" t="inlineStr">
        <is>
          <t>https://www.comptoirdespros.com/chaussures-de-securite-basses-pegase-pointure-38.html</t>
        </is>
      </c>
      <c r="H2148" s="20" t="n">
        <v>3286</v>
      </c>
      <c r="I2148" s="20" t="n">
        <v>16</v>
      </c>
      <c r="J2148" s="21">
        <f>IF(H2148=0,0,I2148/H2148)</f>
        <v/>
      </c>
    </row>
    <row r="2149">
      <c r="A2149" s="17" t="inlineStr">
        <is>
          <t>Comptoir des Pros</t>
        </is>
      </c>
      <c r="B2149" s="17" t="inlineStr">
        <is>
          <t>Hors fichier de suivi</t>
        </is>
      </c>
      <c r="C2149" s="17" t="inlineStr">
        <is>
          <t>MABEX</t>
        </is>
      </c>
      <c r="D2149" s="17" t="inlineStr">
        <is>
          <t>Outillage à main, électroportatif et rangement pro</t>
        </is>
      </c>
      <c r="E2149" s="18" t="inlineStr">
        <is>
          <t>Outillage Facom au meilleur prix | Comptoir des Pros</t>
        </is>
      </c>
      <c r="F2149" s="17" t="inlineStr">
        <is>
          <t>Tout l’outillage à main Facom garanti à vie : clés, douilles, servantes et coffrets, parmi plus de 20 000 références, livrés gratuitement dès 120 € HT d’achat.</t>
        </is>
      </c>
      <c r="G2149" s="19" t="inlineStr">
        <is>
          <t>https://www.comptoirdespros.com/marques/facom.html</t>
        </is>
      </c>
      <c r="H2149" s="20" t="n">
        <v>3285</v>
      </c>
      <c r="I2149" s="20" t="n">
        <v>14</v>
      </c>
      <c r="J2149" s="21">
        <f>IF(H2149=0,0,I2149/H2149)</f>
        <v/>
      </c>
    </row>
    <row r="2150">
      <c r="A2150" s="17" t="inlineStr">
        <is>
          <t>Comptoir des Pros</t>
        </is>
      </c>
      <c r="B2150" s="17" t="inlineStr">
        <is>
          <t>Hors fichier de suivi</t>
        </is>
      </c>
      <c r="C2150" s="17" t="inlineStr">
        <is>
          <t>MABEX</t>
        </is>
      </c>
      <c r="D2150" s="17" t="inlineStr">
        <is>
          <t>Business and Industrial</t>
        </is>
      </c>
      <c r="E2150" s="18" t="inlineStr">
        <is>
          <t>Équipement pro pas cher | Comptoir des Pros</t>
        </is>
      </c>
      <c r="F2150" s="17" t="inlineStr">
        <is>
          <t>Le raccord droit à sertir SteelPres, en acier électrozingué E 195 avec joint O-Ring EPDM noir, se monte sans flamme sur vos réseaux.</t>
        </is>
      </c>
      <c r="G2150" s="19" t="inlineStr">
        <is>
          <t>https://www.comptoirdespros.com/raccord-filete-387-steelpresr-387102015.html</t>
        </is>
      </c>
      <c r="H2150" s="20" t="n">
        <v>3284</v>
      </c>
      <c r="I2150" s="20" t="n">
        <v>14</v>
      </c>
      <c r="J2150" s="21">
        <f>IF(H2150=0,0,I2150/H2150)</f>
        <v/>
      </c>
    </row>
    <row r="2151">
      <c r="A2151" s="17" t="inlineStr">
        <is>
          <t>Comptoir des Pros</t>
        </is>
      </c>
      <c r="B2151" s="17" t="inlineStr">
        <is>
          <t>Hors fichier de suivi</t>
        </is>
      </c>
      <c r="C2151" s="17" t="inlineStr">
        <is>
          <t>MABEX</t>
        </is>
      </c>
      <c r="D2151" s="17" t="inlineStr">
        <is>
          <t>Business and Industrial</t>
        </is>
      </c>
      <c r="E2151" s="18" t="inlineStr">
        <is>
          <t>Honeywell|Gants jetables nitrile non poudré Dermatril</t>
        </is>
      </c>
      <c r="F2151" s="17" t="inlineStr">
        <is>
          <t>Gants jetables nitrile non poudré Dermatril 740-074006081C. Tout l'équipement PRO au meilleur prix chez Comptoir des Pros.</t>
        </is>
      </c>
      <c r="G2151" s="19" t="inlineStr">
        <is>
          <t>https://www.comptoirdespros.com/gants-hon-074006081c.html?UTM_source=lemrock</t>
        </is>
      </c>
      <c r="H2151" s="20" t="n">
        <v>3278</v>
      </c>
      <c r="I2151" s="20" t="n">
        <v>17</v>
      </c>
      <c r="J2151" s="21">
        <f>IF(H2151=0,0,I2151/H2151)</f>
        <v/>
      </c>
    </row>
    <row r="2152">
      <c r="A2152" s="17" t="inlineStr">
        <is>
          <t>Comptoir des Pros</t>
        </is>
      </c>
      <c r="B2152" s="17" t="inlineStr">
        <is>
          <t>Hors fichier de suivi</t>
        </is>
      </c>
      <c r="C2152" s="17" t="inlineStr">
        <is>
          <t>MABEX</t>
        </is>
      </c>
      <c r="D2152" s="17" t="inlineStr">
        <is>
          <t>Business and Industrial</t>
        </is>
      </c>
      <c r="E2152" s="18" t="inlineStr">
        <is>
          <t>Équipement pro pas cher | Comptoir des Pros</t>
        </is>
      </c>
      <c r="F2152" s="17" t="inlineStr">
        <is>
          <t>Le vérin 30 tonnes à vis mécanique Facom U.33A soulève sans hydraulique, comme le reste de l’outillage Facom garanti à vie.</t>
        </is>
      </c>
      <c r="G2152" s="19" t="inlineStr">
        <is>
          <t>https://www.comptoirdespros.com/verin-30t-a-vis-mecanique.html</t>
        </is>
      </c>
      <c r="H2152" s="20" t="n">
        <v>3257</v>
      </c>
      <c r="I2152" s="20" t="n">
        <v>22</v>
      </c>
      <c r="J2152" s="21">
        <f>IF(H2152=0,0,I2152/H2152)</f>
        <v/>
      </c>
    </row>
    <row r="2153">
      <c r="A2153" s="17" t="inlineStr">
        <is>
          <t>Comptoir des Pros</t>
        </is>
      </c>
      <c r="B2153" s="17" t="inlineStr">
        <is>
          <t>Hors fichier de suivi</t>
        </is>
      </c>
      <c r="C2153" s="17" t="inlineStr">
        <is>
          <t>MABEX</t>
        </is>
      </c>
      <c r="D2153" s="17" t="inlineStr">
        <is>
          <t>Business and Industrial</t>
        </is>
      </c>
      <c r="E2153" s="18" t="inlineStr">
        <is>
          <t>Sioen|Veste de pluie haute-visibilité Monoray taille</t>
        </is>
      </c>
      <c r="F2153" s="17" t="inlineStr">
        <is>
          <t>Veste de pluie haute-visibilité Monoray taille XL. Tout l'équipement pro au meilleur prix chez Comptoir des Pros.</t>
        </is>
      </c>
      <c r="G2153" s="19" t="inlineStr">
        <is>
          <t>https://www.comptoirdespros.com/veste-r-de-pluie-fluo-monoray-taille-xl.html?UTM_source=lemrock</t>
        </is>
      </c>
      <c r="H2153" s="20" t="n">
        <v>3257</v>
      </c>
      <c r="I2153" s="20" t="n">
        <v>9</v>
      </c>
      <c r="J2153" s="21">
        <f>IF(H2153=0,0,I2153/H2153)</f>
        <v/>
      </c>
    </row>
    <row r="2154">
      <c r="A2154" s="17" t="inlineStr">
        <is>
          <t>Comptoir des Pros</t>
        </is>
      </c>
      <c r="B2154" s="17" t="inlineStr">
        <is>
          <t>Hors fichier de suivi</t>
        </is>
      </c>
      <c r="C2154" s="17" t="inlineStr">
        <is>
          <t>MABEX</t>
        </is>
      </c>
      <c r="D2154" s="17" t="inlineStr">
        <is>
          <t>Chantier : colles, mastics et offre pro par métier</t>
        </is>
      </c>
      <c r="E2154" s="18" t="inlineStr">
        <is>
          <t>Équipement pro jusqu’à -60 % | Comptoir des Pros</t>
        </is>
      </c>
      <c r="F2154" s="17" t="inlineStr">
        <is>
          <t>Menuiserie, électricité, plomberie, mécanique, climatisation : l’offre pro Comptoir des Pros par métier, jusqu’à -60 %, avec la livraison gratuite dès 120 € HT.</t>
        </is>
      </c>
      <c r="G2154" s="19" t="inlineStr">
        <is>
          <t>https://www.comptoirdespros.com/offre-pro</t>
        </is>
      </c>
      <c r="H2154" s="20" t="n">
        <v>3251</v>
      </c>
      <c r="I2154" s="20" t="n">
        <v>13</v>
      </c>
      <c r="J2154" s="21">
        <f>IF(H2154=0,0,I2154/H2154)</f>
        <v/>
      </c>
    </row>
    <row r="2155">
      <c r="A2155" s="17" t="inlineStr">
        <is>
          <t>Comptoir des Pros</t>
        </is>
      </c>
      <c r="B2155" s="17" t="inlineStr">
        <is>
          <t>Hors fichier de suivi</t>
        </is>
      </c>
      <c r="C2155" s="17" t="inlineStr">
        <is>
          <t>MABEX</t>
        </is>
      </c>
      <c r="D2155" s="17" t="inlineStr">
        <is>
          <t>Business and Industrial</t>
        </is>
      </c>
      <c r="E2155" s="18" t="inlineStr">
        <is>
          <t>Équipement pro pas cher | Comptoir des Pros</t>
        </is>
      </c>
      <c r="F2155" s="17" t="inlineStr">
        <is>
          <t>Les extracteurs auto-serrants Facom U.302-150 saisissent les prises extérieures avec leurs griffes fines 20-150, et sont garantis à vie.</t>
        </is>
      </c>
      <c r="G2155" s="19" t="inlineStr">
        <is>
          <t>https://www.comptoirdespros.com/extracteurs-auto-serrants-pour-prise-exterieure-griffes-fines-20-150.html</t>
        </is>
      </c>
      <c r="H2155" s="20" t="n">
        <v>3244</v>
      </c>
      <c r="I2155" s="20" t="n">
        <v>15</v>
      </c>
      <c r="J2155" s="21">
        <f>IF(H2155=0,0,I2155/H2155)</f>
        <v/>
      </c>
    </row>
    <row r="2156">
      <c r="A2156" s="17" t="inlineStr">
        <is>
          <t>Comptoir des Pros</t>
        </is>
      </c>
      <c r="B2156" s="17" t="inlineStr">
        <is>
          <t>Hors fichier de suivi</t>
        </is>
      </c>
      <c r="C2156" s="17" t="inlineStr">
        <is>
          <t>MABEX</t>
        </is>
      </c>
      <c r="D2156" s="17" t="inlineStr">
        <is>
          <t>Chauffe-eau</t>
        </is>
      </c>
      <c r="E2156" s="18" t="inlineStr">
        <is>
          <t>Thermor|Radiateur Tenerife chaleur douce vertical 1500W</t>
        </is>
      </c>
      <c r="F2156" s="17" t="inlineStr">
        <is>
          <t>Radiateur Tenerife chaleur douce vertical 1500W blanc. Tout l'équipement pro au meilleur prix chez Comptoir des Pros.</t>
        </is>
      </c>
      <c r="G2156" s="19" t="inlineStr">
        <is>
          <t>https://www.comptoirdespros.com/radiateur-electrique-tenerife-vertical-blanc-1500w.html?UTM_source=lemrock</t>
        </is>
      </c>
      <c r="H2156" s="20" t="n">
        <v>3231</v>
      </c>
      <c r="I2156" s="20" t="n">
        <v>10</v>
      </c>
      <c r="J2156" s="21">
        <f>IF(H2156=0,0,I2156/H2156)</f>
        <v/>
      </c>
    </row>
    <row r="2157">
      <c r="A2157" s="17" t="inlineStr">
        <is>
          <t>Comptoir des Pros</t>
        </is>
      </c>
      <c r="B2157" s="17" t="inlineStr">
        <is>
          <t>Hors fichier de suivi</t>
        </is>
      </c>
      <c r="C2157" s="17" t="inlineStr">
        <is>
          <t>MABEX</t>
        </is>
      </c>
      <c r="D2157" s="17" t="inlineStr">
        <is>
          <t>Chauffage et eau chaude</t>
        </is>
      </c>
      <c r="E2157" s="18" t="inlineStr">
        <is>
          <t>Radiateurs eau chaude Henrad prix bas | Comptoir des Pros</t>
        </is>
      </c>
      <c r="F2157" s="17" t="inlineStr">
        <is>
          <t>Radiateurs acier à eau chaude Henrad, horizontaux ou verticaux, de 500 à 3 000 W, avec kits robinets, pieds, consoles et grilles assortis, au prix pro.</t>
        </is>
      </c>
      <c r="G2157" s="19" t="inlineStr">
        <is>
          <t>https://www.comptoirdespros.com/marques/henrad.html</t>
        </is>
      </c>
      <c r="H2157" s="20" t="n">
        <v>3218</v>
      </c>
      <c r="I2157" s="20" t="n">
        <v>15</v>
      </c>
      <c r="J2157" s="21">
        <f>IF(H2157=0,0,I2157/H2157)</f>
        <v/>
      </c>
    </row>
    <row r="2158">
      <c r="A2158" s="17" t="inlineStr">
        <is>
          <t>Comptoir des Pros</t>
        </is>
      </c>
      <c r="B2158" s="17" t="inlineStr">
        <is>
          <t>Hors fichier de suivi</t>
        </is>
      </c>
      <c r="C2158" s="17" t="inlineStr">
        <is>
          <t>MABEX</t>
        </is>
      </c>
      <c r="D2158" s="17" t="inlineStr">
        <is>
          <t>Business and Industrial</t>
        </is>
      </c>
      <c r="E2158" s="18" t="inlineStr">
        <is>
          <t>Équipement pro pas cher | Comptoir des Pros</t>
        </is>
      </c>
      <c r="F2158" s="17" t="inlineStr">
        <is>
          <t>Le chauffe-eau électrique Atlantic Chaufféo, vertical mural de 50 L, met l’eau chaude rapidement à disposition dans un cumulus au design travaillé.</t>
        </is>
      </c>
      <c r="G2158" s="19" t="inlineStr">
        <is>
          <t>https://www.comptoirdespros.com/chauffe-eau-vertical-mural-blinde-chauffeo-321105.html</t>
        </is>
      </c>
      <c r="H2158" s="20" t="n">
        <v>3194</v>
      </c>
      <c r="I2158" s="20" t="n">
        <v>13</v>
      </c>
      <c r="J2158" s="21">
        <f>IF(H2158=0,0,I2158/H2158)</f>
        <v/>
      </c>
    </row>
    <row r="2159">
      <c r="A2159" s="17" t="inlineStr">
        <is>
          <t>Comptoir des Pros</t>
        </is>
      </c>
      <c r="B2159" s="17" t="inlineStr">
        <is>
          <t>Hors fichier de suivi</t>
        </is>
      </c>
      <c r="C2159" s="17" t="inlineStr">
        <is>
          <t>MABEX</t>
        </is>
      </c>
      <c r="D2159" s="17" t="inlineStr">
        <is>
          <t>Business and Industrial</t>
        </is>
      </c>
      <c r="E2159" s="18" t="inlineStr">
        <is>
          <t>Équipement pro pas cher | Comptoir des Pros</t>
        </is>
      </c>
      <c r="F2159" s="17" t="inlineStr">
        <is>
          <t>Le lot de 5 colliers monobloc Nicoll en 40 mm arrive sous sachet, dans l’équipement pro vendu au meilleur prix par Comptoir des Pros.</t>
        </is>
      </c>
      <c r="G2159" s="19" t="inlineStr">
        <is>
          <t>https://www.comptoirdespros.com/collier-monobloc-sous-sachet-40-mm-5cm40.html?UTM_source=lemrock</t>
        </is>
      </c>
      <c r="H2159" s="20" t="n">
        <v>3190</v>
      </c>
      <c r="I2159" s="20" t="n">
        <v>18</v>
      </c>
      <c r="J2159" s="21">
        <f>IF(H2159=0,0,I2159/H2159)</f>
        <v/>
      </c>
    </row>
    <row r="2160">
      <c r="A2160" s="17" t="inlineStr">
        <is>
          <t>Comptoir des Pros</t>
        </is>
      </c>
      <c r="B2160" s="17" t="inlineStr">
        <is>
          <t>Hors fichier de suivi</t>
        </is>
      </c>
      <c r="C2160" s="17" t="inlineStr">
        <is>
          <t>MABEX</t>
        </is>
      </c>
      <c r="D2160" s="17" t="inlineStr">
        <is>
          <t>Business and Industrial</t>
        </is>
      </c>
      <c r="E2160" s="18" t="inlineStr">
        <is>
          <t>Équipement pro pas cher | Comptoir des Pros</t>
        </is>
      </c>
      <c r="F2160" s="17" t="inlineStr">
        <is>
          <t>Le chauffe-eau électrique Atlantic de 15 L se loge sous l’évier en 33 cm de diamètre, un appoint économique au plus près du point d’eau.</t>
        </is>
      </c>
      <c r="G2160" s="19" t="inlineStr">
        <is>
          <t>https://www.comptoirdespros.com/chauffe-eau-electrique-blinde-petite-capacite-chauffeo-sous-evier-326216.html</t>
        </is>
      </c>
      <c r="H2160" s="20" t="n">
        <v>3142</v>
      </c>
      <c r="I2160" s="20" t="n">
        <v>16</v>
      </c>
      <c r="J2160" s="21">
        <f>IF(H2160=0,0,I2160/H2160)</f>
        <v/>
      </c>
    </row>
    <row r="2161">
      <c r="A2161" s="17" t="inlineStr">
        <is>
          <t>Comptoir des Pros</t>
        </is>
      </c>
      <c r="B2161" s="17" t="inlineStr">
        <is>
          <t>Hors fichier de suivi</t>
        </is>
      </c>
      <c r="C2161" s="17" t="inlineStr">
        <is>
          <t>MABEX</t>
        </is>
      </c>
      <c r="D2161" s="17" t="inlineStr">
        <is>
          <t>Chauffage et eau chaude</t>
        </is>
      </c>
      <c r="E2161" s="18" t="inlineStr">
        <is>
          <t>Robinets radiateur Thermance prix bas | Comptoir des Pros</t>
        </is>
      </c>
      <c r="F2161" s="17" t="inlineStr">
        <is>
          <t>Kits de robinetterie thermostatique 15x21, thermostats d’ambiance, circulateurs et ballons tampons Thermance pour le chauffage, livrés gratuitement dès 120 € HT.</t>
        </is>
      </c>
      <c r="G2161" s="19" t="inlineStr">
        <is>
          <t>https://www.comptoirdespros.com/marques/thermance.html</t>
        </is>
      </c>
      <c r="H2161" s="20" t="n">
        <v>2650</v>
      </c>
      <c r="I2161" s="20" t="n">
        <v>12</v>
      </c>
      <c r="J2161" s="21">
        <f>IF(H2161=0,0,I2161/H2161)</f>
        <v/>
      </c>
    </row>
    <row r="2162">
      <c r="A2162" s="17" t="inlineStr">
        <is>
          <t>Comptoir des Pros</t>
        </is>
      </c>
      <c r="B2162" s="17" t="inlineStr">
        <is>
          <t>Hors fichier de suivi</t>
        </is>
      </c>
      <c r="C2162" s="17" t="inlineStr">
        <is>
          <t>MABEX</t>
        </is>
      </c>
      <c r="D2162" s="17" t="inlineStr">
        <is>
          <t>Outillage à main pro</t>
        </is>
      </c>
      <c r="E2162" s="18" t="inlineStr">
        <is>
          <t>Vérin 30t à vis mécanique</t>
        </is>
      </c>
      <c r="F2162" s="17" t="inlineStr">
        <is>
          <t>Vérin 30t à vis mécanique Facom référence U.33A . Besoin d'autres outils robustes et garantis à vie ? Faites un tour du côté de nos indispensables Facom</t>
        </is>
      </c>
      <c r="G2162" s="19" t="inlineStr">
        <is>
          <t>https://www.comptoirdespros.com/verin-30t-a-vis-mecanique.html</t>
        </is>
      </c>
      <c r="H2162" s="20" t="n">
        <v>2429</v>
      </c>
      <c r="I2162" s="20" t="n">
        <v>13</v>
      </c>
      <c r="J2162" s="21">
        <f>IF(H2162=0,0,I2162/H2162)</f>
        <v/>
      </c>
    </row>
    <row r="2163">
      <c r="A2163" s="17" t="inlineStr">
        <is>
          <t>Comptoir des Pros</t>
        </is>
      </c>
      <c r="B2163" s="17" t="inlineStr">
        <is>
          <t>Hors fichier de suivi</t>
        </is>
      </c>
      <c r="C2163" s="17" t="inlineStr">
        <is>
          <t>MABEX</t>
        </is>
      </c>
      <c r="D2163" s="17" t="inlineStr">
        <is>
          <t>Raccords et plomberie pro</t>
        </is>
      </c>
      <c r="E2163" s="18" t="inlineStr">
        <is>
          <t>Raccord droit acier électrozingué à sertir SteelPres® M</t>
        </is>
      </c>
      <c r="F2163" s="17" t="inlineStr">
        <is>
          <t>Systèmes de raccords a sertir. Matière : acier E 195 - 1.0034. Joints : O-Ring EPDM noir.</t>
        </is>
      </c>
      <c r="G2163" s="19" t="inlineStr">
        <is>
          <t>https://www.comptoirdespros.com/raccord-filete-387-steelpresr-387102015.html</t>
        </is>
      </c>
      <c r="H2163" s="20" t="n">
        <v>2330</v>
      </c>
      <c r="I2163" s="20" t="n">
        <v>10</v>
      </c>
      <c r="J2163" s="21">
        <f>IF(H2163=0,0,I2163/H2163)</f>
        <v/>
      </c>
    </row>
    <row r="2164">
      <c r="A2164" s="17" t="inlineStr">
        <is>
          <t>Comptoir des Pros</t>
        </is>
      </c>
      <c r="B2164" s="17" t="inlineStr">
        <is>
          <t>Hors fichier de suivi</t>
        </is>
      </c>
      <c r="C2164" s="17" t="inlineStr">
        <is>
          <t>MABEX</t>
        </is>
      </c>
      <c r="D2164" s="17" t="inlineStr">
        <is>
          <t>Outillage à main pro</t>
        </is>
      </c>
      <c r="E2164" s="18" t="inlineStr">
        <is>
          <t>Extracteurs auto-serrants pour prise extérieure - griffes</t>
        </is>
      </c>
      <c r="F2164" s="17" t="inlineStr">
        <is>
          <t>Extracteurs auto-serrants pour prise extérieure - griffes fines 20-150 Facom référence U.302-150 . Besoin d'autres outils robustes et garantis à vie ? Faites un tour du côté de</t>
        </is>
      </c>
      <c r="G2164" s="19" t="inlineStr">
        <is>
          <t>https://www.comptoirdespros.com/extracteurs-auto-serrants-pour-prise-exterieure-griffes-fines-20-150.html</t>
        </is>
      </c>
      <c r="H2164" s="20" t="n">
        <v>2086</v>
      </c>
      <c r="I2164" s="20" t="n">
        <v>9</v>
      </c>
      <c r="J2164" s="21">
        <f>IF(H2164=0,0,I2164/H2164)</f>
        <v/>
      </c>
    </row>
    <row r="2165">
      <c r="A2165" s="17" t="inlineStr">
        <is>
          <t>Comptoir des Pros</t>
        </is>
      </c>
      <c r="B2165" s="17" t="inlineStr">
        <is>
          <t>Hors fichier de suivi</t>
        </is>
      </c>
      <c r="C2165" s="17" t="inlineStr">
        <is>
          <t>MABEX</t>
        </is>
      </c>
      <c r="D2165" s="17" t="inlineStr">
        <is>
          <t>Gants de travail</t>
        </is>
      </c>
      <c r="E2165" s="18" t="inlineStr">
        <is>
          <t>Honeywell|Gants jetables nitrile non poudré Dermatril</t>
        </is>
      </c>
      <c r="F2165" s="17" t="inlineStr">
        <is>
          <t>Gants jetables nitrile non poudré Dermatril 740-074006081C. Tout l'équipement PRO au meilleur prix chez Comptoir des Pros.</t>
        </is>
      </c>
      <c r="G2165" s="19" t="inlineStr">
        <is>
          <t>https://www.comptoirdespros.com/gants-hon-074006081c.html?UTM_source=lemrock</t>
        </is>
      </c>
      <c r="H2165" s="20" t="n">
        <v>2026</v>
      </c>
      <c r="I2165" s="20" t="n">
        <v>8</v>
      </c>
      <c r="J2165" s="21">
        <f>IF(H2165=0,0,I2165/H2165)</f>
        <v/>
      </c>
    </row>
    <row r="2166">
      <c r="A2166" s="17" t="inlineStr">
        <is>
          <t>Comptoir des Pros</t>
        </is>
      </c>
      <c r="B2166" s="17" t="inlineStr">
        <is>
          <t>Hors fichier de suivi</t>
        </is>
      </c>
      <c r="C2166" s="17" t="inlineStr">
        <is>
          <t>MABEX</t>
        </is>
      </c>
      <c r="D2166" s="17" t="inlineStr">
        <is>
          <t>Radiateurs électriques</t>
        </is>
      </c>
      <c r="E2166" s="18" t="inlineStr">
        <is>
          <t>Thermor|Radiateur Tenerife chaleur douce vertical 1500W</t>
        </is>
      </c>
      <c r="F2166" s="17" t="inlineStr">
        <is>
          <t>Radiateur Tenerife chaleur douce vertical 1500W blanc. Tout l'équipement pro au meilleur prix chez Comptoir des Pros.</t>
        </is>
      </c>
      <c r="G2166" s="19" t="inlineStr">
        <is>
          <t>https://www.comptoirdespros.com/radiateur-electrique-tenerife-vertical-blanc-1500w.html?UTM_source=lemrock</t>
        </is>
      </c>
      <c r="H2166" s="20" t="n">
        <v>2009</v>
      </c>
      <c r="I2166" s="20" t="n">
        <v>7</v>
      </c>
      <c r="J2166" s="21">
        <f>IF(H2166=0,0,I2166/H2166)</f>
        <v/>
      </c>
    </row>
    <row r="2167">
      <c r="A2167" s="17" t="inlineStr">
        <is>
          <t>Comptoir des Pros</t>
        </is>
      </c>
      <c r="B2167" s="17" t="inlineStr">
        <is>
          <t>Hors fichier de suivi</t>
        </is>
      </c>
      <c r="C2167" s="17" t="inlineStr">
        <is>
          <t>MABEX</t>
        </is>
      </c>
      <c r="D2167" s="17" t="inlineStr">
        <is>
          <t>Outillage à main, électroportatif et rangement pro</t>
        </is>
      </c>
      <c r="E2167" s="18" t="inlineStr">
        <is>
          <t>Consommables Festool prix bas | Comptoir des Pros</t>
        </is>
      </c>
      <c r="F2167" s="17" t="inlineStr">
        <is>
          <t>Abrasifs, lames, fraises, sacs filtres et accessoires Festool pour vos outils : les consommables d’origine du pro, livrés gratuitement dès 120 € HT d’achat.</t>
        </is>
      </c>
      <c r="G2167" s="19" t="inlineStr">
        <is>
          <t>https://www.comptoirdespros.com/marques/festool/accessoires-et-consommables.html</t>
        </is>
      </c>
      <c r="H2167" s="20" t="n">
        <v>1975</v>
      </c>
      <c r="I2167" s="20" t="n">
        <v>12</v>
      </c>
      <c r="J2167" s="21">
        <f>IF(H2167=0,0,I2167/H2167)</f>
        <v/>
      </c>
    </row>
    <row r="2168">
      <c r="A2168" s="17" t="inlineStr">
        <is>
          <t>Comptoir des Pros</t>
        </is>
      </c>
      <c r="B2168" s="17" t="inlineStr">
        <is>
          <t>Hors fichier de suivi</t>
        </is>
      </c>
      <c r="C2168" s="17" t="inlineStr">
        <is>
          <t>MABEX</t>
        </is>
      </c>
      <c r="D2168" s="17" t="inlineStr">
        <is>
          <t>Gants de travail</t>
        </is>
      </c>
      <c r="E2168" s="18" t="inlineStr">
        <is>
          <t>Wonder Grip|Gants antifroid Thermo lite plus</t>
        </is>
      </c>
      <c r="F2168" s="17" t="inlineStr">
        <is>
          <t>Gants antifroid Thermo lite plus WG-348R. Tout l'équipement PRO au meilleur prix chez Comptoir des Pros.</t>
        </is>
      </c>
      <c r="G2168" s="19" t="inlineStr">
        <is>
          <t>https://www.comptoirdespros.com/gants-antifroid-thermo-lite-plus-wg-348r-wgr-wg348r0912.html?UTM_source=lemrock</t>
        </is>
      </c>
      <c r="H2168" s="20" t="n">
        <v>1961</v>
      </c>
      <c r="I2168" s="20" t="n">
        <v>16</v>
      </c>
      <c r="J2168" s="21">
        <f>IF(H2168=0,0,I2168/H2168)</f>
        <v/>
      </c>
    </row>
    <row r="2169">
      <c r="A2169" s="17" t="inlineStr">
        <is>
          <t>Comptoir des Pros</t>
        </is>
      </c>
      <c r="B2169" s="17" t="inlineStr">
        <is>
          <t>Hors fichier de suivi</t>
        </is>
      </c>
      <c r="C2169" s="17" t="inlineStr">
        <is>
          <t>MABEX</t>
        </is>
      </c>
      <c r="D2169" s="17" t="inlineStr">
        <is>
          <t>Gants de travail</t>
        </is>
      </c>
      <c r="E2169" s="18" t="inlineStr">
        <is>
          <t>Ansell|Gants de manipulation fine HyFlex 11-925 taille 11</t>
        </is>
      </c>
      <c r="F2169" s="17" t="inlineStr">
        <is>
          <t>Gants de manipulation fine HyFlex 11-925 taille 11 (sachet de 12 paires). Tout l'équipement pro au meilleur prix chez Comptoir des Pros.</t>
        </is>
      </c>
      <c r="G2169" s="19" t="inlineStr">
        <is>
          <t>https://www.comptoirdespros.com/gants-hyflex-11-925-taille-11.html?UTM_source=lemrock</t>
        </is>
      </c>
      <c r="H2169" s="20" t="n">
        <v>1897</v>
      </c>
      <c r="I2169" s="20" t="n">
        <v>17</v>
      </c>
      <c r="J2169" s="21">
        <f>IF(H2169=0,0,I2169/H2169)</f>
        <v/>
      </c>
    </row>
    <row r="2170">
      <c r="A2170" s="17" t="inlineStr">
        <is>
          <t>Comptoir des Pros</t>
        </is>
      </c>
      <c r="B2170" s="17" t="inlineStr">
        <is>
          <t>Hors fichier de suivi</t>
        </is>
      </c>
      <c r="C2170" s="17" t="inlineStr">
        <is>
          <t>MABEX</t>
        </is>
      </c>
      <c r="D2170" s="17" t="inlineStr">
        <is>
          <t>Chauffage et eau chaude</t>
        </is>
      </c>
      <c r="E2170" s="18" t="inlineStr">
        <is>
          <t>Pièces détachées chaudière pas chères | Comptoir des Pros</t>
        </is>
      </c>
      <c r="F2170" s="17" t="inlineStr">
        <is>
          <t>Pièces détachées de chaudière des grandes marques pour remettre en route sans changer l’appareil, parmi plus de 20 000 références, livrées gratuitement dès 120 € HT.</t>
        </is>
      </c>
      <c r="G2170" s="19" t="inlineStr">
        <is>
          <t>https://www.comptoirdespros.com/chauffage/chaudiere/pieces-detachees-chaudiere.html</t>
        </is>
      </c>
      <c r="H2170" s="20" t="n">
        <v>1887</v>
      </c>
      <c r="I2170" s="20" t="n">
        <v>11</v>
      </c>
      <c r="J2170" s="21">
        <f>IF(H2170=0,0,I2170/H2170)</f>
        <v/>
      </c>
    </row>
    <row r="2171">
      <c r="A2171" s="17" t="inlineStr">
        <is>
          <t>Comptoir des Pros</t>
        </is>
      </c>
      <c r="B2171" s="17" t="inlineStr">
        <is>
          <t>Hors fichier de suivi</t>
        </is>
      </c>
      <c r="C2171" s="17" t="inlineStr">
        <is>
          <t>MABEX</t>
        </is>
      </c>
      <c r="D2171" s="17" t="inlineStr">
        <is>
          <t>Outillage à main, électroportatif et rangement pro</t>
        </is>
      </c>
      <c r="E2171" s="18" t="inlineStr">
        <is>
          <t>Rangement Milwaukee Packout prix bas | Comptoir des Pros</t>
        </is>
      </c>
      <c r="F2171" s="17" t="inlineStr">
        <is>
          <t>Caisses, coffrets, chariots, servantes et organiseurs Milwaukee Packout : le système modulaire qui s’empile et se verrouille, livré gratuitement dès 120 € HT.</t>
        </is>
      </c>
      <c r="G2171" s="19" t="inlineStr">
        <is>
          <t>https://www.comptoirdespros.com/marques/milwaukee/packout-rangement-milwaukee/packout-milwaukee.html</t>
        </is>
      </c>
      <c r="H2171" s="20" t="n">
        <v>1843</v>
      </c>
      <c r="I2171" s="20" t="n">
        <v>19</v>
      </c>
      <c r="J2171" s="21">
        <f>IF(H2171=0,0,I2171/H2171)</f>
        <v/>
      </c>
    </row>
    <row r="2172">
      <c r="A2172" s="17" t="inlineStr">
        <is>
          <t>Comptoir des Pros</t>
        </is>
      </c>
      <c r="B2172" s="17" t="inlineStr">
        <is>
          <t>Hors fichier de suivi</t>
        </is>
      </c>
      <c r="C2172" s="17" t="inlineStr">
        <is>
          <t>MABEX</t>
        </is>
      </c>
      <c r="D2172" s="17" t="inlineStr">
        <is>
          <t>Outillage à main, électroportatif et rangement pro</t>
        </is>
      </c>
      <c r="E2172" s="18" t="inlineStr">
        <is>
          <t>Clés, douilles et servantes prix bas | Comptoir des Pros</t>
        </is>
      </c>
      <c r="F2172" s="17" t="inlineStr">
        <is>
          <t>Outillage à main professionnel Facom et Stanley : servantes, boîtes à outils, clés, douilles, tournevis, forets et agrafeuses, livrés gratuitement dès 120 € HT.</t>
        </is>
      </c>
      <c r="G2172" s="19" t="inlineStr">
        <is>
          <t>https://www.comptoirdespros.com/outillage-main.html</t>
        </is>
      </c>
      <c r="H2172" s="20" t="n">
        <v>1743</v>
      </c>
      <c r="I2172" s="20" t="n">
        <v>8</v>
      </c>
      <c r="J2172" s="21">
        <f>IF(H2172=0,0,I2172/H2172)</f>
        <v/>
      </c>
    </row>
    <row r="2173">
      <c r="A2173" s="17" t="inlineStr">
        <is>
          <t>Comptoir des Pros</t>
        </is>
      </c>
      <c r="B2173" s="17" t="inlineStr">
        <is>
          <t>Hors fichier de suivi</t>
        </is>
      </c>
      <c r="C2173" s="17" t="inlineStr">
        <is>
          <t>MABEX</t>
        </is>
      </c>
      <c r="D2173" s="17" t="inlineStr">
        <is>
          <t>Sanitaire et salle de bain</t>
        </is>
      </c>
      <c r="E2173" s="18" t="inlineStr">
        <is>
          <t>Robinetterie Presto au meilleur prix | Comptoir des Pros</t>
        </is>
      </c>
      <c r="F2173" s="17" t="inlineStr">
        <is>
          <t>Robinets poussoirs et mitigeurs temporisés, panneaux de douche et WC temporisés Presto pour les sanitaires collectifs, livrés gratuitement dès 120 € HT d’achat.</t>
        </is>
      </c>
      <c r="G2173" s="19" t="inlineStr">
        <is>
          <t>https://www.comptoirdespros.com/marques/presto.html</t>
        </is>
      </c>
      <c r="H2173" s="20" t="n">
        <v>1293</v>
      </c>
      <c r="I2173" s="20" t="n">
        <v>9</v>
      </c>
      <c r="J2173" s="21">
        <f>IF(H2173=0,0,I2173/H2173)</f>
        <v/>
      </c>
    </row>
    <row r="2174">
      <c r="A2174" s="17" t="inlineStr">
        <is>
          <t>Comptoir des Pros</t>
        </is>
      </c>
      <c r="B2174" s="17" t="inlineStr">
        <is>
          <t>Hors fichier de suivi</t>
        </is>
      </c>
      <c r="C2174" s="17" t="inlineStr">
        <is>
          <t>MABEX</t>
        </is>
      </c>
      <c r="D2174" s="17" t="inlineStr">
        <is>
          <t>Sanitaire et salle de bain</t>
        </is>
      </c>
      <c r="E2174" s="18" t="inlineStr">
        <is>
          <t>Sèche-serviettes Thermor prix bas | Comptoir des Pros</t>
        </is>
      </c>
      <c r="F2174" s="17" t="inlineStr">
        <is>
          <t>Sèche-serviettes électriques Thermor pour chauffer la salle de bain et sécher le linge : la gamme du fabricant français au prix pro, avec les conseils de nos experts.</t>
        </is>
      </c>
      <c r="G2174" s="19" t="inlineStr">
        <is>
          <t>https://www.comptoirdespros.com/marques/thermor/seche-serviette-thermor.html</t>
        </is>
      </c>
      <c r="H2174" s="20" t="n">
        <v>1249</v>
      </c>
      <c r="I2174" s="20" t="n">
        <v>8</v>
      </c>
      <c r="J2174" s="21">
        <f>IF(H2174=0,0,I2174/H2174)</f>
        <v/>
      </c>
    </row>
  </sheetData>
  <autoFilter ref="A1:J217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2"/>
  <sheetViews>
    <sheetView showGridLines="0" workbookViewId="0">
      <pane ySplit="4" topLeftCell="A5" activePane="bottomLeft" state="frozen"/>
      <selection pane="bottomLeft" activeCell="A1" sqref="A1"/>
    </sheetView>
  </sheetViews>
  <sheetFormatPr baseColWidth="8" defaultRowHeight="15"/>
  <cols>
    <col width="5" customWidth="1" min="1" max="1"/>
    <col width="60" customWidth="1" min="2" max="2"/>
    <col width="32" customWidth="1" min="3" max="3"/>
    <col width="13" customWidth="1" min="4" max="4"/>
    <col width="10" customWidth="1" min="5" max="5"/>
    <col width="9" customWidth="1" min="6" max="6"/>
  </cols>
  <sheetData>
    <row r="1">
      <c r="A1" s="22" t="inlineStr">
        <is>
          <t>Top 10 des ads les plus diffusées par client — septembre 2026</t>
        </is>
      </c>
    </row>
    <row r="2">
      <c r="A2" s="2" t="inlineStr">
        <is>
          <t>Classées par impressions. Le détail complet (toutes les ads) est dans l'onglet « Détail par ad ».</t>
        </is>
      </c>
    </row>
    <row r="4" ht="30" customHeight="1">
      <c r="A4" s="3" t="inlineStr">
        <is>
          <t>#</t>
        </is>
      </c>
      <c r="B4" s="3" t="inlineStr">
        <is>
          <t>Titre de l'ad</t>
        </is>
      </c>
      <c r="C4" s="3" t="inlineStr">
        <is>
          <t>Campagne</t>
        </is>
      </c>
      <c r="D4" s="3" t="inlineStr">
        <is>
          <t>Impressions</t>
        </is>
      </c>
      <c r="E4" s="3" t="inlineStr">
        <is>
          <t>Clics</t>
        </is>
      </c>
      <c r="F4" s="3" t="inlineStr">
        <is>
          <t>CTR</t>
        </is>
      </c>
    </row>
    <row r="5">
      <c r="A5" s="23" t="inlineStr">
        <is>
          <t>Boulanger  ·  Live</t>
        </is>
      </c>
    </row>
    <row r="6">
      <c r="A6" s="24" t="n">
        <v>1</v>
      </c>
      <c r="B6" s="18" t="inlineStr">
        <is>
          <t>Barre de son BOSE TV Speaker</t>
        </is>
      </c>
      <c r="C6" s="17" t="inlineStr">
        <is>
          <t>Boulanger</t>
        </is>
      </c>
      <c r="D6" s="20" t="n">
        <v>52227</v>
      </c>
      <c r="E6" s="20" t="n">
        <v>147</v>
      </c>
      <c r="F6" s="21">
        <f>IF(D6=0,0,E6/D6)</f>
        <v/>
      </c>
    </row>
    <row r="7">
      <c r="A7" s="24" t="n">
        <v>2</v>
      </c>
      <c r="B7" s="18" t="inlineStr">
        <is>
          <t>Smartphone SAMSUNG Galaxy S24 Ultra Gris</t>
        </is>
      </c>
      <c r="C7" s="17" t="inlineStr">
        <is>
          <t>Boulanger</t>
        </is>
      </c>
      <c r="D7" s="20" t="n">
        <v>42500</v>
      </c>
      <c r="E7" s="20" t="n">
        <v>217</v>
      </c>
      <c r="F7" s="21">
        <f>IF(D7=0,0,E7/D7)</f>
        <v/>
      </c>
    </row>
    <row r="8">
      <c r="A8" s="24" t="n">
        <v>3</v>
      </c>
      <c r="B8" s="18" t="inlineStr">
        <is>
          <t>Console Portable ASUS Rog Xbox Ally</t>
        </is>
      </c>
      <c r="C8" s="17" t="inlineStr">
        <is>
          <t>Boulanger</t>
        </is>
      </c>
      <c r="D8" s="20" t="n">
        <v>40605</v>
      </c>
      <c r="E8" s="20" t="n">
        <v>1390</v>
      </c>
      <c r="F8" s="21">
        <f>IF(D8=0,0,E8/D8)</f>
        <v/>
      </c>
    </row>
    <row r="9">
      <c r="A9" s="24" t="n">
        <v>4</v>
      </c>
      <c r="B9" s="18" t="inlineStr">
        <is>
          <t>Console NINTENDO Switch 2</t>
        </is>
      </c>
      <c r="C9" s="17" t="inlineStr">
        <is>
          <t>Boulanger</t>
        </is>
      </c>
      <c r="D9" s="20" t="n">
        <v>39174</v>
      </c>
      <c r="E9" s="20" t="n">
        <v>346</v>
      </c>
      <c r="F9" s="21">
        <f>IF(D9=0,0,E9/D9)</f>
        <v/>
      </c>
    </row>
    <row r="10">
      <c r="A10" s="24" t="n">
        <v>5</v>
      </c>
      <c r="B10" s="18" t="inlineStr">
        <is>
          <t>Informatique, son et téléphonie prix bas | Boulanger</t>
        </is>
      </c>
      <c r="C10" s="17" t="inlineStr">
        <is>
          <t>Boulanger</t>
        </is>
      </c>
      <c r="D10" s="20" t="n">
        <v>38962</v>
      </c>
      <c r="E10" s="20" t="n">
        <v>373</v>
      </c>
      <c r="F10" s="21">
        <f>IF(D10=0,0,E10/D10)</f>
        <v/>
      </c>
    </row>
    <row r="11">
      <c r="A11" s="24" t="n">
        <v>6</v>
      </c>
      <c r="B11" s="18" t="inlineStr">
        <is>
          <t>High-tech et électroménager au meilleur prix | Boulanger</t>
        </is>
      </c>
      <c r="C11" s="17" t="inlineStr">
        <is>
          <t>Boulanger</t>
        </is>
      </c>
      <c r="D11" s="20" t="n">
        <v>29388</v>
      </c>
      <c r="E11" s="20" t="n">
        <v>186</v>
      </c>
      <c r="F11" s="21">
        <f>IF(D11=0,0,E11/D11)</f>
        <v/>
      </c>
    </row>
    <row r="12">
      <c r="A12" s="24" t="n">
        <v>7</v>
      </c>
      <c r="B12" s="18" t="inlineStr">
        <is>
          <t>Clavier+Souris LOGITECH MK330</t>
        </is>
      </c>
      <c r="C12" s="17" t="inlineStr">
        <is>
          <t>Boulanger</t>
        </is>
      </c>
      <c r="D12" s="20" t="n">
        <v>28415</v>
      </c>
      <c r="E12" s="20" t="n">
        <v>210</v>
      </c>
      <c r="F12" s="21">
        <f>IF(D12=0,0,E12/D12)</f>
        <v/>
      </c>
    </row>
    <row r="13">
      <c r="A13" s="24" t="n">
        <v>8</v>
      </c>
      <c r="B13" s="18" t="inlineStr">
        <is>
          <t>Ecran ASUS ZENSCREEN MB16AWP Portable 16</t>
        </is>
      </c>
      <c r="C13" s="17" t="inlineStr">
        <is>
          <t>Boulanger</t>
        </is>
      </c>
      <c r="D13" s="20" t="n">
        <v>28172</v>
      </c>
      <c r="E13" s="20" t="n">
        <v>157</v>
      </c>
      <c r="F13" s="21">
        <f>IF(D13=0,0,E13/D13)</f>
        <v/>
      </c>
    </row>
    <row r="14">
      <c r="A14" s="24" t="n">
        <v>9</v>
      </c>
      <c r="B14" s="18" t="inlineStr">
        <is>
          <t>GPS vélo GARMIN Edge Explore 2 - support potence</t>
        </is>
      </c>
      <c r="C14" s="17" t="inlineStr">
        <is>
          <t>Boulanger</t>
        </is>
      </c>
      <c r="D14" s="20" t="n">
        <v>26642</v>
      </c>
      <c r="E14" s="20" t="n">
        <v>125</v>
      </c>
      <c r="F14" s="21">
        <f>IF(D14=0,0,E14/D14)</f>
        <v/>
      </c>
    </row>
    <row r="15">
      <c r="A15" s="24" t="n">
        <v>10</v>
      </c>
      <c r="B15" s="18" t="inlineStr">
        <is>
          <t>GPS TOMTOM GO CLASSIC 5'' EU nouvelle génération</t>
        </is>
      </c>
      <c r="C15" s="17" t="inlineStr">
        <is>
          <t>Boulanger</t>
        </is>
      </c>
      <c r="D15" s="20" t="n">
        <v>26461</v>
      </c>
      <c r="E15" s="20" t="n">
        <v>70</v>
      </c>
      <c r="F15" s="21">
        <f>IF(D15=0,0,E15/D15)</f>
        <v/>
      </c>
    </row>
    <row r="17">
      <c r="A17" s="23" t="inlineStr">
        <is>
          <t>Cdiscount Voyages  ·  Live</t>
        </is>
      </c>
    </row>
    <row r="18">
      <c r="A18" s="24" t="n">
        <v>1</v>
      </c>
      <c r="B18" s="18" t="inlineStr">
        <is>
          <t>Cdiscount Voyages - destinations tendances à prix bas</t>
        </is>
      </c>
      <c r="C18" s="17" t="inlineStr">
        <is>
          <t>Cdiscount vol paiement 4x</t>
        </is>
      </c>
      <c r="D18" s="20" t="n">
        <v>139280</v>
      </c>
      <c r="E18" s="20" t="n">
        <v>779</v>
      </c>
      <c r="F18" s="21">
        <f>IF(D18=0,0,E18/D18)</f>
        <v/>
      </c>
    </row>
    <row r="19">
      <c r="A19" s="24" t="n">
        <v>2</v>
      </c>
      <c r="B19" s="18" t="inlineStr">
        <is>
          <t>Cdiscount Voyages - vols courts-courriers Europe</t>
        </is>
      </c>
      <c r="C19" s="17" t="inlineStr">
        <is>
          <t>Cdiscount vol paiement 4x</t>
        </is>
      </c>
      <c r="D19" s="20" t="n">
        <v>135342</v>
      </c>
      <c r="E19" s="20" t="n">
        <v>655</v>
      </c>
      <c r="F19" s="21">
        <f>IF(D19=0,0,E19/D19)</f>
        <v/>
      </c>
    </row>
    <row r="20">
      <c r="A20" s="24" t="n">
        <v>3</v>
      </c>
      <c r="B20" s="18" t="inlineStr">
        <is>
          <t>Cdiscount Voyages - vols vers le Moyen-Orient et l’Islande</t>
        </is>
      </c>
      <c r="C20" s="17" t="inlineStr">
        <is>
          <t>Cdiscount vol paiement 4x</t>
        </is>
      </c>
      <c r="D20" s="20" t="n">
        <v>134684</v>
      </c>
      <c r="E20" s="20" t="n">
        <v>684</v>
      </c>
      <c r="F20" s="21">
        <f>IF(D20=0,0,E20/D20)</f>
        <v/>
      </c>
    </row>
    <row r="21">
      <c r="A21" s="24" t="n">
        <v>4</v>
      </c>
      <c r="B21" s="18" t="inlineStr">
        <is>
          <t>Cdiscount Voyages - vols vers l’Afrique à prix bas</t>
        </is>
      </c>
      <c r="C21" s="17" t="inlineStr">
        <is>
          <t>Cdiscount vol paiement 4x</t>
        </is>
      </c>
      <c r="D21" s="20" t="n">
        <v>134272</v>
      </c>
      <c r="E21" s="20" t="n">
        <v>693</v>
      </c>
      <c r="F21" s="21">
        <f>IF(D21=0,0,E21/D21)</f>
        <v/>
      </c>
    </row>
    <row r="22">
      <c r="A22" s="24" t="n">
        <v>5</v>
      </c>
      <c r="B22" s="18" t="inlineStr">
        <is>
          <t>Cdiscount Voyages - vols vers Thaïlande, Vietnam, Bali</t>
        </is>
      </c>
      <c r="C22" s="17" t="inlineStr">
        <is>
          <t>Cdiscount vol paiement 4x</t>
        </is>
      </c>
      <c r="D22" s="20" t="n">
        <v>134173</v>
      </c>
      <c r="E22" s="20" t="n">
        <v>698</v>
      </c>
      <c r="F22" s="21">
        <f>IF(D22=0,0,E22/D22)</f>
        <v/>
      </c>
    </row>
    <row r="23">
      <c r="A23" s="24" t="n">
        <v>6</v>
      </c>
      <c r="B23" s="18" t="inlineStr">
        <is>
          <t>Cdiscount Voyages - vols vers la Martinique et la Guadeloupe</t>
        </is>
      </c>
      <c r="C23" s="17" t="inlineStr">
        <is>
          <t>Cdiscount vol paiement 4x</t>
        </is>
      </c>
      <c r="D23" s="20" t="n">
        <v>133477</v>
      </c>
      <c r="E23" s="20" t="n">
        <v>676</v>
      </c>
      <c r="F23" s="21">
        <f>IF(D23=0,0,E23/D23)</f>
        <v/>
      </c>
    </row>
    <row r="24">
      <c r="A24" s="24" t="n">
        <v>7</v>
      </c>
      <c r="B24" s="18" t="inlineStr">
        <is>
          <t>Séjours tout compris pas chers | Cdiscount Voyages</t>
        </is>
      </c>
      <c r="C24" s="17" t="inlineStr">
        <is>
          <t>cdiscount voyage séjours 4</t>
        </is>
      </c>
      <c r="D24" s="20" t="n">
        <v>26453</v>
      </c>
      <c r="E24" s="20" t="n">
        <v>138</v>
      </c>
      <c r="F24" s="21">
        <f>IF(D24=0,0,E24/D24)</f>
        <v/>
      </c>
    </row>
    <row r="25">
      <c r="A25" s="24" t="n">
        <v>8</v>
      </c>
      <c r="B25" s="18" t="inlineStr">
        <is>
          <t>Séjour pas cher - Paiement en 4x - 🌍 Cdiscount Voyages</t>
        </is>
      </c>
      <c r="C25" s="17" t="inlineStr">
        <is>
          <t>cdiscount voyage séjours 4</t>
        </is>
      </c>
      <c r="D25" s="20" t="n">
        <v>23600</v>
      </c>
      <c r="E25" s="20" t="n">
        <v>100</v>
      </c>
      <c r="F25" s="21">
        <f>IF(D25=0,0,E25/D25)</f>
        <v/>
      </c>
    </row>
    <row r="26">
      <c r="A26" s="24" t="n">
        <v>9</v>
      </c>
      <c r="B26" s="18" t="inlineStr">
        <is>
          <t>Vacances et séjours au meilleur prix | Cdiscount Voyages</t>
        </is>
      </c>
      <c r="C26" s="17" t="inlineStr">
        <is>
          <t>cdiscount voyage séjours 4</t>
        </is>
      </c>
      <c r="D26" s="20" t="n">
        <v>21529</v>
      </c>
      <c r="E26" s="20" t="n">
        <v>123</v>
      </c>
      <c r="F26" s="21">
        <f>IF(D26=0,0,E26/D26)</f>
        <v/>
      </c>
    </row>
    <row r="27">
      <c r="A27" s="24" t="n">
        <v>10</v>
      </c>
      <c r="B27" s="18" t="inlineStr">
        <is>
          <t>Hôtel Amber El Fell 4*</t>
        </is>
      </c>
      <c r="C27" s="17" t="inlineStr">
        <is>
          <t>cdiscount voyage séjours 4</t>
        </is>
      </c>
      <c r="D27" s="20" t="n">
        <v>20798</v>
      </c>
      <c r="E27" s="20" t="n">
        <v>100</v>
      </c>
      <c r="F27" s="21">
        <f>IF(D27=0,0,E27/D27)</f>
        <v/>
      </c>
    </row>
    <row r="29">
      <c r="A29" s="23" t="inlineStr">
        <is>
          <t>Monoprix  ·  Live</t>
        </is>
      </c>
    </row>
    <row r="30">
      <c r="A30" s="24" t="n">
        <v>1</v>
      </c>
      <c r="B30" s="18" t="inlineStr">
        <is>
          <t>Boxers, slips et lingerie prix bas | Monoprix</t>
        </is>
      </c>
      <c r="C30" s="17" t="inlineStr">
        <is>
          <t>Monoprix Mode 2</t>
        </is>
      </c>
      <c r="D30" s="20" t="n">
        <v>65997</v>
      </c>
      <c r="E30" s="20" t="n">
        <v>271</v>
      </c>
      <c r="F30" s="21">
        <f>IF(D30=0,0,E30/D30)</f>
        <v/>
      </c>
    </row>
    <row r="31">
      <c r="A31" s="24" t="n">
        <v>2</v>
      </c>
      <c r="B31" s="18" t="inlineStr">
        <is>
          <t>Bonduelle mâche &amp; roquette sachet de 100g</t>
        </is>
      </c>
      <c r="C31" s="17" t="inlineStr">
        <is>
          <t>Monoprix Courses</t>
        </is>
      </c>
      <c r="D31" s="20" t="n">
        <v>49182</v>
      </c>
      <c r="E31" s="20" t="n">
        <v>101</v>
      </c>
      <c r="F31" s="21">
        <f>IF(D31=0,0,E31/D31)</f>
        <v/>
      </c>
    </row>
    <row r="32">
      <c r="A32" s="24" t="n">
        <v>3</v>
      </c>
      <c r="B32" s="18" t="inlineStr">
        <is>
          <t>Monoprix - Parapharmacie et premiers soins</t>
        </is>
      </c>
      <c r="C32" s="17" t="inlineStr">
        <is>
          <t>Monoprix Courses</t>
        </is>
      </c>
      <c r="D32" s="20" t="n">
        <v>36915</v>
      </c>
      <c r="E32" s="20" t="n">
        <v>125</v>
      </c>
      <c r="F32" s="21">
        <f>IF(D32=0,0,E32/D32)</f>
        <v/>
      </c>
    </row>
    <row r="33">
      <c r="A33" s="24" t="n">
        <v>4</v>
      </c>
      <c r="B33" s="18" t="inlineStr">
        <is>
          <t>Fruits frais pas chers | Monoprix</t>
        </is>
      </c>
      <c r="C33" s="17" t="inlineStr">
        <is>
          <t>Monoprix Courses</t>
        </is>
      </c>
      <c r="D33" s="20" t="n">
        <v>34081</v>
      </c>
      <c r="E33" s="20" t="n">
        <v>90</v>
      </c>
      <c r="F33" s="21">
        <f>IF(D33=0,0,E33/D33)</f>
        <v/>
      </c>
    </row>
    <row r="34">
      <c r="A34" s="24" t="n">
        <v>5</v>
      </c>
      <c r="B34" s="18" t="inlineStr">
        <is>
          <t>Parapharmacie et premiers soins prix bas | Monoprix</t>
        </is>
      </c>
      <c r="C34" s="17" t="inlineStr">
        <is>
          <t>Monoprix Courses</t>
        </is>
      </c>
      <c r="D34" s="20" t="n">
        <v>32509</v>
      </c>
      <c r="E34" s="20" t="n">
        <v>101</v>
      </c>
      <c r="F34" s="21">
        <f>IF(D34=0,0,E34/D34)</f>
        <v/>
      </c>
    </row>
    <row r="35">
      <c r="A35" s="24" t="n">
        <v>6</v>
      </c>
      <c r="B35" s="18" t="inlineStr">
        <is>
          <t>côte de veau sans os 2x</t>
        </is>
      </c>
      <c r="C35" s="17" t="inlineStr">
        <is>
          <t>Monoprix Courses</t>
        </is>
      </c>
      <c r="D35" s="20" t="n">
        <v>32183</v>
      </c>
      <c r="E35" s="20" t="n">
        <v>92</v>
      </c>
      <c r="F35" s="21">
        <f>IF(D35=0,0,E35/D35)</f>
        <v/>
      </c>
    </row>
    <row r="36">
      <c r="A36" s="24" t="n">
        <v>7</v>
      </c>
      <c r="B36" s="18" t="inlineStr">
        <is>
          <t>Yarden choucroute nature 900g</t>
        </is>
      </c>
      <c r="C36" s="17" t="inlineStr">
        <is>
          <t>Monoprix Courses</t>
        </is>
      </c>
      <c r="D36" s="20" t="n">
        <v>27519</v>
      </c>
      <c r="E36" s="20" t="n">
        <v>80</v>
      </c>
      <c r="F36" s="21">
        <f>IF(D36=0,0,E36/D36)</f>
        <v/>
      </c>
    </row>
    <row r="37">
      <c r="A37" s="24" t="n">
        <v>8</v>
      </c>
      <c r="B37" s="18" t="inlineStr">
        <is>
          <t>Épicerie et produits frais au meilleur prix | Monoprix</t>
        </is>
      </c>
      <c r="C37" s="17" t="inlineStr">
        <is>
          <t>Monoprix Courses</t>
        </is>
      </c>
      <c r="D37" s="20" t="n">
        <v>26654</v>
      </c>
      <c r="E37" s="20" t="n">
        <v>90</v>
      </c>
      <c r="F37" s="21">
        <f>IF(D37=0,0,E37/D37)</f>
        <v/>
      </c>
    </row>
    <row r="38">
      <c r="A38" s="24" t="n">
        <v>9</v>
      </c>
      <c r="B38" s="18" t="inlineStr">
        <is>
          <t>Le gaulois saucisses de volaille x6 300g</t>
        </is>
      </c>
      <c r="C38" s="17" t="inlineStr">
        <is>
          <t>Monoprix Courses</t>
        </is>
      </c>
      <c r="D38" s="20" t="n">
        <v>25848</v>
      </c>
      <c r="E38" s="20" t="n">
        <v>72</v>
      </c>
      <c r="F38" s="21">
        <f>IF(D38=0,0,E38/D38)</f>
        <v/>
      </c>
    </row>
    <row r="39">
      <c r="A39" s="24" t="n">
        <v>10</v>
      </c>
      <c r="B39" s="18" t="inlineStr">
        <is>
          <t>côte de porc x2 260g</t>
        </is>
      </c>
      <c r="C39" s="17" t="inlineStr">
        <is>
          <t>Monoprix Courses</t>
        </is>
      </c>
      <c r="D39" s="20" t="n">
        <v>24095</v>
      </c>
      <c r="E39" s="20" t="n">
        <v>71</v>
      </c>
      <c r="F39" s="21">
        <f>IF(D39=0,0,E39/D39)</f>
        <v/>
      </c>
    </row>
    <row r="41">
      <c r="A41" s="23" t="inlineStr">
        <is>
          <t>Cdiscount Mobile  ·  Live</t>
        </is>
      </c>
    </row>
    <row r="42">
      <c r="A42" s="24" t="n">
        <v>1</v>
      </c>
      <c r="B42" s="18" t="inlineStr">
        <is>
          <t>Forfait 40 Go - Sans Engagement - Cdiscount Mobile</t>
        </is>
      </c>
      <c r="C42" s="17" t="inlineStr">
        <is>
          <t>Cdiscount - Mobile 3</t>
        </is>
      </c>
      <c r="D42" s="20" t="n">
        <v>604607</v>
      </c>
      <c r="E42" s="20" t="n">
        <v>3190</v>
      </c>
      <c r="F42" s="21">
        <f>IF(D42=0,0,E42/D42)</f>
        <v/>
      </c>
    </row>
    <row r="43">
      <c r="A43" s="24" t="n">
        <v>2</v>
      </c>
      <c r="B43" s="18" t="inlineStr">
        <is>
          <t>Forfait 150 Go - Sans Engagement - Cdiscount Mobile</t>
        </is>
      </c>
      <c r="C43" s="17" t="inlineStr">
        <is>
          <t>Cdiscount - Mobile 3</t>
        </is>
      </c>
      <c r="D43" s="20" t="n">
        <v>594115</v>
      </c>
      <c r="E43" s="20" t="n">
        <v>3055</v>
      </c>
      <c r="F43" s="21">
        <f>IF(D43=0,0,E43/D43)</f>
        <v/>
      </c>
    </row>
    <row r="44">
      <c r="A44" s="24" t="n">
        <v>3</v>
      </c>
      <c r="B44" s="18" t="inlineStr">
        <is>
          <t>Forfait 40 Go - Sans Engagement - Cdiscount Mobile</t>
        </is>
      </c>
      <c r="C44" s="17" t="inlineStr">
        <is>
          <t>Cdiscount - Mobile 3</t>
        </is>
      </c>
      <c r="D44" s="20" t="n">
        <v>562222</v>
      </c>
      <c r="E44" s="20" t="n">
        <v>2893</v>
      </c>
      <c r="F44" s="21">
        <f>IF(D44=0,0,E44/D44)</f>
        <v/>
      </c>
    </row>
    <row r="46">
      <c r="A46" s="23" t="inlineStr">
        <is>
          <t>Qonto  ·  Live</t>
        </is>
      </c>
    </row>
    <row r="47">
      <c r="A47" s="24" t="n">
        <v>1</v>
      </c>
      <c r="B47" s="18" t="inlineStr">
        <is>
          <t>Compte professionnel en ligne</t>
        </is>
      </c>
      <c r="C47" s="17" t="inlineStr">
        <is>
          <t>Qonto Direct</t>
        </is>
      </c>
      <c r="D47" s="20" t="n">
        <v>446478</v>
      </c>
      <c r="E47" s="20" t="n">
        <v>1668</v>
      </c>
      <c r="F47" s="21">
        <f>IF(D47=0,0,E47/D47)</f>
        <v/>
      </c>
    </row>
    <row r="48">
      <c r="A48" s="24" t="n">
        <v>2</v>
      </c>
      <c r="B48" s="18" t="inlineStr">
        <is>
          <t>Création d’entreprise en ligne</t>
        </is>
      </c>
      <c r="C48" s="17" t="inlineStr">
        <is>
          <t>Qonto Direct</t>
        </is>
      </c>
      <c r="D48" s="20" t="n">
        <v>327965</v>
      </c>
      <c r="E48" s="20" t="n">
        <v>1517</v>
      </c>
      <c r="F48" s="21">
        <f>IF(D48=0,0,E48/D48)</f>
        <v/>
      </c>
    </row>
    <row r="49">
      <c r="A49" s="24" t="n">
        <v>3</v>
      </c>
      <c r="B49" s="18" t="inlineStr">
        <is>
          <t>Logiciel de facturation gratuit</t>
        </is>
      </c>
      <c r="C49" s="17" t="inlineStr">
        <is>
          <t>Qonto Direct</t>
        </is>
      </c>
      <c r="D49" s="20" t="n">
        <v>319593</v>
      </c>
      <c r="E49" s="20" t="n">
        <v>1571</v>
      </c>
      <c r="F49" s="21">
        <f>IF(D49=0,0,E49/D49)</f>
        <v/>
      </c>
    </row>
    <row r="51">
      <c r="A51" s="23" t="inlineStr">
        <is>
          <t>Basket4ballers  ·  Live</t>
        </is>
      </c>
    </row>
    <row r="52">
      <c r="A52" s="24" t="n">
        <v>1</v>
      </c>
      <c r="B52" s="18" t="inlineStr">
        <is>
          <t>Survêtements de basket pas chers | Basket4Ballers</t>
        </is>
      </c>
      <c r="C52" s="17" t="inlineStr">
        <is>
          <t>Basket4ballers</t>
        </is>
      </c>
      <c r="D52" s="20" t="n">
        <v>22381</v>
      </c>
      <c r="E52" s="20" t="n">
        <v>42</v>
      </c>
      <c r="F52" s="21">
        <f>IF(D52=0,0,E52/D52)</f>
        <v/>
      </c>
    </row>
    <row r="53">
      <c r="A53" s="24" t="n">
        <v>2</v>
      </c>
      <c r="B53" s="18" t="inlineStr">
        <is>
          <t>Vêtements de basket B4B Brand pas chers | Basket4Ballers</t>
        </is>
      </c>
      <c r="C53" s="17" t="inlineStr">
        <is>
          <t>Basket4ballers</t>
        </is>
      </c>
      <c r="D53" s="20" t="n">
        <v>17170</v>
      </c>
      <c r="E53" s="20" t="n">
        <v>53</v>
      </c>
      <c r="F53" s="21">
        <f>IF(D53=0,0,E53/D53)</f>
        <v/>
      </c>
    </row>
    <row r="54">
      <c r="A54" s="24" t="n">
        <v>3</v>
      </c>
      <c r="B54" s="18" t="inlineStr">
        <is>
          <t>Maillots Équipe de France basket prix bas | Basket4Ballers</t>
        </is>
      </c>
      <c r="C54" s="17" t="inlineStr">
        <is>
          <t>Basket4ballers</t>
        </is>
      </c>
      <c r="D54" s="20" t="n">
        <v>13520</v>
      </c>
      <c r="E54" s="20" t="n">
        <v>33</v>
      </c>
      <c r="F54" s="21">
        <f>IF(D54=0,0,E54/D54)</f>
        <v/>
      </c>
    </row>
    <row r="55">
      <c r="A55" s="24" t="n">
        <v>4</v>
      </c>
      <c r="B55" s="18" t="inlineStr">
        <is>
          <t>adidas Yung-1 Legend Ivy - Basket4Ballers</t>
        </is>
      </c>
      <c r="C55" s="17" t="inlineStr">
        <is>
          <t>Basket4ballers</t>
        </is>
      </c>
      <c r="D55" s="20" t="n">
        <v>9859</v>
      </c>
      <c r="E55" s="20" t="n">
        <v>47</v>
      </c>
      <c r="F55" s="21">
        <f>IF(D55=0,0,E55/D55)</f>
        <v/>
      </c>
    </row>
    <row r="56">
      <c r="A56" s="24" t="n">
        <v>5</v>
      </c>
      <c r="B56" s="18" t="inlineStr">
        <is>
          <t>Casquettes NBA New Era et bonnets prix bas | Basket4Ballers</t>
        </is>
      </c>
      <c r="C56" s="17" t="inlineStr">
        <is>
          <t>Basket4ballers</t>
        </is>
      </c>
      <c r="D56" s="20" t="n">
        <v>9233</v>
      </c>
      <c r="E56" s="20" t="n">
        <v>17</v>
      </c>
      <c r="F56" s="21">
        <f>IF(D56=0,0,E56/D56)</f>
        <v/>
      </c>
    </row>
    <row r="57">
      <c r="A57" s="24" t="n">
        <v>6</v>
      </c>
      <c r="B57" s="18" t="inlineStr">
        <is>
          <t>Puma Platform Elements</t>
        </is>
      </c>
      <c r="C57" s="17" t="inlineStr">
        <is>
          <t>Basket4ballers</t>
        </is>
      </c>
      <c r="D57" s="20" t="n">
        <v>8837</v>
      </c>
      <c r="E57" s="20" t="n">
        <v>42</v>
      </c>
      <c r="F57" s="21">
        <f>IF(D57=0,0,E57/D57)</f>
        <v/>
      </c>
    </row>
    <row r="58">
      <c r="A58" s="24" t="n">
        <v>7</v>
      </c>
      <c r="B58" s="18" t="inlineStr">
        <is>
          <t>Ballon basket enfant Nike Skills - Basket4Ballers</t>
        </is>
      </c>
      <c r="C58" s="17" t="inlineStr">
        <is>
          <t>Basket4ballers</t>
        </is>
      </c>
      <c r="D58" s="20" t="n">
        <v>8749</v>
      </c>
      <c r="E58" s="20" t="n">
        <v>54</v>
      </c>
      <c r="F58" s="21">
        <f>IF(D58=0,0,E58/D58)</f>
        <v/>
      </c>
    </row>
    <row r="59">
      <c r="A59" s="24" t="n">
        <v>8</v>
      </c>
      <c r="B59" s="18" t="inlineStr">
        <is>
          <t>Maillots Paris Basketball au meilleur prix | Basket4Ballers</t>
        </is>
      </c>
      <c r="C59" s="17" t="inlineStr">
        <is>
          <t>Basket4ballers</t>
        </is>
      </c>
      <c r="D59" s="20" t="n">
        <v>8276</v>
      </c>
      <c r="E59" s="20" t="n">
        <v>16</v>
      </c>
      <c r="F59" s="21">
        <f>IF(D59=0,0,E59/D59)</f>
        <v/>
      </c>
    </row>
    <row r="60">
      <c r="A60" s="24" t="n">
        <v>9</v>
      </c>
      <c r="B60" s="18" t="inlineStr">
        <is>
          <t>Survêtement Jordan Enfant Diamond Fleece black</t>
        </is>
      </c>
      <c r="C60" s="17" t="inlineStr">
        <is>
          <t>Basket4ballers</t>
        </is>
      </c>
      <c r="D60" s="20" t="n">
        <v>6296</v>
      </c>
      <c r="E60" s="20" t="n">
        <v>16</v>
      </c>
      <c r="F60" s="21">
        <f>IF(D60=0,0,E60/D60)</f>
        <v/>
      </c>
    </row>
    <row r="61">
      <c r="A61" s="24" t="n">
        <v>10</v>
      </c>
      <c r="B61" s="18" t="inlineStr">
        <is>
          <t>Genouillères Mc David Hexforce Hexpad Extended Leg Black</t>
        </is>
      </c>
      <c r="C61" s="17" t="inlineStr">
        <is>
          <t>Basket4ballers</t>
        </is>
      </c>
      <c r="D61" s="20" t="n">
        <v>6282</v>
      </c>
      <c r="E61" s="20" t="n">
        <v>32</v>
      </c>
      <c r="F61" s="21">
        <f>IF(D61=0,0,E61/D61)</f>
        <v/>
      </c>
    </row>
    <row r="63">
      <c r="A63" s="23" t="inlineStr">
        <is>
          <t>FidMe  ·  Live</t>
        </is>
      </c>
    </row>
    <row r="64">
      <c r="A64" s="24" t="n">
        <v>1</v>
      </c>
      <c r="B64" s="18" t="inlineStr">
        <is>
          <t>Lingettes bébé WaterWipes</t>
        </is>
      </c>
      <c r="C64" s="17" t="inlineStr">
        <is>
          <t>Fidme WaterWipes 2</t>
        </is>
      </c>
      <c r="D64" s="20" t="n">
        <v>112484</v>
      </c>
      <c r="E64" s="20" t="n">
        <v>499</v>
      </c>
      <c r="F64" s="21">
        <f>IF(D64=0,0,E64/D64)</f>
        <v/>
      </c>
    </row>
    <row r="65">
      <c r="A65" s="24" t="n">
        <v>2</v>
      </c>
      <c r="B65" s="18" t="inlineStr">
        <is>
          <t>Café en grains L'OR | Fidme Courses</t>
        </is>
      </c>
      <c r="C65" s="17" t="inlineStr">
        <is>
          <t>Fidme Campagne 2</t>
        </is>
      </c>
      <c r="D65" s="20" t="n">
        <v>23607</v>
      </c>
      <c r="E65" s="20" t="n">
        <v>75</v>
      </c>
      <c r="F65" s="21">
        <f>IF(D65=0,0,E65/D65)</f>
        <v/>
      </c>
    </row>
    <row r="66">
      <c r="A66" s="24" t="n">
        <v>3</v>
      </c>
      <c r="B66" s="18" t="inlineStr">
        <is>
          <t>Pains, brioches et gâteaux prix bas | Fidme</t>
        </is>
      </c>
      <c r="C66" s="17" t="inlineStr">
        <is>
          <t>Fidme Campagne 2</t>
        </is>
      </c>
      <c r="D66" s="20" t="n">
        <v>17772</v>
      </c>
      <c r="E66" s="20" t="n">
        <v>92</v>
      </c>
      <c r="F66" s="21">
        <f>IF(D66=0,0,E66/D66)</f>
        <v/>
      </c>
    </row>
    <row r="67">
      <c r="A67" s="24" t="n">
        <v>4</v>
      </c>
      <c r="B67" s="18" t="inlineStr">
        <is>
          <t>SAUCE CRUDITÉS | Fidme Courses</t>
        </is>
      </c>
      <c r="C67" s="17" t="inlineStr">
        <is>
          <t>Fidme Campagne 2</t>
        </is>
      </c>
      <c r="D67" s="20" t="n">
        <v>16386</v>
      </c>
      <c r="E67" s="20" t="n">
        <v>55</v>
      </c>
      <c r="F67" s="21">
        <f>IF(D67=0,0,E67/D67)</f>
        <v/>
      </c>
    </row>
    <row r="68">
      <c r="A68" s="24" t="n">
        <v>5</v>
      </c>
      <c r="B68" s="18" t="inlineStr">
        <is>
          <t>Pochons pour chat Whiskas pas chers | Fidme</t>
        </is>
      </c>
      <c r="C68" s="17" t="inlineStr">
        <is>
          <t>Fidme Campagne 2</t>
        </is>
      </c>
      <c r="D68" s="20" t="n">
        <v>14340</v>
      </c>
      <c r="E68" s="20" t="n">
        <v>46</v>
      </c>
      <c r="F68" s="21">
        <f>IF(D68=0,0,E68/D68)</f>
        <v/>
      </c>
    </row>
    <row r="69">
      <c r="A69" s="24" t="n">
        <v>6</v>
      </c>
      <c r="B69" s="18" t="inlineStr">
        <is>
          <t>Découvrez Kiri au Skyr ! | Fidme Courses</t>
        </is>
      </c>
      <c r="C69" s="17" t="inlineStr">
        <is>
          <t>Fidme Campagne 2</t>
        </is>
      </c>
      <c r="D69" s="20" t="n">
        <v>13998</v>
      </c>
      <c r="E69" s="20" t="n">
        <v>46</v>
      </c>
      <c r="F69" s="21">
        <f>IF(D69=0,0,E69/D69)</f>
        <v/>
      </c>
    </row>
    <row r="70">
      <c r="A70" s="24" t="n">
        <v>7</v>
      </c>
      <c r="B70" s="18" t="inlineStr">
        <is>
          <t>Côte d'Or X Biscoff | Fidme Courses</t>
        </is>
      </c>
      <c r="C70" s="17" t="inlineStr">
        <is>
          <t>Fidme Campagne 2</t>
        </is>
      </c>
      <c r="D70" s="20" t="n">
        <v>13967</v>
      </c>
      <c r="E70" s="20" t="n">
        <v>81</v>
      </c>
      <c r="F70" s="21">
        <f>IF(D70=0,0,E70/D70)</f>
        <v/>
      </c>
    </row>
    <row r="71">
      <c r="A71" s="24" t="n">
        <v>8</v>
      </c>
      <c r="B71" s="18" t="inlineStr">
        <is>
          <t>Danone à la grecque Duo | Fidme Courses</t>
        </is>
      </c>
      <c r="C71" s="17" t="inlineStr">
        <is>
          <t>Fidme Campagne 2</t>
        </is>
      </c>
      <c r="D71" s="20" t="n">
        <v>12402</v>
      </c>
      <c r="E71" s="20" t="n">
        <v>52</v>
      </c>
      <c r="F71" s="21">
        <f>IF(D71=0,0,E71/D71)</f>
        <v/>
      </c>
    </row>
    <row r="72">
      <c r="A72" s="24" t="n">
        <v>9</v>
      </c>
      <c r="B72" s="18" t="inlineStr">
        <is>
          <t>Vins rouges, blancs et rosés au meilleur prix | Fidme</t>
        </is>
      </c>
      <c r="C72" s="17" t="inlineStr">
        <is>
          <t>Fidme Campagne 2</t>
        </is>
      </c>
      <c r="D72" s="20" t="n">
        <v>9909</v>
      </c>
      <c r="E72" s="20" t="n">
        <v>56</v>
      </c>
      <c r="F72" s="21">
        <f>IF(D72=0,0,E72/D72)</f>
        <v/>
      </c>
    </row>
    <row r="73">
      <c r="A73" s="24" t="n">
        <v>10</v>
      </c>
      <c r="B73" s="18" t="inlineStr">
        <is>
          <t>0,50 € pour l'achat d'un produit de la gamme Blédichef.</t>
        </is>
      </c>
      <c r="C73" s="17" t="inlineStr">
        <is>
          <t>Fidme Campagne 2</t>
        </is>
      </c>
      <c r="D73" s="20" t="n">
        <v>9293</v>
      </c>
      <c r="E73" s="20" t="n">
        <v>26</v>
      </c>
      <c r="F73" s="21">
        <f>IF(D73=0,0,E73/D73)</f>
        <v/>
      </c>
    </row>
    <row r="75">
      <c r="A75" s="23" t="inlineStr">
        <is>
          <t>Pour de Bon  ·  Live</t>
        </is>
      </c>
    </row>
    <row r="76">
      <c r="A76" s="24" t="n">
        <v>1</v>
      </c>
      <c r="B76" s="18" t="inlineStr">
        <is>
          <t>[Précommande] Colis Raviolis Bœuf-carotte 4x250g</t>
        </is>
      </c>
      <c r="C76" s="17" t="inlineStr">
        <is>
          <t>Pour De Bon</t>
        </is>
      </c>
      <c r="D76" s="20" t="n">
        <v>32369</v>
      </c>
      <c r="E76" s="20" t="n">
        <v>61</v>
      </c>
      <c r="F76" s="21">
        <f>IF(D76=0,0,E76/D76)</f>
        <v/>
      </c>
    </row>
    <row r="77">
      <c r="A77" s="24" t="n">
        <v>2</v>
      </c>
      <c r="B77" s="18" t="inlineStr">
        <is>
          <t>Huitres Gratinées Au Champagne Et À L’orange - 4 Pièces</t>
        </is>
      </c>
      <c r="C77" s="17" t="inlineStr">
        <is>
          <t>Pour De Bon</t>
        </is>
      </c>
      <c r="D77" s="20" t="n">
        <v>18787</v>
      </c>
      <c r="E77" s="20" t="n">
        <v>39</v>
      </c>
      <c r="F77" s="21">
        <f>IF(D77=0,0,E77/D77)</f>
        <v/>
      </c>
    </row>
    <row r="78">
      <c r="A78" s="24" t="n">
        <v>3</v>
      </c>
      <c r="B78" s="18" t="inlineStr">
        <is>
          <t>Pain D'épices Au Miel - En direct de La Maison des Abeilles</t>
        </is>
      </c>
      <c r="C78" s="17" t="inlineStr">
        <is>
          <t>Pour De Bon</t>
        </is>
      </c>
      <c r="D78" s="20" t="n">
        <v>14814</v>
      </c>
      <c r="E78" s="20" t="n">
        <v>72</v>
      </c>
      <c r="F78" s="21">
        <f>IF(D78=0,0,E78/D78)</f>
        <v/>
      </c>
    </row>
    <row r="79">
      <c r="A79" s="24" t="n">
        <v>4</v>
      </c>
      <c r="B79" s="18" t="inlineStr">
        <is>
          <t>Fromage blanc frais lissé 7% - 50cl - En direct de</t>
        </is>
      </c>
      <c r="C79" s="17" t="inlineStr">
        <is>
          <t>Pour De Bon</t>
        </is>
      </c>
      <c r="D79" s="20" t="n">
        <v>14181</v>
      </c>
      <c r="E79" s="20" t="n">
        <v>47</v>
      </c>
      <c r="F79" s="21">
        <f>IF(D79=0,0,E79/D79)</f>
        <v/>
      </c>
    </row>
    <row r="80">
      <c r="A80" s="24" t="n">
        <v>5</v>
      </c>
      <c r="B80" s="18" t="inlineStr">
        <is>
          <t>Farz Gwiniszh Du Ou Pain Breton Au Sarrasin - En direct de</t>
        </is>
      </c>
      <c r="C80" s="17" t="inlineStr">
        <is>
          <t>Pour De Bon</t>
        </is>
      </c>
      <c r="D80" s="20" t="n">
        <v>13158</v>
      </c>
      <c r="E80" s="20" t="n">
        <v>73</v>
      </c>
      <c r="F80" s="21">
        <f>IF(D80=0,0,E80/D80)</f>
        <v/>
      </c>
    </row>
    <row r="81">
      <c r="A81" s="24" t="n">
        <v>6</v>
      </c>
      <c r="B81" s="18" t="inlineStr">
        <is>
          <t>Rôti de veau bio dans l'épaule** (race limousine) - 500g</t>
        </is>
      </c>
      <c r="C81" s="17" t="inlineStr">
        <is>
          <t>Pour De Bon</t>
        </is>
      </c>
      <c r="D81" s="20" t="n">
        <v>12167</v>
      </c>
      <c r="E81" s="20" t="n">
        <v>54</v>
      </c>
      <c r="F81" s="21">
        <f>IF(D81=0,0,E81/D81)</f>
        <v/>
      </c>
    </row>
    <row r="82">
      <c r="A82" s="24" t="n">
        <v>7</v>
      </c>
      <c r="B82" s="18" t="inlineStr">
        <is>
          <t>Saveurs Divines (fraise Mara Des Bois, Champagne)</t>
        </is>
      </c>
      <c r="C82" s="17" t="inlineStr">
        <is>
          <t>Pour De Bon</t>
        </is>
      </c>
      <c r="D82" s="20" t="n">
        <v>11828</v>
      </c>
      <c r="E82" s="20" t="n">
        <v>28</v>
      </c>
      <c r="F82" s="21">
        <f>IF(D82=0,0,E82/D82)</f>
        <v/>
      </c>
    </row>
    <row r="83">
      <c r="A83" s="24" t="n">
        <v>8</v>
      </c>
      <c r="B83" s="18" t="inlineStr">
        <is>
          <t>Confit de 2 Magrets de Canard</t>
        </is>
      </c>
      <c r="C83" s="17" t="inlineStr">
        <is>
          <t>Pour De Bon</t>
        </is>
      </c>
      <c r="D83" s="20" t="n">
        <v>10958</v>
      </c>
      <c r="E83" s="20" t="n">
        <v>35</v>
      </c>
      <c r="F83" s="21">
        <f>IF(D83=0,0,E83/D83)</f>
        <v/>
      </c>
    </row>
    <row r="84">
      <c r="A84" s="24" t="n">
        <v>9</v>
      </c>
      <c r="B84" s="18" t="inlineStr">
        <is>
          <t>Champagne Deneufchatel Brut Tradition 1 X 75 Cl</t>
        </is>
      </c>
      <c r="C84" s="17" t="inlineStr">
        <is>
          <t>Pour De Bon</t>
        </is>
      </c>
      <c r="D84" s="20" t="n">
        <v>10099</v>
      </c>
      <c r="E84" s="20" t="n">
        <v>49</v>
      </c>
      <c r="F84" s="21">
        <f>IF(D84=0,0,E84/D84)</f>
        <v/>
      </c>
    </row>
    <row r="85">
      <c r="A85" s="24" t="n">
        <v>10</v>
      </c>
      <c r="B85" s="18" t="inlineStr">
        <is>
          <t>Terrine de jambonneau tranchée</t>
        </is>
      </c>
      <c r="C85" s="17" t="inlineStr">
        <is>
          <t>Pour De Bon</t>
        </is>
      </c>
      <c r="D85" s="20" t="n">
        <v>9804</v>
      </c>
      <c r="E85" s="20" t="n">
        <v>51</v>
      </c>
      <c r="F85" s="21">
        <f>IF(D85=0,0,E85/D85)</f>
        <v/>
      </c>
    </row>
    <row r="87">
      <c r="A87" s="23" t="inlineStr">
        <is>
          <t>PV  ·  Live</t>
        </is>
      </c>
    </row>
    <row r="88">
      <c r="A88" s="24" t="n">
        <v>1</v>
      </c>
      <c r="B88" s="18" t="inlineStr">
        <is>
          <t>Location de vacances France et Europe | Pierre et Vacances</t>
        </is>
      </c>
      <c r="C88" s="17" t="inlineStr">
        <is>
          <t>Pierre &amp; Vacances</t>
        </is>
      </c>
      <c r="D88" s="20" t="n">
        <v>321474</v>
      </c>
      <c r="E88" s="20" t="n">
        <v>1622</v>
      </c>
      <c r="F88" s="21">
        <f>IF(D88=0,0,E88/D88)</f>
        <v/>
      </c>
    </row>
    <row r="89">
      <c r="A89" s="24" t="n">
        <v>2</v>
      </c>
      <c r="B89" s="18" t="inlineStr">
        <is>
          <t>Vacances à la montagne en Hiver | Pierre &amp; Vacances</t>
        </is>
      </c>
      <c r="C89" s="17" t="inlineStr">
        <is>
          <t>Pierre &amp; Vacances</t>
        </is>
      </c>
      <c r="D89" s="20" t="n">
        <v>317479</v>
      </c>
      <c r="E89" s="20" t="n">
        <v>1522</v>
      </c>
      <c r="F89" s="21">
        <f>IF(D89=0,0,E89/D89)</f>
        <v/>
      </c>
    </row>
    <row r="91">
      <c r="A91" s="23" t="inlineStr">
        <is>
          <t>Allo Pneus  ·  Live</t>
        </is>
      </c>
    </row>
    <row r="92">
      <c r="A92" s="24" t="n">
        <v>1</v>
      </c>
      <c r="B92" s="18" t="inlineStr">
        <is>
          <t>Pneus moto et scooter pas chers | Allo Pneus</t>
        </is>
      </c>
      <c r="C92" s="17" t="inlineStr">
        <is>
          <t>Allo Pneus</t>
        </is>
      </c>
      <c r="D92" s="20" t="n">
        <v>31123</v>
      </c>
      <c r="E92" s="20" t="n">
        <v>163</v>
      </c>
      <c r="F92" s="21">
        <f>IF(D92=0,0,E92/D92)</f>
        <v/>
      </c>
    </row>
    <row r="93">
      <c r="A93" s="24" t="n">
        <v>2</v>
      </c>
      <c r="B93" s="18" t="inlineStr">
        <is>
          <t>Pneus moto et scooter pas chers | Allo Pneus</t>
        </is>
      </c>
      <c r="C93" s="17" t="inlineStr">
        <is>
          <t>Allo Pneus</t>
        </is>
      </c>
      <c r="D93" s="20" t="n">
        <v>27614</v>
      </c>
      <c r="E93" s="20" t="n">
        <v>58</v>
      </c>
      <c r="F93" s="21">
        <f>IF(D93=0,0,E93/D93)</f>
        <v/>
      </c>
    </row>
    <row r="94">
      <c r="A94" s="24" t="n">
        <v>3</v>
      </c>
      <c r="B94" s="18" t="inlineStr">
        <is>
          <t>Pneu Continental SPORTCONTACT 7 225/40R18 92Y</t>
        </is>
      </c>
      <c r="C94" s="17" t="inlineStr">
        <is>
          <t>Allo Pneus</t>
        </is>
      </c>
      <c r="D94" s="20" t="n">
        <v>16759</v>
      </c>
      <c r="E94" s="20" t="n">
        <v>55</v>
      </c>
      <c r="F94" s="21">
        <f>IF(D94=0,0,E94/D94)</f>
        <v/>
      </c>
    </row>
    <row r="95">
      <c r="A95" s="24" t="n">
        <v>4</v>
      </c>
      <c r="B95" s="18" t="inlineStr">
        <is>
          <t>Pneu Bridgestone Battlax S21 120/70R17 58 W - ALLOPNEUS.COM</t>
        </is>
      </c>
      <c r="C95" s="17" t="inlineStr">
        <is>
          <t>Allo Pneus</t>
        </is>
      </c>
      <c r="D95" s="20" t="n">
        <v>14094</v>
      </c>
      <c r="E95" s="20" t="n">
        <v>39</v>
      </c>
      <c r="F95" s="21">
        <f>IF(D95=0,0,E95/D95)</f>
        <v/>
      </c>
    </row>
    <row r="96">
      <c r="A96" s="24" t="n">
        <v>5</v>
      </c>
      <c r="B96" s="18" t="inlineStr">
        <is>
          <t>Pneu Michelin CITY GRIP 2 140/70-14 68 S - ALLOPNEUS.COM</t>
        </is>
      </c>
      <c r="C96" s="17" t="inlineStr">
        <is>
          <t>Allo Pneus</t>
        </is>
      </c>
      <c r="D96" s="20" t="n">
        <v>12610</v>
      </c>
      <c r="E96" s="20" t="n">
        <v>38</v>
      </c>
      <c r="F96" s="21">
        <f>IF(D96=0,0,E96/D96)</f>
        <v/>
      </c>
    </row>
    <row r="97">
      <c r="A97" s="24" t="n">
        <v>6</v>
      </c>
      <c r="B97" s="18" t="inlineStr">
        <is>
          <t>Pneu Goodyear EFFICIENTGRIP CARGO 2 215/65R16 109T</t>
        </is>
      </c>
      <c r="C97" s="17" t="inlineStr">
        <is>
          <t>Allo Pneus</t>
        </is>
      </c>
      <c r="D97" s="20" t="n">
        <v>12413</v>
      </c>
      <c r="E97" s="20" t="n">
        <v>23</v>
      </c>
      <c r="F97" s="21">
        <f>IF(D97=0,0,E97/D97)</f>
        <v/>
      </c>
    </row>
    <row r="98">
      <c r="A98" s="24" t="n">
        <v>7</v>
      </c>
      <c r="B98" s="18" t="inlineStr">
        <is>
          <t>Pneu Kleber QUADRAXER SUV 225/55R18 102V - ALLOPNEUS.COM</t>
        </is>
      </c>
      <c r="C98" s="17" t="inlineStr">
        <is>
          <t>Allo Pneus</t>
        </is>
      </c>
      <c r="D98" s="20" t="n">
        <v>11430</v>
      </c>
      <c r="E98" s="20" t="n">
        <v>46</v>
      </c>
      <c r="F98" s="21">
        <f>IF(D98=0,0,E98/D98)</f>
        <v/>
      </c>
    </row>
    <row r="99">
      <c r="A99" s="24" t="n">
        <v>8</v>
      </c>
      <c r="B99" s="18" t="inlineStr">
        <is>
          <t>Pneus auto et moto au meilleur prix | Allopneus</t>
        </is>
      </c>
      <c r="C99" s="17" t="inlineStr">
        <is>
          <t>Allo Pneus</t>
        </is>
      </c>
      <c r="D99" s="20" t="n">
        <v>11366</v>
      </c>
      <c r="E99" s="20" t="n">
        <v>33</v>
      </c>
      <c r="F99" s="21">
        <f>IF(D99=0,0,E99/D99)</f>
        <v/>
      </c>
    </row>
    <row r="100">
      <c r="A100" s="24" t="n">
        <v>9</v>
      </c>
      <c r="B100" s="18" t="inlineStr">
        <is>
          <t>Pneu Kleber DYNAXER HP5 SUV 215/55R18 99V - ALLOPNEUS.COM</t>
        </is>
      </c>
      <c r="C100" s="17" t="inlineStr">
        <is>
          <t>Allo Pneus</t>
        </is>
      </c>
      <c r="D100" s="20" t="n">
        <v>11244</v>
      </c>
      <c r="E100" s="20" t="n">
        <v>62</v>
      </c>
      <c r="F100" s="21">
        <f>IF(D100=0,0,E100/D100)</f>
        <v/>
      </c>
    </row>
    <row r="101">
      <c r="A101" s="24" t="n">
        <v>10</v>
      </c>
      <c r="B101" s="18" t="inlineStr">
        <is>
          <t>Pneus auto et moto au meilleur prix | Allopneus</t>
        </is>
      </c>
      <c r="C101" s="17" t="inlineStr">
        <is>
          <t>Allo Pneus</t>
        </is>
      </c>
      <c r="D101" s="20" t="n">
        <v>10993</v>
      </c>
      <c r="E101" s="20" t="n">
        <v>35</v>
      </c>
      <c r="F101" s="21">
        <f>IF(D101=0,0,E101/D101)</f>
        <v/>
      </c>
    </row>
    <row r="103">
      <c r="A103" s="23" t="inlineStr">
        <is>
          <t>Marshall  ·  Live</t>
        </is>
      </c>
    </row>
    <row r="104">
      <c r="A104" s="24" t="n">
        <v>1</v>
      </c>
      <c r="B104" s="18" t="inlineStr">
        <is>
          <t>MARSHALL Major V - Casque sans fil pliable - Bluetooth</t>
        </is>
      </c>
      <c r="C104" s="17" t="inlineStr">
        <is>
          <t>Marshall 2</t>
        </is>
      </c>
      <c r="D104" s="20" t="n">
        <v>58114</v>
      </c>
      <c r="E104" s="20" t="n">
        <v>164</v>
      </c>
      <c r="F104" s="21">
        <f>IF(D104=0,0,E104/D104)</f>
        <v/>
      </c>
    </row>
    <row r="105">
      <c r="A105" s="24" t="n">
        <v>2</v>
      </c>
      <c r="B105" s="18" t="inlineStr">
        <is>
          <t>Enceinte sono DJ - MARSHALL - Bromley 450 - Son stéréo 360°</t>
        </is>
      </c>
      <c r="C105" s="17" t="inlineStr">
        <is>
          <t>Marshall 2</t>
        </is>
      </c>
      <c r="D105" s="20" t="n">
        <v>57632</v>
      </c>
      <c r="E105" s="20" t="n">
        <v>143</v>
      </c>
      <c r="F105" s="21">
        <f>IF(D105=0,0,E105/D105)</f>
        <v/>
      </c>
    </row>
    <row r="106">
      <c r="A106" s="24" t="n">
        <v>3</v>
      </c>
      <c r="B106" s="18" t="inlineStr">
        <is>
          <t>Enceinte sono DJ - MARSHALL - Bromley 750 - True</t>
        </is>
      </c>
      <c r="C106" s="17" t="inlineStr">
        <is>
          <t>Marshall 2</t>
        </is>
      </c>
      <c r="D106" s="20" t="n">
        <v>39073</v>
      </c>
      <c r="E106" s="20" t="n">
        <v>85</v>
      </c>
      <c r="F106" s="21">
        <f>IF(D106=0,0,E106/D106)</f>
        <v/>
      </c>
    </row>
    <row r="107">
      <c r="A107" s="24" t="n">
        <v>4</v>
      </c>
      <c r="B107" s="18" t="inlineStr">
        <is>
          <t>Casque audio - MARSHALL - Milton A.N.C - Noir - Cdiscount</t>
        </is>
      </c>
      <c r="C107" s="17" t="inlineStr">
        <is>
          <t>Marshall 2</t>
        </is>
      </c>
      <c r="D107" s="20" t="n">
        <v>36934</v>
      </c>
      <c r="E107" s="20" t="n">
        <v>116</v>
      </c>
      <c r="F107" s="21">
        <f>IF(D107=0,0,E107/D107)</f>
        <v/>
      </c>
    </row>
    <row r="108">
      <c r="A108" s="24" t="n">
        <v>5</v>
      </c>
      <c r="B108" s="18" t="inlineStr">
        <is>
          <t>Enceinte sono DJ - MARSHALL - Bromley 450 - Son stéréo 360°</t>
        </is>
      </c>
      <c r="C108" s="17" t="inlineStr">
        <is>
          <t>Marshall 2</t>
        </is>
      </c>
      <c r="D108" s="20" t="n">
        <v>20573</v>
      </c>
      <c r="E108" s="20" t="n">
        <v>72</v>
      </c>
      <c r="F108" s="21">
        <f>IF(D108=0,0,E108/D108)</f>
        <v/>
      </c>
    </row>
    <row r="109">
      <c r="A109" s="24" t="n">
        <v>6</v>
      </c>
      <c r="B109" s="18" t="inlineStr">
        <is>
          <t>Enceinte sans fil Bluetooth Marshall Acton III Noir</t>
        </is>
      </c>
      <c r="C109" s="17" t="inlineStr">
        <is>
          <t>Marshall 2</t>
        </is>
      </c>
      <c r="D109" s="20" t="n">
        <v>19781</v>
      </c>
      <c r="E109" s="20" t="n">
        <v>132</v>
      </c>
      <c r="F109" s="21">
        <f>IF(D109=0,0,E109/D109)</f>
        <v/>
      </c>
    </row>
    <row r="110">
      <c r="A110" s="24" t="n">
        <v>7</v>
      </c>
      <c r="B110" s="18" t="inlineStr">
        <is>
          <t>Marshall - Matériel audio sans fil</t>
        </is>
      </c>
      <c r="C110" s="17" t="inlineStr">
        <is>
          <t>Marshall 2</t>
        </is>
      </c>
      <c r="D110" s="20" t="n">
        <v>17460</v>
      </c>
      <c r="E110" s="20" t="n">
        <v>67</v>
      </c>
      <c r="F110" s="21">
        <f>IF(D110=0,0,E110/D110)</f>
        <v/>
      </c>
    </row>
    <row r="111">
      <c r="A111" s="24" t="n">
        <v>8</v>
      </c>
      <c r="B111" s="18" t="inlineStr">
        <is>
          <t>Enceinte sans fil - MARSHALL - Kilburn III - Bluetooth - 50</t>
        </is>
      </c>
      <c r="C111" s="17" t="inlineStr">
        <is>
          <t>Marshall 2</t>
        </is>
      </c>
      <c r="D111" s="20" t="n">
        <v>16590</v>
      </c>
      <c r="E111" s="20" t="n">
        <v>84</v>
      </c>
      <c r="F111" s="21">
        <f>IF(D111=0,0,E111/D111)</f>
        <v/>
      </c>
    </row>
    <row r="112">
      <c r="A112" s="24" t="n">
        <v>9</v>
      </c>
      <c r="B112" s="18" t="inlineStr">
        <is>
          <t>MARSHALL EMBERTON III - Enceinte portable sans fil - Plus</t>
        </is>
      </c>
      <c r="C112" s="17" t="inlineStr">
        <is>
          <t>Marshall 2</t>
        </is>
      </c>
      <c r="D112" s="20" t="n">
        <v>16044</v>
      </c>
      <c r="E112" s="20" t="n">
        <v>77</v>
      </c>
      <c r="F112" s="21">
        <f>IF(D112=0,0,E112/D112)</f>
        <v/>
      </c>
    </row>
    <row r="113">
      <c r="A113" s="24" t="n">
        <v>10</v>
      </c>
      <c r="B113" s="18" t="inlineStr">
        <is>
          <t>Marshall - Matériel audio sans fil</t>
        </is>
      </c>
      <c r="C113" s="17" t="inlineStr">
        <is>
          <t>Marshall 2</t>
        </is>
      </c>
      <c r="D113" s="20" t="n">
        <v>15217</v>
      </c>
      <c r="E113" s="20" t="n">
        <v>68</v>
      </c>
      <c r="F113" s="21">
        <f>IF(D113=0,0,E113/D113)</f>
        <v/>
      </c>
    </row>
    <row r="115">
      <c r="A115" s="23" t="inlineStr">
        <is>
          <t>Dorel  ·  Live</t>
        </is>
      </c>
    </row>
    <row r="116">
      <c r="A116" s="24" t="n">
        <v>1</v>
      </c>
      <c r="B116" s="18" t="inlineStr">
        <is>
          <t>SAFETY 1ST Barrière de lit enfant pliable, 18 mois-5 ans</t>
        </is>
      </c>
      <c r="C116" s="17" t="inlineStr">
        <is>
          <t>Dorel</t>
        </is>
      </c>
      <c r="D116" s="20" t="n">
        <v>12092</v>
      </c>
      <c r="E116" s="20" t="n">
        <v>31</v>
      </c>
      <c r="F116" s="21">
        <f>IF(D116=0,0,E116/D116)</f>
        <v/>
      </c>
    </row>
    <row r="117">
      <c r="A117" s="24" t="n">
        <v>2</v>
      </c>
      <c r="B117" s="18" t="inlineStr">
        <is>
          <t>BEBECONFORT Chauffe biberon digital de poche, rapide</t>
        </is>
      </c>
      <c r="C117" s="17" t="inlineStr">
        <is>
          <t>Dorel</t>
        </is>
      </c>
      <c r="D117" s="20" t="n">
        <v>10982</v>
      </c>
      <c r="E117" s="20" t="n">
        <v>40</v>
      </c>
      <c r="F117" s="21">
        <f>IF(D117=0,0,E117/D117)</f>
        <v/>
      </c>
    </row>
    <row r="118">
      <c r="A118" s="24" t="n">
        <v>3</v>
      </c>
      <c r="B118" s="18" t="inlineStr">
        <is>
          <t>BEBECONFORT Mini thermomètre multifonctions, 4 en 1</t>
        </is>
      </c>
      <c r="C118" s="17" t="inlineStr">
        <is>
          <t>Dorel</t>
        </is>
      </c>
      <c r="D118" s="20" t="n">
        <v>9993</v>
      </c>
      <c r="E118" s="20" t="n">
        <v>35</v>
      </c>
      <c r="F118" s="21">
        <f>IF(D118=0,0,E118/D118)</f>
        <v/>
      </c>
    </row>
    <row r="119">
      <c r="A119" s="24" t="n">
        <v>4</v>
      </c>
      <c r="B119" s="18" t="inlineStr">
        <is>
          <t>Lit parapluie Sweet Dreams prix bas - Dorel</t>
        </is>
      </c>
      <c r="C119" s="17" t="inlineStr">
        <is>
          <t>Dorel</t>
        </is>
      </c>
      <c r="D119" s="20" t="n">
        <v>9935</v>
      </c>
      <c r="E119" s="20" t="n">
        <v>25</v>
      </c>
      <c r="F119" s="21">
        <f>IF(D119=0,0,E119/D119)</f>
        <v/>
      </c>
    </row>
    <row r="120">
      <c r="A120" s="24" t="n">
        <v>5</v>
      </c>
      <c r="B120" s="18" t="inlineStr">
        <is>
          <t>Table à langer et baignoire 2 en 1 prix bas - Dorel</t>
        </is>
      </c>
      <c r="C120" s="17" t="inlineStr">
        <is>
          <t>Dorel</t>
        </is>
      </c>
      <c r="D120" s="20" t="n">
        <v>7731</v>
      </c>
      <c r="E120" s="20" t="n">
        <v>23</v>
      </c>
      <c r="F120" s="21">
        <f>IF(D120=0,0,E120/D120)</f>
        <v/>
      </c>
    </row>
    <row r="121">
      <c r="A121" s="24" t="n">
        <v>6</v>
      </c>
      <c r="B121" s="18" t="inlineStr">
        <is>
          <t>BEBECONFORT Trousse de toilette complète pour bébé, 8</t>
        </is>
      </c>
      <c r="C121" s="17" t="inlineStr">
        <is>
          <t>Dorel</t>
        </is>
      </c>
      <c r="D121" s="20" t="n">
        <v>7379</v>
      </c>
      <c r="E121" s="20" t="n">
        <v>27</v>
      </c>
      <c r="F121" s="21">
        <f>IF(D121=0,0,E121/D121)</f>
        <v/>
      </c>
    </row>
    <row r="122">
      <c r="A122" s="24" t="n">
        <v>7</v>
      </c>
      <c r="B122" s="18" t="inlineStr">
        <is>
          <t>TINY LOVE Arches articulées dans la prairie - 0 Mois et +</t>
        </is>
      </c>
      <c r="C122" s="17" t="inlineStr">
        <is>
          <t>Dorel</t>
        </is>
      </c>
      <c r="D122" s="20" t="n">
        <v>7230</v>
      </c>
      <c r="E122" s="20" t="n">
        <v>40</v>
      </c>
      <c r="F122" s="21">
        <f>IF(D122=0,0,E122/D122)</f>
        <v/>
      </c>
    </row>
    <row r="123">
      <c r="A123" s="24" t="n">
        <v>8</v>
      </c>
      <c r="B123" s="18" t="inlineStr">
        <is>
          <t>Sièges auto Bébé Confort - Dorel</t>
        </is>
      </c>
      <c r="C123" s="17" t="inlineStr">
        <is>
          <t>Dorel</t>
        </is>
      </c>
      <c r="D123" s="20" t="n">
        <v>6451</v>
      </c>
      <c r="E123" s="20" t="n">
        <v>15</v>
      </c>
      <c r="F123" s="21">
        <f>IF(D123=0,0,E123/D123)</f>
        <v/>
      </c>
    </row>
    <row r="124">
      <c r="A124" s="24" t="n">
        <v>9</v>
      </c>
      <c r="B124" s="18" t="inlineStr">
        <is>
          <t>TINY LOVE Arches articulées dans la prairie - 0 Mois et +</t>
        </is>
      </c>
      <c r="C124" s="17" t="inlineStr">
        <is>
          <t>Dorel</t>
        </is>
      </c>
      <c r="D124" s="20" t="n">
        <v>6229</v>
      </c>
      <c r="E124" s="20" t="n">
        <v>20</v>
      </c>
      <c r="F124" s="21">
        <f>IF(D124=0,0,E124/D124)</f>
        <v/>
      </c>
    </row>
    <row r="125">
      <c r="A125" s="24" t="n">
        <v>10</v>
      </c>
      <c r="B125" s="18" t="inlineStr">
        <is>
          <t>BEBECONFORT EXPLORER Trotteur avec tablette musicale</t>
        </is>
      </c>
      <c r="C125" s="17" t="inlineStr">
        <is>
          <t>Dorel</t>
        </is>
      </c>
      <c r="D125" s="20" t="n">
        <v>6132</v>
      </c>
      <c r="E125" s="20" t="n">
        <v>23</v>
      </c>
      <c r="F125" s="21">
        <f>IF(D125=0,0,E125/D125)</f>
        <v/>
      </c>
    </row>
    <row r="127">
      <c r="A127" s="23" t="inlineStr">
        <is>
          <t>Levi's  ·  Live</t>
        </is>
      </c>
    </row>
    <row r="128">
      <c r="A128" s="24" t="n">
        <v>1</v>
      </c>
      <c r="B128" s="18" t="inlineStr">
        <is>
          <t>Levi’s - Ceintures, bonnets et casquettes</t>
        </is>
      </c>
      <c r="C128" s="17" t="inlineStr">
        <is>
          <t>Levis 2</t>
        </is>
      </c>
      <c r="D128" s="20" t="n">
        <v>27980</v>
      </c>
      <c r="E128" s="20" t="n">
        <v>61</v>
      </c>
      <c r="F128" s="21">
        <f>IF(D128=0,0,E128/D128)</f>
        <v/>
      </c>
    </row>
    <row r="129">
      <c r="A129" s="24" t="n">
        <v>2</v>
      </c>
      <c r="B129" s="18" t="inlineStr">
        <is>
          <t>Jean Skinny 510™ Pour Enfant - Bleu | Levi's® FR</t>
        </is>
      </c>
      <c r="C129" s="17" t="inlineStr">
        <is>
          <t>Levis 2</t>
        </is>
      </c>
      <c r="D129" s="20" t="n">
        <v>8303</v>
      </c>
      <c r="E129" s="20" t="n">
        <v>25</v>
      </c>
      <c r="F129" s="21">
        <f>IF(D129=0,0,E129/D129)</f>
        <v/>
      </c>
    </row>
    <row r="130">
      <c r="A130" s="24" t="n">
        <v>3</v>
      </c>
      <c r="B130" s="18" t="inlineStr">
        <is>
          <t>Levi’s - Vêtements femme</t>
        </is>
      </c>
      <c r="C130" s="17" t="inlineStr">
        <is>
          <t>Levis 2</t>
        </is>
      </c>
      <c r="D130" s="20" t="n">
        <v>7655</v>
      </c>
      <c r="E130" s="20" t="n">
        <v>34</v>
      </c>
      <c r="F130" s="21">
        <f>IF(D130=0,0,E130/D130)</f>
        <v/>
      </c>
    </row>
    <row r="131">
      <c r="A131" s="24" t="n">
        <v>4</v>
      </c>
      <c r="B131" s="18" t="inlineStr">
        <is>
          <t>Ceinture Ashland - Noir | Levi's® FR</t>
        </is>
      </c>
      <c r="C131" s="17" t="inlineStr">
        <is>
          <t>Levis 2</t>
        </is>
      </c>
      <c r="D131" s="20" t="n">
        <v>7131</v>
      </c>
      <c r="E131" s="20" t="n">
        <v>16</v>
      </c>
      <c r="F131" s="21">
        <f>IF(D131=0,0,E131/D131)</f>
        <v/>
      </c>
    </row>
    <row r="132">
      <c r="A132" s="24" t="n">
        <v>5</v>
      </c>
      <c r="B132" s="18" t="inlineStr">
        <is>
          <t>Levi’s - Vêtements homme</t>
        </is>
      </c>
      <c r="C132" s="17" t="inlineStr">
        <is>
          <t>Levis 2</t>
        </is>
      </c>
      <c r="D132" s="20" t="n">
        <v>6971</v>
      </c>
      <c r="E132" s="20" t="n">
        <v>31</v>
      </c>
      <c r="F132" s="21">
        <f>IF(D132=0,0,E132/D132)</f>
        <v/>
      </c>
    </row>
    <row r="133">
      <c r="A133" s="24" t="n">
        <v>6</v>
      </c>
      <c r="B133" s="18" t="inlineStr">
        <is>
          <t>Levi’s - Vêtements femme</t>
        </is>
      </c>
      <c r="C133" s="17" t="inlineStr">
        <is>
          <t>Levis 2</t>
        </is>
      </c>
      <c r="D133" s="20" t="n">
        <v>6540</v>
      </c>
      <c r="E133" s="20" t="n">
        <v>24</v>
      </c>
      <c r="F133" s="21">
        <f>IF(D133=0,0,E133/D133)</f>
        <v/>
      </c>
    </row>
    <row r="134">
      <c r="A134" s="24" t="n">
        <v>7</v>
      </c>
      <c r="B134" s="18" t="inlineStr">
        <is>
          <t>Jean 314™ Galbant Straight (grandes Tailles) - Délavage</t>
        </is>
      </c>
      <c r="C134" s="17" t="inlineStr">
        <is>
          <t>Levis 2</t>
        </is>
      </c>
      <c r="D134" s="20" t="n">
        <v>6500</v>
      </c>
      <c r="E134" s="20" t="n">
        <v>25</v>
      </c>
      <c r="F134" s="21">
        <f>IF(D134=0,0,E134/D134)</f>
        <v/>
      </c>
    </row>
    <row r="135">
      <c r="A135" s="24" t="n">
        <v>8</v>
      </c>
      <c r="B135" s="18" t="inlineStr">
        <is>
          <t>Levi’s - Vêtements femme</t>
        </is>
      </c>
      <c r="C135" s="17" t="inlineStr">
        <is>
          <t>Levis 2</t>
        </is>
      </c>
      <c r="D135" s="20" t="n">
        <v>6246</v>
      </c>
      <c r="E135" s="20" t="n">
        <v>16</v>
      </c>
      <c r="F135" s="21">
        <f>IF(D135=0,0,E135/D135)</f>
        <v/>
      </c>
    </row>
    <row r="136">
      <c r="A136" s="24" t="n">
        <v>9</v>
      </c>
      <c r="B136" s="18" t="inlineStr">
        <is>
          <t>Jean 502™ Taper (grandes Tailles) - Délavage Clair |</t>
        </is>
      </c>
      <c r="C136" s="17" t="inlineStr">
        <is>
          <t>Levis 2</t>
        </is>
      </c>
      <c r="D136" s="20" t="n">
        <v>6077</v>
      </c>
      <c r="E136" s="20" t="n">
        <v>20</v>
      </c>
      <c r="F136" s="21">
        <f>IF(D136=0,0,E136/D136)</f>
        <v/>
      </c>
    </row>
    <row r="137">
      <c r="A137" s="24" t="n">
        <v>10</v>
      </c>
      <c r="B137" s="18" t="inlineStr">
        <is>
          <t>Sweat-shirt Vintage Boxy - Marron | Levi's® FR</t>
        </is>
      </c>
      <c r="C137" s="17" t="inlineStr">
        <is>
          <t>Levis 2</t>
        </is>
      </c>
      <c r="D137" s="20" t="n">
        <v>6026</v>
      </c>
      <c r="E137" s="20" t="n">
        <v>19</v>
      </c>
      <c r="F137" s="21">
        <f>IF(D137=0,0,E137/D137)</f>
        <v/>
      </c>
    </row>
    <row r="139">
      <c r="A139" s="23" t="inlineStr">
        <is>
          <t>DSR  ·  Live</t>
        </is>
      </c>
    </row>
    <row r="140">
      <c r="A140" s="24" t="n">
        <v>1</v>
      </c>
      <c r="B140" s="18" t="inlineStr">
        <is>
          <t>Conduite accompagnée : 15 ans, c'est le bon moment</t>
        </is>
      </c>
      <c r="C140" s="17" t="inlineStr">
        <is>
          <t>Conduite accompagnée</t>
        </is>
      </c>
      <c r="D140" s="20" t="n">
        <v>374206</v>
      </c>
      <c r="E140" s="20" t="n">
        <v>1591</v>
      </c>
      <c r="F140" s="21">
        <f>IF(D140=0,0,E140/D140)</f>
        <v/>
      </c>
    </row>
    <row r="142">
      <c r="A142" s="23" t="inlineStr">
        <is>
          <t>Bosch  ·  Live</t>
        </is>
      </c>
    </row>
    <row r="143">
      <c r="A143" s="24" t="n">
        <v>1</v>
      </c>
      <c r="B143" s="18" t="inlineStr">
        <is>
          <t>Lave-vaisselle pose libre BOSCH SMS26AI01F SER2 - 12</t>
        </is>
      </c>
      <c r="C143" s="17" t="inlineStr">
        <is>
          <t>BOSCH</t>
        </is>
      </c>
      <c r="D143" s="20" t="n">
        <v>10376</v>
      </c>
      <c r="E143" s="20" t="n">
        <v>64</v>
      </c>
      <c r="F143" s="21">
        <f>IF(D143=0,0,E143/D143)</f>
        <v/>
      </c>
    </row>
    <row r="144">
      <c r="A144" s="24" t="n">
        <v>2</v>
      </c>
      <c r="B144" s="18" t="inlineStr">
        <is>
          <t>Lave-vaisselle tout encastrable BOSCH SBH4HVX14E SER4 - 14</t>
        </is>
      </c>
      <c r="C144" s="17" t="inlineStr">
        <is>
          <t>BOSCH</t>
        </is>
      </c>
      <c r="D144" s="20" t="n">
        <v>10080</v>
      </c>
      <c r="E144" s="20" t="n">
        <v>41</v>
      </c>
      <c r="F144" s="21">
        <f>IF(D144=0,0,E144/D144)</f>
        <v/>
      </c>
    </row>
    <row r="145">
      <c r="A145" s="24" t="n">
        <v>3</v>
      </c>
      <c r="B145" s="18" t="inlineStr">
        <is>
          <t>Lave-vaisselle pose libre BOSCH SMS2HTW02E SER2 - 13</t>
        </is>
      </c>
      <c r="C145" s="17" t="inlineStr">
        <is>
          <t>BOSCH</t>
        </is>
      </c>
      <c r="D145" s="20" t="n">
        <v>9485</v>
      </c>
      <c r="E145" s="20" t="n">
        <v>51</v>
      </c>
      <c r="F145" s="21">
        <f>IF(D145=0,0,E145/D145)</f>
        <v/>
      </c>
    </row>
    <row r="146">
      <c r="A146" s="24" t="n">
        <v>4</v>
      </c>
      <c r="B146" s="18" t="inlineStr">
        <is>
          <t>Lave-vaisselle pose libre BOSCH SSMS6ZCW12F SER6 - 14</t>
        </is>
      </c>
      <c r="C146" s="17" t="inlineStr">
        <is>
          <t>BOSCH</t>
        </is>
      </c>
      <c r="D146" s="20" t="n">
        <v>9473</v>
      </c>
      <c r="E146" s="20" t="n">
        <v>61</v>
      </c>
      <c r="F146" s="21">
        <f>IF(D146=0,0,E146/D146)</f>
        <v/>
      </c>
    </row>
    <row r="147">
      <c r="A147" s="24" t="n">
        <v>5</v>
      </c>
      <c r="B147" s="18" t="inlineStr">
        <is>
          <t>Lave-vaisselle pose libre BOSCH SMS4HMW08E SER4 - 14</t>
        </is>
      </c>
      <c r="C147" s="17" t="inlineStr">
        <is>
          <t>BOSCH</t>
        </is>
      </c>
      <c r="D147" s="20" t="n">
        <v>9271</v>
      </c>
      <c r="E147" s="20" t="n">
        <v>42</v>
      </c>
      <c r="F147" s="21">
        <f>IF(D147=0,0,E147/D147)</f>
        <v/>
      </c>
    </row>
    <row r="148">
      <c r="A148" s="24" t="n">
        <v>6</v>
      </c>
      <c r="B148" s="18" t="inlineStr">
        <is>
          <t>Lave-vaisselle pose-libre BOSCH SMS4ECI26E SER4 - 13</t>
        </is>
      </c>
      <c r="C148" s="17" t="inlineStr">
        <is>
          <t>BOSCH</t>
        </is>
      </c>
      <c r="D148" s="20" t="n">
        <v>9084</v>
      </c>
      <c r="E148" s="20" t="n">
        <v>40</v>
      </c>
      <c r="F148" s="21">
        <f>IF(D148=0,0,E148/D148)</f>
        <v/>
      </c>
    </row>
    <row r="149">
      <c r="A149" s="24" t="n">
        <v>7</v>
      </c>
      <c r="B149" s="18" t="inlineStr">
        <is>
          <t>Lave-vaisselle pose libre BOSCH SMS26AW01F SER2 - 12</t>
        </is>
      </c>
      <c r="C149" s="17" t="inlineStr">
        <is>
          <t>BOSCH</t>
        </is>
      </c>
      <c r="D149" s="20" t="n">
        <v>9009</v>
      </c>
      <c r="E149" s="20" t="n">
        <v>46</v>
      </c>
      <c r="F149" s="21">
        <f>IF(D149=0,0,E149/D149)</f>
        <v/>
      </c>
    </row>
    <row r="150">
      <c r="A150" s="24" t="n">
        <v>8</v>
      </c>
      <c r="B150" s="18" t="inlineStr">
        <is>
          <t>Lave-vaisselle pose libre BOSCH SMS2HVI02E SER2 - 14</t>
        </is>
      </c>
      <c r="C150" s="17" t="inlineStr">
        <is>
          <t>BOSCH</t>
        </is>
      </c>
      <c r="D150" s="20" t="n">
        <v>8950</v>
      </c>
      <c r="E150" s="20" t="n">
        <v>54</v>
      </c>
      <c r="F150" s="21">
        <f>IF(D150=0,0,E150/D150)</f>
        <v/>
      </c>
    </row>
    <row r="151">
      <c r="A151" s="24" t="n">
        <v>9</v>
      </c>
      <c r="B151" s="18" t="inlineStr">
        <is>
          <t>Lave-vaisselle semi-encastrable BOSCH SMI2HTS02E SER2 - 13</t>
        </is>
      </c>
      <c r="C151" s="17" t="inlineStr">
        <is>
          <t>BOSCH</t>
        </is>
      </c>
      <c r="D151" s="20" t="n">
        <v>8883</v>
      </c>
      <c r="E151" s="20" t="n">
        <v>33</v>
      </c>
      <c r="F151" s="21">
        <f>IF(D151=0,0,E151/D151)</f>
        <v/>
      </c>
    </row>
    <row r="152">
      <c r="A152" s="24" t="n">
        <v>10</v>
      </c>
      <c r="B152" s="18" t="inlineStr">
        <is>
          <t>Lave-vaisselle tout encastrable BOSCH SMV4HCX07E SER4 - 14</t>
        </is>
      </c>
      <c r="C152" s="17" t="inlineStr">
        <is>
          <t>BOSCH</t>
        </is>
      </c>
      <c r="D152" s="20" t="n">
        <v>8874</v>
      </c>
      <c r="E152" s="20" t="n">
        <v>39</v>
      </c>
      <c r="F152" s="21">
        <f>IF(D152=0,0,E152/D152)</f>
        <v/>
      </c>
    </row>
    <row r="154">
      <c r="A154" s="23" t="inlineStr">
        <is>
          <t>Smartphone ID  ·  Live</t>
        </is>
      </c>
    </row>
    <row r="155">
      <c r="A155" s="24" t="n">
        <v>1</v>
      </c>
      <c r="B155" s="18" t="inlineStr">
        <is>
          <t>Photo d'identité en ligne en 2 minutes depuis votre</t>
        </is>
      </c>
      <c r="C155" s="17" t="inlineStr">
        <is>
          <t>smartphone id</t>
        </is>
      </c>
      <c r="D155" s="20" t="n">
        <v>135840</v>
      </c>
      <c r="E155" s="20" t="n">
        <v>713</v>
      </c>
      <c r="F155" s="21">
        <f>IF(D155=0,0,E155/D155)</f>
        <v/>
      </c>
    </row>
    <row r="156">
      <c r="A156" s="24" t="n">
        <v>2</v>
      </c>
      <c r="B156" s="18" t="inlineStr">
        <is>
          <t>Photo d'identité en ligne en 2 minutes depuis votre</t>
        </is>
      </c>
      <c r="C156" s="17" t="inlineStr">
        <is>
          <t>smartphone id</t>
        </is>
      </c>
      <c r="D156" s="20" t="n">
        <v>104384</v>
      </c>
      <c r="E156" s="20" t="n">
        <v>527</v>
      </c>
      <c r="F156" s="21">
        <f>IF(D156=0,0,E156/D156)</f>
        <v/>
      </c>
    </row>
    <row r="158">
      <c r="A158" s="23" t="inlineStr">
        <is>
          <t>Archipel Kombucha  ·  Live</t>
        </is>
      </c>
    </row>
    <row r="159">
      <c r="A159" s="24" t="n">
        <v>1</v>
      </c>
      <c r="B159" s="18" t="inlineStr">
        <is>
          <t>Kombucha Framboise - Canette 33cl (x24) – Archipel</t>
        </is>
      </c>
      <c r="C159" s="17" t="inlineStr">
        <is>
          <t>Archipel</t>
        </is>
      </c>
      <c r="D159" s="20" t="n">
        <v>11811</v>
      </c>
      <c r="E159" s="20" t="n">
        <v>44</v>
      </c>
      <c r="F159" s="21">
        <f>IF(D159=0,0,E159/D159)</f>
        <v/>
      </c>
    </row>
    <row r="160">
      <c r="A160" s="24" t="n">
        <v>2</v>
      </c>
      <c r="B160" s="18" t="inlineStr">
        <is>
          <t>Kombucha Cassis Bio -33cl (x12) – Archipel</t>
        </is>
      </c>
      <c r="C160" s="17" t="inlineStr">
        <is>
          <t>Archipel</t>
        </is>
      </c>
      <c r="D160" s="20" t="n">
        <v>11660</v>
      </c>
      <c r="E160" s="20" t="n">
        <v>62</v>
      </c>
      <c r="F160" s="21">
        <f>IF(D160=0,0,E160/D160)</f>
        <v/>
      </c>
    </row>
    <row r="161">
      <c r="A161" s="24" t="n">
        <v>3</v>
      </c>
      <c r="B161" s="18" t="inlineStr">
        <is>
          <t>Kombucha framboisier Bio - 33cl (x12) – Archipel</t>
        </is>
      </c>
      <c r="C161" s="17" t="inlineStr">
        <is>
          <t>Archipel</t>
        </is>
      </c>
      <c r="D161" s="20" t="n">
        <v>11652</v>
      </c>
      <c r="E161" s="20" t="n">
        <v>53</v>
      </c>
      <c r="F161" s="21">
        <f>IF(D161=0,0,E161/D161)</f>
        <v/>
      </c>
    </row>
    <row r="162">
      <c r="A162" s="24" t="n">
        <v>4</v>
      </c>
      <c r="B162" s="18" t="inlineStr">
        <is>
          <t>Kombucha Pomelo Gingembre - Canette 33cl (x24) – Archipel</t>
        </is>
      </c>
      <c r="C162" s="17" t="inlineStr">
        <is>
          <t>Archipel</t>
        </is>
      </c>
      <c r="D162" s="20" t="n">
        <v>11618</v>
      </c>
      <c r="E162" s="20" t="n">
        <v>59</v>
      </c>
      <c r="F162" s="21">
        <f>IF(D162=0,0,E162/D162)</f>
        <v/>
      </c>
    </row>
    <row r="163">
      <c r="A163" s="24" t="n">
        <v>5</v>
      </c>
      <c r="B163" s="18" t="inlineStr">
        <is>
          <t>Kombucha Figuier Bio -33cl (x12) – Archipel</t>
        </is>
      </c>
      <c r="C163" s="17" t="inlineStr">
        <is>
          <t>Archipel</t>
        </is>
      </c>
      <c r="D163" s="20" t="n">
        <v>11511</v>
      </c>
      <c r="E163" s="20" t="n">
        <v>66</v>
      </c>
      <c r="F163" s="21">
        <f>IF(D163=0,0,E163/D163)</f>
        <v/>
      </c>
    </row>
    <row r="164">
      <c r="A164" s="24" t="n">
        <v>6</v>
      </c>
      <c r="B164" s="18" t="inlineStr">
        <is>
          <t>Kombucha feuilles de Figuier 75cl (x6) – Archipel</t>
        </is>
      </c>
      <c r="C164" s="17" t="inlineStr">
        <is>
          <t>Archipel</t>
        </is>
      </c>
      <c r="D164" s="20" t="n">
        <v>11501</v>
      </c>
      <c r="E164" s="20" t="n">
        <v>53</v>
      </c>
      <c r="F164" s="21">
        <f>IF(D164=0,0,E164/D164)</f>
        <v/>
      </c>
    </row>
    <row r="165">
      <c r="A165" s="24" t="n">
        <v>7</v>
      </c>
      <c r="B165" s="18" t="inlineStr">
        <is>
          <t>Kombucha clémentine Bio - 33cl (x12) – Archipel</t>
        </is>
      </c>
      <c r="C165" s="17" t="inlineStr">
        <is>
          <t>Archipel</t>
        </is>
      </c>
      <c r="D165" s="20" t="n">
        <v>11455</v>
      </c>
      <c r="E165" s="20" t="n">
        <v>53</v>
      </c>
      <c r="F165" s="21">
        <f>IF(D165=0,0,E165/D165)</f>
        <v/>
      </c>
    </row>
    <row r="166">
      <c r="A166" s="24" t="n">
        <v>8</v>
      </c>
      <c r="B166" s="18" t="inlineStr">
        <is>
          <t>Kombucha Brut Bio - 33cl (x12) – Archipel</t>
        </is>
      </c>
      <c r="C166" s="17" t="inlineStr">
        <is>
          <t>Archipel</t>
        </is>
      </c>
      <c r="D166" s="20" t="n">
        <v>11441</v>
      </c>
      <c r="E166" s="20" t="n">
        <v>56</v>
      </c>
      <c r="F166" s="21">
        <f>IF(D166=0,0,E166/D166)</f>
        <v/>
      </c>
    </row>
    <row r="167">
      <c r="A167" s="24" t="n">
        <v>9</v>
      </c>
      <c r="B167" s="18" t="inlineStr">
        <is>
          <t>Boissons fermentées sans alcool - Archipel</t>
        </is>
      </c>
      <c r="C167" s="17" t="inlineStr">
        <is>
          <t>Archipel</t>
        </is>
      </c>
      <c r="D167" s="20" t="n">
        <v>9099</v>
      </c>
      <c r="E167" s="20" t="n">
        <v>71</v>
      </c>
      <c r="F167" s="21">
        <f>IF(D167=0,0,E167/D167)</f>
        <v/>
      </c>
    </row>
    <row r="168">
      <c r="A168" s="24" t="n">
        <v>10</v>
      </c>
      <c r="B168" s="18" t="inlineStr">
        <is>
          <t>Kombucha et boissons fermentées - Archipel</t>
        </is>
      </c>
      <c r="C168" s="17" t="inlineStr">
        <is>
          <t>Archipel</t>
        </is>
      </c>
      <c r="D168" s="20" t="n">
        <v>8890</v>
      </c>
      <c r="E168" s="20" t="n">
        <v>59</v>
      </c>
      <c r="F168" s="21">
        <f>IF(D168=0,0,E168/D168)</f>
        <v/>
      </c>
    </row>
    <row r="170">
      <c r="A170" s="23" t="inlineStr">
        <is>
          <t>SNCF  ·  Live</t>
        </is>
      </c>
    </row>
    <row r="171">
      <c r="A171" s="24" t="n">
        <v>1</v>
      </c>
      <c r="B171" s="18" t="inlineStr">
        <is>
          <t>SNCF Connect Train Paris Rennes</t>
        </is>
      </c>
      <c r="C171" s="17" t="inlineStr">
        <is>
          <t>SNCF Connect</t>
        </is>
      </c>
      <c r="D171" s="20" t="n">
        <v>25464</v>
      </c>
      <c r="E171" s="20" t="n">
        <v>53</v>
      </c>
      <c r="F171" s="21">
        <f>IF(D171=0,0,E171/D171)</f>
        <v/>
      </c>
    </row>
    <row r="172">
      <c r="A172" s="24" t="n">
        <v>2</v>
      </c>
      <c r="B172" s="18" t="inlineStr">
        <is>
          <t>SNCF Connect Train Paris Marseille</t>
        </is>
      </c>
      <c r="C172" s="17" t="inlineStr">
        <is>
          <t>SNCF Connect</t>
        </is>
      </c>
      <c r="D172" s="20" t="n">
        <v>7048</v>
      </c>
      <c r="E172" s="20" t="n">
        <v>34</v>
      </c>
      <c r="F172" s="21">
        <f>IF(D172=0,0,E172/D172)</f>
        <v/>
      </c>
    </row>
    <row r="173">
      <c r="A173" s="24" t="n">
        <v>3</v>
      </c>
      <c r="B173" s="18" t="inlineStr">
        <is>
          <t>SNCF Connect Train Marseille Paris</t>
        </is>
      </c>
      <c r="C173" s="17" t="inlineStr">
        <is>
          <t>SNCF Connect</t>
        </is>
      </c>
      <c r="D173" s="20" t="n">
        <v>6856</v>
      </c>
      <c r="E173" s="20" t="n">
        <v>52</v>
      </c>
      <c r="F173" s="21">
        <f>IF(D173=0,0,E173/D173)</f>
        <v/>
      </c>
    </row>
    <row r="174">
      <c r="A174" s="24" t="n">
        <v>4</v>
      </c>
      <c r="B174" s="18" t="inlineStr">
        <is>
          <t>SNCF Connect Train Paris Nantes</t>
        </is>
      </c>
      <c r="C174" s="17" t="inlineStr">
        <is>
          <t>SNCF Connect</t>
        </is>
      </c>
      <c r="D174" s="20" t="n">
        <v>6031</v>
      </c>
      <c r="E174" s="20" t="n">
        <v>31</v>
      </c>
      <c r="F174" s="21">
        <f>IF(D174=0,0,E174/D174)</f>
        <v/>
      </c>
    </row>
    <row r="175">
      <c r="A175" s="24" t="n">
        <v>5</v>
      </c>
      <c r="B175" s="18" t="inlineStr">
        <is>
          <t>SNCF Connect Train Nantes Paris</t>
        </is>
      </c>
      <c r="C175" s="17" t="inlineStr">
        <is>
          <t>SNCF Connect</t>
        </is>
      </c>
      <c r="D175" s="20" t="n">
        <v>5985</v>
      </c>
      <c r="E175" s="20" t="n">
        <v>42</v>
      </c>
      <c r="F175" s="21">
        <f>IF(D175=0,0,E175/D175)</f>
        <v/>
      </c>
    </row>
    <row r="176">
      <c r="A176" s="24" t="n">
        <v>6</v>
      </c>
      <c r="B176" s="18" t="inlineStr">
        <is>
          <t>SNCF Connect Train Paris Bordeaux</t>
        </is>
      </c>
      <c r="C176" s="17" t="inlineStr">
        <is>
          <t>SNCF Connect</t>
        </is>
      </c>
      <c r="D176" s="20" t="n">
        <v>5962</v>
      </c>
      <c r="E176" s="20" t="n">
        <v>33</v>
      </c>
      <c r="F176" s="21">
        <f>IF(D176=0,0,E176/D176)</f>
        <v/>
      </c>
    </row>
    <row r="177">
      <c r="A177" s="24" t="n">
        <v>7</v>
      </c>
      <c r="B177" s="18" t="inlineStr">
        <is>
          <t>SNCF Connect Train Paris Amsterdam</t>
        </is>
      </c>
      <c r="C177" s="17" t="inlineStr">
        <is>
          <t>SNCF Connect</t>
        </is>
      </c>
      <c r="D177" s="20" t="n">
        <v>5953</v>
      </c>
      <c r="E177" s="20" t="n">
        <v>37</v>
      </c>
      <c r="F177" s="21">
        <f>IF(D177=0,0,E177/D177)</f>
        <v/>
      </c>
    </row>
    <row r="178">
      <c r="A178" s="24" t="n">
        <v>8</v>
      </c>
      <c r="B178" s="18" t="inlineStr">
        <is>
          <t>SNCF Connect Train Bordeaux Paris</t>
        </is>
      </c>
      <c r="C178" s="17" t="inlineStr">
        <is>
          <t>SNCF Connect</t>
        </is>
      </c>
      <c r="D178" s="20" t="n">
        <v>5939</v>
      </c>
      <c r="E178" s="20" t="n">
        <v>43</v>
      </c>
      <c r="F178" s="21">
        <f>IF(D178=0,0,E178/D178)</f>
        <v/>
      </c>
    </row>
    <row r="179">
      <c r="A179" s="24" t="n">
        <v>9</v>
      </c>
      <c r="B179" s="18" t="inlineStr">
        <is>
          <t>SNCF Connect Train Paris Toulouse</t>
        </is>
      </c>
      <c r="C179" s="17" t="inlineStr">
        <is>
          <t>SNCF Connect</t>
        </is>
      </c>
      <c r="D179" s="20" t="n">
        <v>5899</v>
      </c>
      <c r="E179" s="20" t="n">
        <v>40</v>
      </c>
      <c r="F179" s="21">
        <f>IF(D179=0,0,E179/D179)</f>
        <v/>
      </c>
    </row>
    <row r="180">
      <c r="A180" s="24" t="n">
        <v>10</v>
      </c>
      <c r="B180" s="18" t="inlineStr">
        <is>
          <t>SNCF Connect Train Paris Barcelone</t>
        </is>
      </c>
      <c r="C180" s="17" t="inlineStr">
        <is>
          <t>SNCF Connect</t>
        </is>
      </c>
      <c r="D180" s="20" t="n">
        <v>5898</v>
      </c>
      <c r="E180" s="20" t="n">
        <v>39</v>
      </c>
      <c r="F180" s="21">
        <f>IF(D180=0,0,E180/D180)</f>
        <v/>
      </c>
    </row>
    <row r="182">
      <c r="A182" s="23" t="inlineStr">
        <is>
          <t>Ryobi  ·  Terminé</t>
        </is>
      </c>
    </row>
    <row r="183">
      <c r="A183" s="24" t="n">
        <v>1</v>
      </c>
      <c r="B183" s="18" t="inlineStr">
        <is>
          <t>Outillage de bricolage et de jardin - Ryobi</t>
        </is>
      </c>
      <c r="C183" s="17" t="inlineStr">
        <is>
          <t>Ryobi</t>
        </is>
      </c>
      <c r="D183" s="20" t="n">
        <v>27039</v>
      </c>
      <c r="E183" s="20" t="n">
        <v>153</v>
      </c>
      <c r="F183" s="21">
        <f>IF(D183=0,0,E183/D183)</f>
        <v/>
      </c>
    </row>
    <row r="184">
      <c r="A184" s="24" t="n">
        <v>2</v>
      </c>
      <c r="B184" s="18" t="inlineStr">
        <is>
          <t>Outillage de bricolage et de jardin - Ryobi</t>
        </is>
      </c>
      <c r="C184" s="17" t="inlineStr">
        <is>
          <t>Ryobi</t>
        </is>
      </c>
      <c r="D184" s="20" t="n">
        <v>21923</v>
      </c>
      <c r="E184" s="20" t="n">
        <v>130</v>
      </c>
      <c r="F184" s="21">
        <f>IF(D184=0,0,E184/D184)</f>
        <v/>
      </c>
    </row>
    <row r="185">
      <c r="A185" s="24" t="n">
        <v>3</v>
      </c>
      <c r="B185" s="18" t="inlineStr">
        <is>
          <t>Outillage de bricolage et de jardin - Ryobi</t>
        </is>
      </c>
      <c r="C185" s="17" t="inlineStr">
        <is>
          <t>Ryobi</t>
        </is>
      </c>
      <c r="D185" s="20" t="n">
        <v>19937</v>
      </c>
      <c r="E185" s="20" t="n">
        <v>98</v>
      </c>
      <c r="F185" s="21">
        <f>IF(D185=0,0,E185/D185)</f>
        <v/>
      </c>
    </row>
    <row r="186">
      <c r="A186" s="24" t="n">
        <v>4</v>
      </c>
      <c r="B186" s="18" t="inlineStr">
        <is>
          <t>Bac de ramassage 220 L + lot 2 lames de rechange 53 cm</t>
        </is>
      </c>
      <c r="C186" s="17" t="inlineStr">
        <is>
          <t>Ryobi</t>
        </is>
      </c>
      <c r="D186" s="20" t="n">
        <v>18822</v>
      </c>
      <c r="E186" s="20" t="n">
        <v>89</v>
      </c>
      <c r="F186" s="21">
        <f>IF(D186=0,0,E186/D186)</f>
        <v/>
      </c>
    </row>
    <row r="187">
      <c r="A187" s="24" t="n">
        <v>5</v>
      </c>
      <c r="B187" s="18" t="inlineStr">
        <is>
          <t>Crochet double long RYOBI® LINK : Organisez-vous.</t>
        </is>
      </c>
      <c r="C187" s="17" t="inlineStr">
        <is>
          <t>Ryobi</t>
        </is>
      </c>
      <c r="D187" s="20" t="n">
        <v>18516</v>
      </c>
      <c r="E187" s="20" t="n">
        <v>70</v>
      </c>
      <c r="F187" s="21">
        <f>IF(D187=0,0,E187/D187)</f>
        <v/>
      </c>
    </row>
    <row r="188">
      <c r="A188" s="24" t="n">
        <v>6</v>
      </c>
      <c r="B188" s="18" t="inlineStr">
        <is>
          <t>Outillage de bricolage et de jardin - Ryobi</t>
        </is>
      </c>
      <c r="C188" s="17" t="inlineStr">
        <is>
          <t>Ryobi</t>
        </is>
      </c>
      <c r="D188" s="20" t="n">
        <v>16996</v>
      </c>
      <c r="E188" s="20" t="n">
        <v>94</v>
      </c>
      <c r="F188" s="21">
        <f>IF(D188=0,0,E188/D188)</f>
        <v/>
      </c>
    </row>
    <row r="189">
      <c r="A189" s="24" t="n">
        <v>7</v>
      </c>
      <c r="B189" s="18" t="inlineStr">
        <is>
          <t>Pince multiprise à verouillage 250 mm | Ryobi</t>
        </is>
      </c>
      <c r="C189" s="17" t="inlineStr">
        <is>
          <t>Ryobi</t>
        </is>
      </c>
      <c r="D189" s="20" t="n">
        <v>16586</v>
      </c>
      <c r="E189" s="20" t="n">
        <v>81</v>
      </c>
      <c r="F189" s="21">
        <f>IF(D189=0,0,E189/D189)</f>
        <v/>
      </c>
    </row>
    <row r="190">
      <c r="A190" s="24" t="n">
        <v>8</v>
      </c>
      <c r="B190" s="18" t="inlineStr">
        <is>
          <t>Outillage de bricolage et de jardin - Ryobi</t>
        </is>
      </c>
      <c r="C190" s="17" t="inlineStr">
        <is>
          <t>Ryobi</t>
        </is>
      </c>
      <c r="D190" s="20" t="n">
        <v>16457</v>
      </c>
      <c r="E190" s="20" t="n">
        <v>89</v>
      </c>
      <c r="F190" s="21">
        <f>IF(D190=0,0,E190/D190)</f>
        <v/>
      </c>
    </row>
    <row r="191">
      <c r="A191" s="24" t="n">
        <v>9</v>
      </c>
      <c r="B191" s="18" t="inlineStr">
        <is>
          <t>Ryobi - Scies et outils électroportatifs</t>
        </is>
      </c>
      <c r="C191" s="17" t="inlineStr">
        <is>
          <t>Ryobi</t>
        </is>
      </c>
      <c r="D191" s="20" t="n">
        <v>16185</v>
      </c>
      <c r="E191" s="20" t="n">
        <v>69</v>
      </c>
      <c r="F191" s="21">
        <f>IF(D191=0,0,E191/D191)</f>
        <v/>
      </c>
    </row>
    <row r="192">
      <c r="A192" s="24" t="n">
        <v>10</v>
      </c>
      <c r="B192" s="18" t="inlineStr">
        <is>
          <t>Boulonneuse à chocs sans fil 18V ONE+™ RYOBI | RIW18CBL-0</t>
        </is>
      </c>
      <c r="C192" s="17" t="inlineStr">
        <is>
          <t>Ryobi</t>
        </is>
      </c>
      <c r="D192" s="20" t="n">
        <v>16066</v>
      </c>
      <c r="E192" s="20" t="n">
        <v>78</v>
      </c>
      <c r="F192" s="21">
        <f>IF(D192=0,0,E192/D192)</f>
        <v/>
      </c>
    </row>
    <row r="194">
      <c r="A194" s="23" t="inlineStr">
        <is>
          <t>Iopole  ·  Terminé</t>
        </is>
      </c>
    </row>
    <row r="195">
      <c r="A195" s="24" t="n">
        <v>1</v>
      </c>
      <c r="B195" s="18" t="inlineStr">
        <is>
          <t>E-reporting et facturation électronique - Iopole</t>
        </is>
      </c>
      <c r="C195" s="17" t="inlineStr">
        <is>
          <t>Iopole 2 Noto</t>
        </is>
      </c>
      <c r="D195" s="20" t="n">
        <v>116698</v>
      </c>
      <c r="E195" s="20" t="n">
        <v>306</v>
      </c>
      <c r="F195" s="21">
        <f>IF(D195=0,0,E195/D195)</f>
        <v/>
      </c>
    </row>
    <row r="196">
      <c r="A196" s="24" t="n">
        <v>2</v>
      </c>
      <c r="B196" s="18" t="inlineStr">
        <is>
          <t>IOPOLE : Facturation électronique par API</t>
        </is>
      </c>
      <c r="C196" s="17" t="inlineStr">
        <is>
          <t>Iopole 2 Ventes</t>
        </is>
      </c>
      <c r="D196" s="20" t="n">
        <v>99969</v>
      </c>
      <c r="E196" s="20" t="n">
        <v>493</v>
      </c>
      <c r="F196" s="21">
        <f>IF(D196=0,0,E196/D196)</f>
        <v/>
      </c>
    </row>
    <row r="197">
      <c r="A197" s="24" t="n">
        <v>3</v>
      </c>
      <c r="B197" s="18" t="inlineStr">
        <is>
          <t>Iopole | API de facturation électronique pour éditeurs</t>
        </is>
      </c>
      <c r="C197" s="17" t="inlineStr">
        <is>
          <t>Iopole 2 Noto</t>
        </is>
      </c>
      <c r="D197" s="20" t="n">
        <v>73907</v>
      </c>
      <c r="E197" s="20" t="n">
        <v>333</v>
      </c>
      <c r="F197" s="21">
        <f>IF(D197=0,0,E197/D197)</f>
        <v/>
      </c>
    </row>
    <row r="198">
      <c r="A198" s="24" t="n">
        <v>4</v>
      </c>
      <c r="B198" s="18" t="inlineStr">
        <is>
          <t>Logiciel de facturation électronique - Iopole</t>
        </is>
      </c>
      <c r="C198" s="17" t="inlineStr">
        <is>
          <t>Iopole 2 Ventes</t>
        </is>
      </c>
      <c r="D198" s="20" t="n">
        <v>71487</v>
      </c>
      <c r="E198" s="20" t="n">
        <v>392</v>
      </c>
      <c r="F198" s="21">
        <f>IF(D198=0,0,E198/D198)</f>
        <v/>
      </c>
    </row>
    <row r="199">
      <c r="A199" s="24" t="n">
        <v>5</v>
      </c>
      <c r="B199" s="18" t="inlineStr">
        <is>
          <t>Iopole | API de facturation électronique pour éditeurs</t>
        </is>
      </c>
      <c r="C199" s="17" t="inlineStr">
        <is>
          <t>Iopole 2 Noto</t>
        </is>
      </c>
      <c r="D199" s="20" t="n">
        <v>68003</v>
      </c>
      <c r="E199" s="20" t="n">
        <v>356</v>
      </c>
      <c r="F199" s="21">
        <f>IF(D199=0,0,E199/D199)</f>
        <v/>
      </c>
    </row>
    <row r="200">
      <c r="A200" s="24" t="n">
        <v>6</v>
      </c>
      <c r="B200" s="18" t="inlineStr">
        <is>
          <t>Iopole | API de facturation électronique pour éditeurs</t>
        </is>
      </c>
      <c r="C200" s="17" t="inlineStr">
        <is>
          <t>Iopole 2 Noto</t>
        </is>
      </c>
      <c r="D200" s="20" t="n">
        <v>67888</v>
      </c>
      <c r="E200" s="20" t="n">
        <v>355</v>
      </c>
      <c r="F200" s="21">
        <f>IF(D200=0,0,E200/D200)</f>
        <v/>
      </c>
    </row>
    <row r="201">
      <c r="A201" s="24" t="n">
        <v>7</v>
      </c>
      <c r="B201" s="18" t="inlineStr">
        <is>
          <t>Facturation électronique et e-reporting - Iopole</t>
        </is>
      </c>
      <c r="C201" s="17" t="inlineStr">
        <is>
          <t>Iopole 2 Ventes</t>
        </is>
      </c>
      <c r="D201" s="20" t="n">
        <v>55302</v>
      </c>
      <c r="E201" s="20" t="n">
        <v>254</v>
      </c>
      <c r="F201" s="21">
        <f>IF(D201=0,0,E201/D201)</f>
        <v/>
      </c>
    </row>
    <row r="202">
      <c r="A202" s="24" t="n">
        <v>8</v>
      </c>
      <c r="B202" s="18" t="inlineStr">
        <is>
          <t>Facturation électronique et e-reporting - Iopole</t>
        </is>
      </c>
      <c r="C202" s="17" t="inlineStr">
        <is>
          <t>Iopole 2 Ventes</t>
        </is>
      </c>
      <c r="D202" s="20" t="n">
        <v>54797</v>
      </c>
      <c r="E202" s="20" t="n">
        <v>248</v>
      </c>
      <c r="F202" s="21">
        <f>IF(D202=0,0,E202/D202)</f>
        <v/>
      </c>
    </row>
    <row r="203">
      <c r="A203" s="24" t="n">
        <v>9</v>
      </c>
      <c r="B203" s="18" t="inlineStr">
        <is>
          <t>IOPOLE : Facturation électronique par API</t>
        </is>
      </c>
      <c r="C203" s="17" t="inlineStr">
        <is>
          <t>Iopole 2 Noto</t>
        </is>
      </c>
      <c r="D203" s="20" t="n">
        <v>54330</v>
      </c>
      <c r="E203" s="20" t="n">
        <v>292</v>
      </c>
      <c r="F203" s="21">
        <f>IF(D203=0,0,E203/D203)</f>
        <v/>
      </c>
    </row>
    <row r="204">
      <c r="A204" s="24" t="n">
        <v>10</v>
      </c>
      <c r="B204" s="18" t="inlineStr">
        <is>
          <t>Facturation électronique et e-reporting - Iopole</t>
        </is>
      </c>
      <c r="C204" s="17" t="inlineStr">
        <is>
          <t>Iopole 2 Ventes</t>
        </is>
      </c>
      <c r="D204" s="20" t="n">
        <v>52273</v>
      </c>
      <c r="E204" s="20" t="n">
        <v>244</v>
      </c>
      <c r="F204" s="21">
        <f>IF(D204=0,0,E204/D204)</f>
        <v/>
      </c>
    </row>
    <row r="206">
      <c r="A206" s="23" t="inlineStr">
        <is>
          <t>La redoute  ·  Terminé</t>
        </is>
      </c>
    </row>
    <row r="207">
      <c r="A207" s="24" t="n">
        <v>1</v>
      </c>
      <c r="B207" s="18" t="inlineStr">
        <is>
          <t>Fauteuil noyer massif et bouclette, izag Couleur ecru Am.Pm</t>
        </is>
      </c>
      <c r="C207" s="17" t="inlineStr">
        <is>
          <t>La redoute 5</t>
        </is>
      </c>
      <c r="D207" s="20" t="n">
        <v>18392</v>
      </c>
      <c r="E207" s="20" t="n">
        <v>114</v>
      </c>
      <c r="F207" s="21">
        <f>IF(D207=0,0,E207/D207)</f>
        <v/>
      </c>
    </row>
    <row r="208">
      <c r="A208" s="24" t="n">
        <v>2</v>
      </c>
      <c r="B208" s="18" t="inlineStr">
        <is>
          <t>Débardeur, pur coton peigné Anne Weyburn | La Redoute</t>
        </is>
      </c>
      <c r="C208" s="17" t="inlineStr">
        <is>
          <t>La redoute 5</t>
        </is>
      </c>
      <c r="D208" s="20" t="n">
        <v>16173</v>
      </c>
      <c r="E208" s="20" t="n">
        <v>78</v>
      </c>
      <c r="F208" s="21">
        <f>IF(D208=0,0,E208/D208)</f>
        <v/>
      </c>
    </row>
    <row r="209">
      <c r="A209" s="24" t="n">
        <v>3</v>
      </c>
      <c r="B209" s="18" t="inlineStr">
        <is>
          <t>Vêtements femme au meilleur prix | La Redoute</t>
        </is>
      </c>
      <c r="C209" s="17" t="inlineStr">
        <is>
          <t>La redoute 5</t>
        </is>
      </c>
      <c r="D209" s="20" t="n">
        <v>15359</v>
      </c>
      <c r="E209" s="20" t="n">
        <v>95</v>
      </c>
      <c r="F209" s="21">
        <f>IF(D209=0,0,E209/D209)</f>
        <v/>
      </c>
    </row>
    <row r="210">
      <c r="A210" s="24" t="n">
        <v>4</v>
      </c>
      <c r="B210" s="18" t="inlineStr">
        <is>
          <t>Sabots classic k Crocs | La Redoute</t>
        </is>
      </c>
      <c r="C210" s="17" t="inlineStr">
        <is>
          <t>La redoute 5</t>
        </is>
      </c>
      <c r="D210" s="20" t="n">
        <v>13265</v>
      </c>
      <c r="E210" s="20" t="n">
        <v>70</v>
      </c>
      <c r="F210" s="21">
        <f>IF(D210=0,0,E210/D210)</f>
        <v/>
      </c>
    </row>
    <row r="211">
      <c r="A211" s="24" t="n">
        <v>5</v>
      </c>
      <c r="B211" s="18" t="inlineStr">
        <is>
          <t>Cape De Bain Gaze De Coton 380 G/m2, Kumla</t>
        </is>
      </c>
      <c r="C211" s="17" t="inlineStr">
        <is>
          <t>La redoute 5</t>
        </is>
      </c>
      <c r="D211" s="20" t="n">
        <v>11245</v>
      </c>
      <c r="E211" s="20" t="n">
        <v>40</v>
      </c>
      <c r="F211" s="21">
        <f>IF(D211=0,0,E211/D211)</f>
        <v/>
      </c>
    </row>
    <row r="212">
      <c r="A212" s="24" t="n">
        <v>6</v>
      </c>
      <c r="B212" s="18" t="inlineStr">
        <is>
          <t>Jean droit 501® Levi's | La Redoute</t>
        </is>
      </c>
      <c r="C212" s="17" t="inlineStr">
        <is>
          <t>La redoute 5</t>
        </is>
      </c>
      <c r="D212" s="20" t="n">
        <v>11166</v>
      </c>
      <c r="E212" s="20" t="n">
        <v>52</v>
      </c>
      <c r="F212" s="21">
        <f>IF(D212=0,0,E212/D212)</f>
        <v/>
      </c>
    </row>
    <row r="213">
      <c r="A213" s="24" t="n">
        <v>7</v>
      </c>
      <c r="B213" s="18" t="inlineStr">
        <is>
          <t>Parasol de jardin à toile déperlante prix bas | La Redoute</t>
        </is>
      </c>
      <c r="C213" s="17" t="inlineStr">
        <is>
          <t>La redoute 5</t>
        </is>
      </c>
      <c r="D213" s="20" t="n">
        <v>10932</v>
      </c>
      <c r="E213" s="20" t="n">
        <v>40</v>
      </c>
      <c r="F213" s="21">
        <f>IF(D213=0,0,E213/D213)</f>
        <v/>
      </c>
    </row>
    <row r="214">
      <c r="A214" s="24" t="n">
        <v>8</v>
      </c>
      <c r="B214" s="18" t="inlineStr">
        <is>
          <t>T-shirt manches courtes Polo Ralph Lauren | La Redoute</t>
        </is>
      </c>
      <c r="C214" s="17" t="inlineStr">
        <is>
          <t>La redoute 5</t>
        </is>
      </c>
      <c r="D214" s="20" t="n">
        <v>10527</v>
      </c>
      <c r="E214" s="20" t="n">
        <v>52</v>
      </c>
      <c r="F214" s="21">
        <f>IF(D214=0,0,E214/D214)</f>
        <v/>
      </c>
    </row>
    <row r="215">
      <c r="A215" s="24" t="n">
        <v>9</v>
      </c>
      <c r="B215" s="18" t="inlineStr">
        <is>
          <t>Fauteuil noyer massif et bouclette, izag Couleur ecru Am.Pm</t>
        </is>
      </c>
      <c r="C215" s="17" t="inlineStr">
        <is>
          <t>La redoute 5</t>
        </is>
      </c>
      <c r="D215" s="20" t="n">
        <v>10496</v>
      </c>
      <c r="E215" s="20" t="n">
        <v>55</v>
      </c>
      <c r="F215" s="21">
        <f>IF(D215=0,0,E215/D215)</f>
        <v/>
      </c>
    </row>
    <row r="216">
      <c r="A216" s="24" t="n">
        <v>10</v>
      </c>
      <c r="B216" s="18" t="inlineStr">
        <is>
          <t>Ceinture en cuir pilja marron Pieces | La Redoute</t>
        </is>
      </c>
      <c r="C216" s="17" t="inlineStr">
        <is>
          <t>La redoute 5</t>
        </is>
      </c>
      <c r="D216" s="20" t="n">
        <v>10197</v>
      </c>
      <c r="E216" s="20" t="n">
        <v>61</v>
      </c>
      <c r="F216" s="21">
        <f>IF(D216=0,0,E216/D216)</f>
        <v/>
      </c>
    </row>
    <row r="218">
      <c r="A218" s="23" t="inlineStr">
        <is>
          <t>Bayard Jeunesse  ·  Terminé</t>
        </is>
      </c>
    </row>
    <row r="219">
      <c r="A219" s="24" t="n">
        <v>1</v>
      </c>
      <c r="B219" s="18" t="inlineStr">
        <is>
          <t>Youpi Doc - Abonnement magazine - 5 à 8 ans - Sciences</t>
        </is>
      </c>
      <c r="C219" s="17" t="inlineStr">
        <is>
          <t>Bayard Jeunesse</t>
        </is>
      </c>
      <c r="D219" s="20" t="n">
        <v>24006</v>
      </c>
      <c r="E219" s="20" t="n">
        <v>121</v>
      </c>
      <c r="F219" s="21">
        <f>IF(D219=0,0,E219/D219)</f>
        <v/>
      </c>
    </row>
    <row r="220">
      <c r="A220" s="24" t="n">
        <v>2</v>
      </c>
      <c r="B220" s="18" t="inlineStr">
        <is>
          <t>Popi - Abonnement magazine - Dès 1 an - Éveil, histoires et</t>
        </is>
      </c>
      <c r="C220" s="17" t="inlineStr">
        <is>
          <t>Bayard Jeunesse</t>
        </is>
      </c>
      <c r="D220" s="20" t="n">
        <v>24002</v>
      </c>
      <c r="E220" s="20" t="n">
        <v>134</v>
      </c>
      <c r="F220" s="21">
        <f>IF(D220=0,0,E220/D220)</f>
        <v/>
      </c>
    </row>
    <row r="221">
      <c r="A221" s="24" t="n">
        <v>3</v>
      </c>
      <c r="B221" s="18" t="inlineStr">
        <is>
          <t>Tous les abonnements magazines jeunesse - Bayard Jeunesse</t>
        </is>
      </c>
      <c r="C221" s="17" t="inlineStr">
        <is>
          <t>Bayard Jeunesse</t>
        </is>
      </c>
      <c r="D221" s="20" t="n">
        <v>23223</v>
      </c>
      <c r="E221" s="20" t="n">
        <v>104</v>
      </c>
      <c r="F221" s="21">
        <f>IF(D221=0,0,E221/D221)</f>
        <v/>
      </c>
    </row>
    <row r="222">
      <c r="A222" s="24" t="n">
        <v>4</v>
      </c>
      <c r="B222" s="18" t="inlineStr">
        <is>
          <t>Pomme d'Api - Abonnement magazine - 3 à 7 ans - Éveil et</t>
        </is>
      </c>
      <c r="C222" s="17" t="inlineStr">
        <is>
          <t>Bayard Jeunesse</t>
        </is>
      </c>
      <c r="D222" s="20" t="n">
        <v>23213</v>
      </c>
      <c r="E222" s="20" t="n">
        <v>136</v>
      </c>
      <c r="F222" s="21">
        <f>IF(D222=0,0,E222/D222)</f>
        <v/>
      </c>
    </row>
    <row r="223">
      <c r="A223" s="24" t="n">
        <v>5</v>
      </c>
      <c r="B223" s="18" t="inlineStr">
        <is>
          <t>Mes premiers J'aime lire - Abonnement magazine - 6 à 7 ans</t>
        </is>
      </c>
      <c r="C223" s="17" t="inlineStr">
        <is>
          <t>Bayard Jeunesse</t>
        </is>
      </c>
      <c r="D223" s="20" t="n">
        <v>21615</v>
      </c>
      <c r="E223" s="20" t="n">
        <v>118</v>
      </c>
      <c r="F223" s="21">
        <f>IF(D223=0,0,E223/D223)</f>
        <v/>
      </c>
    </row>
    <row r="224">
      <c r="A224" s="24" t="n">
        <v>6</v>
      </c>
      <c r="B224" s="18" t="inlineStr">
        <is>
          <t>I Love English 5-8 ans - Abonnement magazine - 5 à 8 ans</t>
        </is>
      </c>
      <c r="C224" s="17" t="inlineStr">
        <is>
          <t>Bayard Jeunesse</t>
        </is>
      </c>
      <c r="D224" s="20" t="n">
        <v>21216</v>
      </c>
      <c r="E224" s="20" t="n">
        <v>103</v>
      </c>
      <c r="F224" s="21">
        <f>IF(D224=0,0,E224/D224)</f>
        <v/>
      </c>
    </row>
    <row r="225">
      <c r="A225" s="24" t="n">
        <v>7</v>
      </c>
      <c r="B225" s="18" t="inlineStr">
        <is>
          <t>Mes premières Belles Histoires - Abonnement magazine - 2 à</t>
        </is>
      </c>
      <c r="C225" s="17" t="inlineStr">
        <is>
          <t>Bayard Jeunesse</t>
        </is>
      </c>
      <c r="D225" s="20" t="n">
        <v>21039</v>
      </c>
      <c r="E225" s="20" t="n">
        <v>117</v>
      </c>
      <c r="F225" s="21">
        <f>IF(D225=0,0,E225/D225)</f>
        <v/>
      </c>
    </row>
    <row r="226">
      <c r="A226" s="24" t="n">
        <v>8</v>
      </c>
      <c r="B226" s="18" t="inlineStr">
        <is>
          <t>So Foot Club, magazine foot 10-15 ans | Bayard</t>
        </is>
      </c>
      <c r="C226" s="17" t="inlineStr">
        <is>
          <t>Bayard Jeunesse</t>
        </is>
      </c>
      <c r="D226" s="20" t="n">
        <v>20932</v>
      </c>
      <c r="E226" s="20" t="n">
        <v>120</v>
      </c>
      <c r="F226" s="21">
        <f>IF(D226=0,0,E226/D226)</f>
        <v/>
      </c>
    </row>
    <row r="227">
      <c r="A227" s="24" t="n">
        <v>9</v>
      </c>
      <c r="B227" s="18" t="inlineStr">
        <is>
          <t>Phosphore, hebdo numérique des 14-19 ans | Bayard</t>
        </is>
      </c>
      <c r="C227" s="17" t="inlineStr">
        <is>
          <t>Bayard Jeunesse</t>
        </is>
      </c>
      <c r="D227" s="20" t="n">
        <v>19892</v>
      </c>
      <c r="E227" s="20" t="n">
        <v>247</v>
      </c>
      <c r="F227" s="21">
        <f>IF(D227=0,0,E227/D227)</f>
        <v/>
      </c>
    </row>
    <row r="228">
      <c r="A228" s="24" t="n">
        <v>10</v>
      </c>
      <c r="B228" s="18" t="inlineStr">
        <is>
          <t>Bayard Jeunesse - Lecture et éveil des enfants</t>
        </is>
      </c>
      <c r="C228" s="17" t="inlineStr">
        <is>
          <t>Bayard Jeunesse</t>
        </is>
      </c>
      <c r="D228" s="20" t="n">
        <v>17118</v>
      </c>
      <c r="E228" s="20" t="n">
        <v>84</v>
      </c>
      <c r="F228" s="21">
        <f>IF(D228=0,0,E228/D228)</f>
        <v/>
      </c>
    </row>
    <row r="230">
      <c r="A230" s="23" t="inlineStr">
        <is>
          <t>Franklin Pet Food  ·  Terminé</t>
        </is>
      </c>
    </row>
    <row r="231">
      <c r="A231" s="24" t="n">
        <v>1</v>
      </c>
      <c r="B231" s="18" t="inlineStr">
        <is>
          <t>Trouvez la recette idéale pour votre animal – Franklin</t>
        </is>
      </c>
      <c r="C231" s="17" t="inlineStr">
        <is>
          <t>Franklin Notoriété</t>
        </is>
      </c>
      <c r="D231" s="20" t="n">
        <v>30058</v>
      </c>
      <c r="E231" s="20" t="n">
        <v>161</v>
      </c>
      <c r="F231" s="21">
        <f>IF(D231=0,0,E231/D231)</f>
        <v/>
      </c>
    </row>
    <row r="232">
      <c r="A232" s="24" t="n">
        <v>2</v>
      </c>
      <c r="B232" s="18" t="inlineStr">
        <is>
          <t>MINI TUBES CRÉMEUX AU POISSON - Franklin</t>
        </is>
      </c>
      <c r="C232" s="17" t="inlineStr">
        <is>
          <t>Franklin Notoriété</t>
        </is>
      </c>
      <c r="D232" s="20" t="n">
        <v>7840</v>
      </c>
      <c r="E232" s="20" t="n">
        <v>20</v>
      </c>
      <c r="F232" s="21">
        <f>IF(D232=0,0,E232/D232)</f>
        <v/>
      </c>
    </row>
    <row r="233">
      <c r="A233" s="24" t="n">
        <v>3</v>
      </c>
      <c r="B233" s="18" t="inlineStr">
        <is>
          <t>Croquettes chien peau sensible pas chères | Franklin</t>
        </is>
      </c>
      <c r="C233" s="17" t="inlineStr">
        <is>
          <t>Franklin Notoriété</t>
        </is>
      </c>
      <c r="D233" s="20" t="n">
        <v>5378</v>
      </c>
      <c r="E233" s="20" t="n">
        <v>23</v>
      </c>
      <c r="F233" s="21">
        <f>IF(D233=0,0,E233/D233)</f>
        <v/>
      </c>
    </row>
    <row r="234">
      <c r="A234" s="24" t="n">
        <v>4</v>
      </c>
      <c r="B234" s="18" t="inlineStr">
        <is>
          <t>Croquette chat probleme urinaire- chat stérilisé CANARD</t>
        </is>
      </c>
      <c r="C234" s="17" t="inlineStr">
        <is>
          <t>Franklin Notoriété</t>
        </is>
      </c>
      <c r="D234" s="20" t="n">
        <v>4879</v>
      </c>
      <c r="E234" s="20" t="n">
        <v>18</v>
      </c>
      <c r="F234" s="21">
        <f>IF(D234=0,0,E234/D234)</f>
        <v/>
      </c>
    </row>
    <row r="235">
      <c r="A235" s="24" t="n">
        <v>5</v>
      </c>
      <c r="B235" s="18" t="inlineStr">
        <is>
          <t>Croquettes, pâtées et soins pour chien et chat - Franklin</t>
        </is>
      </c>
      <c r="C235" s="17" t="inlineStr">
        <is>
          <t>Franklin Notoriété</t>
        </is>
      </c>
      <c r="D235" s="20" t="n">
        <v>4728</v>
      </c>
      <c r="E235" s="20" t="n">
        <v>15</v>
      </c>
      <c r="F235" s="21">
        <f>IF(D235=0,0,E235/D235)</f>
        <v/>
      </c>
    </row>
    <row r="236">
      <c r="A236" s="24" t="n">
        <v>6</v>
      </c>
      <c r="B236" s="18" t="inlineStr">
        <is>
          <t>Pâtée chien sensible SANGLIER, MYRTILLE, ROMARIN - pâtée</t>
        </is>
      </c>
      <c r="C236" s="17" t="inlineStr">
        <is>
          <t>Franklin Notoriété</t>
        </is>
      </c>
      <c r="D236" s="20" t="n">
        <v>4719</v>
      </c>
      <c r="E236" s="20" t="n">
        <v>18</v>
      </c>
      <c r="F236" s="21">
        <f>IF(D236=0,0,E236/D236)</f>
        <v/>
      </c>
    </row>
    <row r="237">
      <c r="A237" s="24" t="n">
        <v>7</v>
      </c>
      <c r="B237" s="18" t="inlineStr">
        <is>
          <t>Croquettes, pâtées et friandises - Franklin Pet Food</t>
        </is>
      </c>
      <c r="C237" s="17" t="inlineStr">
        <is>
          <t>Franklin Notoriété</t>
        </is>
      </c>
      <c r="D237" s="20" t="n">
        <v>4684</v>
      </c>
      <c r="E237" s="20" t="n">
        <v>18</v>
      </c>
      <c r="F237" s="21">
        <f>IF(D237=0,0,E237/D237)</f>
        <v/>
      </c>
    </row>
    <row r="238">
      <c r="A238" s="24" t="n">
        <v>8</v>
      </c>
      <c r="B238" s="18" t="inlineStr">
        <is>
          <t>Friandises lyophilisées au saumon pour chat - Franklin</t>
        </is>
      </c>
      <c r="C238" s="17" t="inlineStr">
        <is>
          <t>Franklin Notoriété</t>
        </is>
      </c>
      <c r="D238" s="20" t="n">
        <v>4588</v>
      </c>
      <c r="E238" s="20" t="n">
        <v>20</v>
      </c>
      <c r="F238" s="21">
        <f>IF(D238=0,0,E238/D238)</f>
        <v/>
      </c>
    </row>
    <row r="239">
      <c r="A239" s="24" t="n">
        <v>9</v>
      </c>
      <c r="B239" s="18" t="inlineStr">
        <is>
          <t>Pâtée chien SAUMON, DINDE, CANNEBERGE - pâtée sans céréales</t>
        </is>
      </c>
      <c r="C239" s="17" t="inlineStr">
        <is>
          <t>Franklin Notoriété</t>
        </is>
      </c>
      <c r="D239" s="20" t="n">
        <v>4521</v>
      </c>
      <c r="E239" s="20" t="n">
        <v>26</v>
      </c>
      <c r="F239" s="21">
        <f>IF(D239=0,0,E239/D239)</f>
        <v/>
      </c>
    </row>
    <row r="240">
      <c r="A240" s="24" t="n">
        <v>10</v>
      </c>
      <c r="B240" s="18" t="inlineStr">
        <is>
          <t>Pack découverte pour chien : recettes riches en viande</t>
        </is>
      </c>
      <c r="C240" s="17" t="inlineStr">
        <is>
          <t>Franklin Notoriété</t>
        </is>
      </c>
      <c r="D240" s="20" t="n">
        <v>4472</v>
      </c>
      <c r="E240" s="20" t="n">
        <v>19</v>
      </c>
      <c r="F240" s="21">
        <f>IF(D240=0,0,E240/D240)</f>
        <v/>
      </c>
    </row>
    <row r="242">
      <c r="A242" s="23" t="inlineStr">
        <is>
          <t>1001 Pneus  ·  Terminé</t>
        </is>
      </c>
    </row>
    <row r="243">
      <c r="A243" s="24" t="n">
        <v>1</v>
      </c>
      <c r="B243" s="18" t="inlineStr">
        <is>
          <t>PIRELLI Diablo Superbike 180/60 R 17 TL pas cher</t>
        </is>
      </c>
      <c r="C243" s="17" t="inlineStr">
        <is>
          <t>1001 Pneus - catalogue produits</t>
        </is>
      </c>
      <c r="D243" s="20" t="n">
        <v>5541</v>
      </c>
      <c r="E243" s="20" t="n">
        <v>23</v>
      </c>
      <c r="F243" s="21">
        <f>IF(D243=0,0,E243/D243)</f>
        <v/>
      </c>
    </row>
    <row r="244">
      <c r="A244" s="24" t="n">
        <v>2</v>
      </c>
      <c r="B244" s="18" t="inlineStr">
        <is>
          <t>BRIDGESTONE Exedra G547 110/80 - 18 58V TL pas cher</t>
        </is>
      </c>
      <c r="C244" s="17" t="inlineStr">
        <is>
          <t>1001 Pneus - catalogue produits</t>
        </is>
      </c>
      <c r="D244" s="20" t="n">
        <v>3779</v>
      </c>
      <c r="E244" s="20" t="n">
        <v>13</v>
      </c>
      <c r="F244" s="21">
        <f>IF(D244=0,0,E244/D244)</f>
        <v/>
      </c>
    </row>
    <row r="245">
      <c r="A245" s="24" t="n">
        <v>3</v>
      </c>
      <c r="B245" s="18" t="inlineStr">
        <is>
          <t>CONTINENTAL ContiStreet 70/90 - 17 38P TL pas cher</t>
        </is>
      </c>
      <c r="C245" s="17" t="inlineStr">
        <is>
          <t>1001 Pneus - catalogue produits</t>
        </is>
      </c>
      <c r="D245" s="20" t="n">
        <v>3409</v>
      </c>
      <c r="E245" s="20" t="n">
        <v>20</v>
      </c>
      <c r="F245" s="21">
        <f>IF(D245=0,0,E245/D245)</f>
        <v/>
      </c>
    </row>
    <row r="246">
      <c r="A246" s="24" t="n">
        <v>4</v>
      </c>
      <c r="B246" s="18" t="inlineStr">
        <is>
          <t>DUNLOP D404 170/80 - 15 77H TL pas cher</t>
        </is>
      </c>
      <c r="C246" s="17" t="inlineStr">
        <is>
          <t>1001 Pneus - catalogue produits</t>
        </is>
      </c>
      <c r="D246" s="20" t="n">
        <v>3396</v>
      </c>
      <c r="E246" s="20" t="n">
        <v>18</v>
      </c>
      <c r="F246" s="21">
        <f>IF(D246=0,0,E246/D246)</f>
        <v/>
      </c>
    </row>
    <row r="247">
      <c r="A247" s="24" t="n">
        <v>5</v>
      </c>
      <c r="B247" s="18" t="inlineStr">
        <is>
          <t>NEXEN Roadian 581 195/65 R 15 91 H pas cher</t>
        </is>
      </c>
      <c r="C247" s="17" t="inlineStr">
        <is>
          <t>1001 Pneus - catalogue produits</t>
        </is>
      </c>
      <c r="D247" s="20" t="n">
        <v>3384</v>
      </c>
      <c r="E247" s="20" t="n">
        <v>12</v>
      </c>
      <c r="F247" s="21">
        <f>IF(D247=0,0,E247/D247)</f>
        <v/>
      </c>
    </row>
    <row r="248">
      <c r="A248" s="24" t="n">
        <v>6</v>
      </c>
      <c r="B248" s="18" t="inlineStr">
        <is>
          <t>PIRELLI Scorpion 275/45 R 20 110 Y XL  pas cher</t>
        </is>
      </c>
      <c r="C248" s="17" t="inlineStr">
        <is>
          <t>1001 Pneus - catalogue produits</t>
        </is>
      </c>
      <c r="D248" s="20" t="n">
        <v>3382</v>
      </c>
      <c r="E248" s="20" t="n">
        <v>24</v>
      </c>
      <c r="F248" s="21">
        <f>IF(D248=0,0,E248/D248)</f>
        <v/>
      </c>
    </row>
    <row r="249">
      <c r="A249" s="24" t="n">
        <v>7</v>
      </c>
      <c r="B249" s="18" t="inlineStr">
        <is>
          <t>VREDESTEIN Ultrac+ 215/65 R 17 99 V pas cher</t>
        </is>
      </c>
      <c r="C249" s="17" t="inlineStr">
        <is>
          <t>1001 Pneus - catalogue produits</t>
        </is>
      </c>
      <c r="D249" s="20" t="n">
        <v>3323</v>
      </c>
      <c r="E249" s="20" t="n">
        <v>16</v>
      </c>
      <c r="F249" s="21">
        <f>IF(D249=0,0,E249/D249)</f>
        <v/>
      </c>
    </row>
    <row r="250">
      <c r="A250" s="24" t="n">
        <v>8</v>
      </c>
      <c r="B250" s="18" t="inlineStr">
        <is>
          <t>CONTINENTAL Tour 28 x 1.75 - 2.5 (47-622&gt;62-622) pas cher</t>
        </is>
      </c>
      <c r="C250" s="17" t="inlineStr">
        <is>
          <t>1001 Pneus - catalogue produits</t>
        </is>
      </c>
      <c r="D250" s="20" t="n">
        <v>3148</v>
      </c>
      <c r="E250" s="20" t="n">
        <v>10</v>
      </c>
      <c r="F250" s="21">
        <f>IF(D250=0,0,E250/D250)</f>
        <v/>
      </c>
    </row>
    <row r="251">
      <c r="A251" s="24" t="n">
        <v>9</v>
      </c>
      <c r="B251" s="18" t="inlineStr">
        <is>
          <t>PIRELLI Cinturato Adventure 700x35C (35-622) pas cher</t>
        </is>
      </c>
      <c r="C251" s="17" t="inlineStr">
        <is>
          <t>1001 Pneus - catalogue produits</t>
        </is>
      </c>
      <c r="D251" s="20" t="n">
        <v>2364</v>
      </c>
      <c r="E251" s="20" t="n">
        <v>10</v>
      </c>
      <c r="F251" s="21">
        <f>IF(D251=0,0,E251/D251)</f>
        <v/>
      </c>
    </row>
    <row r="252">
      <c r="A252" s="24" t="n">
        <v>10</v>
      </c>
      <c r="B252" s="18" t="inlineStr">
        <is>
          <t>GOODYEAR Eqmax S 385/55 R22.5 160K (158L)</t>
        </is>
      </c>
      <c r="C252" s="17" t="inlineStr">
        <is>
          <t>1001 Pneus - catalogue produits</t>
        </is>
      </c>
      <c r="D252" s="20" t="n">
        <v>2179</v>
      </c>
      <c r="E252" s="20" t="n">
        <v>13</v>
      </c>
      <c r="F252" s="21">
        <f>IF(D252=0,0,E252/D252)</f>
        <v/>
      </c>
    </row>
    <row r="254">
      <c r="A254" s="23" t="inlineStr">
        <is>
          <t>La marque en moins  ·  Terminé</t>
        </is>
      </c>
    </row>
    <row r="255">
      <c r="A255" s="24" t="n">
        <v>1</v>
      </c>
      <c r="B255" s="18" t="inlineStr">
        <is>
          <t>Abonnement couche - dès 0,18€ par couche – taille T1 à T6</t>
        </is>
      </c>
      <c r="C255" s="17" t="inlineStr">
        <is>
          <t>Campagne test</t>
        </is>
      </c>
      <c r="D255" s="20" t="n">
        <v>4455</v>
      </c>
      <c r="E255" s="20" t="n">
        <v>23</v>
      </c>
      <c r="F255" s="21">
        <f>IF(D255=0,0,E255/D255)</f>
        <v/>
      </c>
    </row>
    <row r="257">
      <c r="A257" s="23" t="inlineStr">
        <is>
          <t>Ultra Premium Direct  ·  Terminé</t>
        </is>
      </c>
    </row>
    <row r="258">
      <c r="A258" s="24" t="n">
        <v>1</v>
      </c>
      <c r="B258" s="18" t="inlineStr">
        <is>
          <t>Shampooing chien - Pour tous les pelages - Ultra Premium</t>
        </is>
      </c>
      <c r="C258" s="17" t="inlineStr">
        <is>
          <t>upd 3</t>
        </is>
      </c>
      <c r="D258" s="20" t="n">
        <v>262</v>
      </c>
      <c r="E258" s="20" t="n">
        <v>0</v>
      </c>
      <c r="F258" s="21">
        <f>IF(D258=0,0,E258/D258)</f>
        <v/>
      </c>
    </row>
    <row r="259">
      <c r="A259" s="24" t="n">
        <v>2</v>
      </c>
      <c r="B259" s="18" t="inlineStr">
        <is>
          <t>Huile de Saumon pour Chien et Chat - Ultra Premium Direct</t>
        </is>
      </c>
      <c r="C259" s="17" t="inlineStr">
        <is>
          <t>upd 3</t>
        </is>
      </c>
      <c r="D259" s="20" t="n">
        <v>192</v>
      </c>
      <c r="E259" s="20" t="n">
        <v>1</v>
      </c>
      <c r="F259" s="21">
        <f>IF(D259=0,0,E259/D259)</f>
        <v/>
      </c>
    </row>
    <row r="260">
      <c r="A260" s="24" t="n">
        <v>3</v>
      </c>
      <c r="B260" s="18" t="inlineStr">
        <is>
          <t>Pipettes répulsives Antiparasitaires pour chien de petite</t>
        </is>
      </c>
      <c r="C260" s="17" t="inlineStr">
        <is>
          <t>upd 3</t>
        </is>
      </c>
      <c r="D260" s="20" t="n">
        <v>185</v>
      </c>
      <c r="E260" s="20" t="n">
        <v>1</v>
      </c>
      <c r="F260" s="21">
        <f>IF(D260=0,0,E260/D260)</f>
        <v/>
      </c>
    </row>
    <row r="261">
      <c r="A261" s="24" t="n">
        <v>4</v>
      </c>
      <c r="B261" s="18" t="inlineStr">
        <is>
          <t>Lotion nettoyante oreilles pour chien et chat - Ultra</t>
        </is>
      </c>
      <c r="C261" s="17" t="inlineStr">
        <is>
          <t>upd 3</t>
        </is>
      </c>
      <c r="D261" s="20" t="n">
        <v>173</v>
      </c>
      <c r="E261" s="20" t="n">
        <v>0</v>
      </c>
      <c r="F261" s="21">
        <f>IF(D261=0,0,E261/D261)</f>
        <v/>
      </c>
    </row>
    <row r="262">
      <c r="A262" s="24" t="n">
        <v>5</v>
      </c>
      <c r="B262" s="18" t="inlineStr">
        <is>
          <t>Lotion nettoyante yeux pour chien et chat - Ultra Premium</t>
        </is>
      </c>
      <c r="C262" s="17" t="inlineStr">
        <is>
          <t>upd 3</t>
        </is>
      </c>
      <c r="D262" s="20" t="n">
        <v>162</v>
      </c>
      <c r="E262" s="20" t="n">
        <v>1</v>
      </c>
      <c r="F262" s="21">
        <f>IF(D262=0,0,E262/D262)</f>
        <v/>
      </c>
    </row>
    <row r="263">
      <c r="A263" s="24" t="n">
        <v>6</v>
      </c>
      <c r="B263" s="18" t="inlineStr">
        <is>
          <t>Collier pour chien en édition limitée - Ultra Premium Direct</t>
        </is>
      </c>
      <c r="C263" s="17" t="inlineStr">
        <is>
          <t>upd 3</t>
        </is>
      </c>
      <c r="D263" s="20" t="n">
        <v>152</v>
      </c>
      <c r="E263" s="20" t="n">
        <v>2</v>
      </c>
      <c r="F263" s="21">
        <f>IF(D263=0,0,E263/D263)</f>
        <v/>
      </c>
    </row>
    <row r="264">
      <c r="A264" s="24" t="n">
        <v>7</v>
      </c>
      <c r="B264" s="18" t="inlineStr">
        <is>
          <t>Toppers Soupe pour chien sans céréales au poulet carotte &amp;</t>
        </is>
      </c>
      <c r="C264" s="17" t="inlineStr">
        <is>
          <t>upd 3</t>
        </is>
      </c>
      <c r="D264" s="20" t="n">
        <v>148</v>
      </c>
      <c r="E264" s="20" t="n">
        <v>2</v>
      </c>
      <c r="F264" s="21">
        <f>IF(D264=0,0,E264/D264)</f>
        <v/>
      </c>
    </row>
    <row r="265">
      <c r="A265" s="24" t="n">
        <v>8</v>
      </c>
      <c r="B265" s="18" t="inlineStr">
        <is>
          <t>Antiparasitaires Chat - Ultra Premium Direct</t>
        </is>
      </c>
      <c r="C265" s="17" t="inlineStr">
        <is>
          <t>upd 3</t>
        </is>
      </c>
      <c r="D265" s="20" t="n">
        <v>148</v>
      </c>
      <c r="E265" s="20" t="n">
        <v>1</v>
      </c>
      <c r="F265" s="21">
        <f>IF(D265=0,0,E265/D265)</f>
        <v/>
      </c>
    </row>
    <row r="266">
      <c r="A266" s="24" t="n">
        <v>9</v>
      </c>
      <c r="B266" s="18" t="inlineStr">
        <is>
          <t>Croquettes Super Premium pour Chiot Petite et Moyenne</t>
        </is>
      </c>
      <c r="C266" s="17" t="inlineStr">
        <is>
          <t>upd 3</t>
        </is>
      </c>
      <c r="D266" s="20" t="n">
        <v>141</v>
      </c>
      <c r="E266" s="20" t="n">
        <v>0</v>
      </c>
      <c r="F266" s="21">
        <f>IF(D266=0,0,E266/D266)</f>
        <v/>
      </c>
    </row>
    <row r="267">
      <c r="A267" s="24" t="n">
        <v>10</v>
      </c>
      <c r="B267" s="18" t="inlineStr">
        <is>
          <t>Laisse multi-positions pour chien en édition limitée</t>
        </is>
      </c>
      <c r="C267" s="17" t="inlineStr">
        <is>
          <t>upd 3</t>
        </is>
      </c>
      <c r="D267" s="20" t="n">
        <v>140</v>
      </c>
      <c r="E267" s="20" t="n">
        <v>2</v>
      </c>
      <c r="F267" s="21">
        <f>IF(D267=0,0,E267/D267)</f>
        <v/>
      </c>
    </row>
    <row r="269">
      <c r="A269" s="23" t="inlineStr">
        <is>
          <t>MINI  ·  Hors fichier de suivi</t>
        </is>
      </c>
    </row>
    <row r="270">
      <c r="A270" s="24" t="n">
        <v>1</v>
      </c>
      <c r="B270" s="18" t="inlineStr">
        <is>
          <t>MINI - conseil personnalisé sur la gamme</t>
        </is>
      </c>
      <c r="C270" s="17" t="inlineStr">
        <is>
          <t>Mini</t>
        </is>
      </c>
      <c r="D270" s="20" t="n">
        <v>642766</v>
      </c>
      <c r="E270" s="20" t="n">
        <v>2851</v>
      </c>
      <c r="F270" s="21">
        <f>IF(D270=0,0,E270/D270)</f>
        <v/>
      </c>
    </row>
    <row r="272">
      <c r="A272" s="23" t="inlineStr">
        <is>
          <t>Comptoir des Pros  ·  Hors fichier de suivi</t>
        </is>
      </c>
    </row>
    <row r="273">
      <c r="A273" s="24" t="n">
        <v>1</v>
      </c>
      <c r="B273" s="18" t="inlineStr">
        <is>
          <t>Schneider Electric|Commande d'éclairage Odace - Noir</t>
        </is>
      </c>
      <c r="C273" s="17" t="inlineStr">
        <is>
          <t>MABEX</t>
        </is>
      </c>
      <c r="D273" s="20" t="n">
        <v>10708</v>
      </c>
      <c r="E273" s="20" t="n">
        <v>55</v>
      </c>
      <c r="F273" s="21">
        <f>IF(D273=0,0,E273/D273)</f>
        <v/>
      </c>
    </row>
    <row r="274">
      <c r="A274" s="24" t="n">
        <v>2</v>
      </c>
      <c r="B274" s="18" t="inlineStr">
        <is>
          <t>Schneider Electric|Commande d'éclairage Odace - Noir</t>
        </is>
      </c>
      <c r="C274" s="17" t="inlineStr">
        <is>
          <t>MABEX</t>
        </is>
      </c>
      <c r="D274" s="20" t="n">
        <v>10399</v>
      </c>
      <c r="E274" s="20" t="n">
        <v>75</v>
      </c>
      <c r="F274" s="21">
        <f>IF(D274=0,0,E274/D274)</f>
        <v/>
      </c>
    </row>
    <row r="275">
      <c r="A275" s="24" t="n">
        <v>3</v>
      </c>
      <c r="B275" s="18" t="inlineStr">
        <is>
          <t>Chaussures de sécurité basses Pégase taille 38</t>
        </is>
      </c>
      <c r="C275" s="17" t="inlineStr">
        <is>
          <t>MABEX</t>
        </is>
      </c>
      <c r="D275" s="20" t="n">
        <v>9003</v>
      </c>
      <c r="E275" s="20" t="n">
        <v>37</v>
      </c>
      <c r="F275" s="21">
        <f>IF(D275=0,0,E275/D275)</f>
        <v/>
      </c>
    </row>
    <row r="276">
      <c r="A276" s="24" t="n">
        <v>4</v>
      </c>
      <c r="B276" s="18" t="inlineStr">
        <is>
          <t>Sioen|Veste de pluie haute-visibilité Monoray taille</t>
        </is>
      </c>
      <c r="C276" s="17" t="inlineStr">
        <is>
          <t>MABEX</t>
        </is>
      </c>
      <c r="D276" s="20" t="n">
        <v>8306</v>
      </c>
      <c r="E276" s="20" t="n">
        <v>41</v>
      </c>
      <c r="F276" s="21">
        <f>IF(D276=0,0,E276/D276)</f>
        <v/>
      </c>
    </row>
    <row r="277">
      <c r="A277" s="24" t="n">
        <v>5</v>
      </c>
      <c r="B277" s="18" t="inlineStr">
        <is>
          <t>Visseuse 12V 30Nm + 2x2Ah + chargeur + coffret - M12 BD-202C</t>
        </is>
      </c>
      <c r="C277" s="17" t="inlineStr">
        <is>
          <t>MABEX</t>
        </is>
      </c>
      <c r="D277" s="20" t="n">
        <v>7556</v>
      </c>
      <c r="E277" s="20" t="n">
        <v>34</v>
      </c>
      <c r="F277" s="21">
        <f>IF(D277=0,0,E277/D277)</f>
        <v/>
      </c>
    </row>
    <row r="278">
      <c r="A278" s="24" t="n">
        <v>6</v>
      </c>
      <c r="B278" s="18" t="inlineStr">
        <is>
          <t>Plomberie et chauffe-eau prix bas | Comptoir des Pros</t>
        </is>
      </c>
      <c r="C278" s="17" t="inlineStr">
        <is>
          <t>MABEX</t>
        </is>
      </c>
      <c r="D278" s="20" t="n">
        <v>7347</v>
      </c>
      <c r="E278" s="20" t="n">
        <v>92</v>
      </c>
      <c r="F278" s="21">
        <f>IF(D278=0,0,E278/D278)</f>
        <v/>
      </c>
    </row>
    <row r="279">
      <c r="A279" s="24" t="n">
        <v>7</v>
      </c>
      <c r="B279" s="18" t="inlineStr">
        <is>
          <t>Nicoll|Lot de 5 colliers monobloc sous sachet 40 mm|5CM40</t>
        </is>
      </c>
      <c r="C279" s="17" t="inlineStr">
        <is>
          <t>MABEX</t>
        </is>
      </c>
      <c r="D279" s="20" t="n">
        <v>7117</v>
      </c>
      <c r="E279" s="20" t="n">
        <v>44</v>
      </c>
      <c r="F279" s="21">
        <f>IF(D279=0,0,E279/D279)</f>
        <v/>
      </c>
    </row>
    <row r="280">
      <c r="A280" s="24" t="n">
        <v>8</v>
      </c>
      <c r="B280" s="18" t="inlineStr">
        <is>
          <t>Outillage et quincaillerie prix bas | Comptoir des Pros</t>
        </is>
      </c>
      <c r="C280" s="17" t="inlineStr">
        <is>
          <t>MABEX</t>
        </is>
      </c>
      <c r="D280" s="20" t="n">
        <v>7006</v>
      </c>
      <c r="E280" s="20" t="n">
        <v>32</v>
      </c>
      <c r="F280" s="21">
        <f>IF(D280=0,0,E280/D280)</f>
        <v/>
      </c>
    </row>
    <row r="281">
      <c r="A281" s="24" t="n">
        <v>9</v>
      </c>
      <c r="B281" s="18" t="inlineStr">
        <is>
          <t>Chaussures basses Pauline PAULSB0BL - Blanc- pointure 37</t>
        </is>
      </c>
      <c r="C281" s="17" t="inlineStr">
        <is>
          <t>MABEX</t>
        </is>
      </c>
      <c r="D281" s="20" t="n">
        <v>6624</v>
      </c>
      <c r="E281" s="20" t="n">
        <v>33</v>
      </c>
      <c r="F281" s="21">
        <f>IF(D281=0,0,E281/D281)</f>
        <v/>
      </c>
    </row>
    <row r="282">
      <c r="A282" s="24" t="n">
        <v>10</v>
      </c>
      <c r="B282" s="18" t="inlineStr">
        <is>
          <t>Nicoll|Lot de 5 colliers monobloc sous sachet 40 mm|5CM40</t>
        </is>
      </c>
      <c r="C282" s="17" t="inlineStr">
        <is>
          <t>MABEX</t>
        </is>
      </c>
      <c r="D282" s="20" t="n">
        <v>6467</v>
      </c>
      <c r="E282" s="20" t="n">
        <v>21</v>
      </c>
      <c r="F282" s="21">
        <f>IF(D282=0,0,E282/D282)</f>
        <v/>
      </c>
    </row>
  </sheetData>
  <mergeCells count="28">
    <mergeCell ref="A41:F41"/>
    <mergeCell ref="A46:F46"/>
    <mergeCell ref="A75:F75"/>
    <mergeCell ref="A158:F158"/>
    <mergeCell ref="A139:F139"/>
    <mergeCell ref="A154:F154"/>
    <mergeCell ref="A272:F272"/>
    <mergeCell ref="A242:F242"/>
    <mergeCell ref="A269:F269"/>
    <mergeCell ref="A5:F5"/>
    <mergeCell ref="A194:F194"/>
    <mergeCell ref="A254:F254"/>
    <mergeCell ref="A17:F17"/>
    <mergeCell ref="A206:F206"/>
    <mergeCell ref="A91:F91"/>
    <mergeCell ref="A29:F29"/>
    <mergeCell ref="A63:F63"/>
    <mergeCell ref="A170:F170"/>
    <mergeCell ref="A115:F115"/>
    <mergeCell ref="A230:F230"/>
    <mergeCell ref="A127:F127"/>
    <mergeCell ref="A257:F257"/>
    <mergeCell ref="A142:F142"/>
    <mergeCell ref="A51:F51"/>
    <mergeCell ref="A182:F182"/>
    <mergeCell ref="A103:F103"/>
    <mergeCell ref="A218:F218"/>
    <mergeCell ref="A87:F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25" t="inlineStr">
        <is>
          <t>Méthodologie</t>
        </is>
      </c>
    </row>
    <row r="2">
      <c r="A2" s="26" t="inlineStr">
        <is>
          <t>Période : 1er au 30 septembre 2026, jours en UTC.</t>
        </is>
      </c>
    </row>
    <row r="3">
      <c r="A3" s="26" t="inlineStr">
        <is>
          <t>Périmètre : ventes directes uniquement (annonces des campagnes Lemrock). Teads, programmatique et annonces « filler » non vendues sont exclus.</t>
        </is>
      </c>
    </row>
    <row r="4">
      <c r="A4" s="26" t="inlineStr">
        <is>
          <t>Impression : ad entrée dans le viewport (pixel), dédupliquée une fois par ad sur 24 h.</t>
        </is>
      </c>
    </row>
    <row r="5">
      <c r="A5" s="26" t="inlineStr">
        <is>
          <t>Clic : clic sur l'ad via la redirection Lemrock, dédupliqué une fois par ad sur 24 h.</t>
        </is>
      </c>
    </row>
    <row r="6">
      <c r="A6" s="26" t="inlineStr">
        <is>
          <t>CTR = clics / impressions.</t>
        </is>
      </c>
    </row>
    <row r="7">
      <c r="A7" s="26" t="inlineStr">
        <is>
          <t>« Ad » = une annonce de la plateforme (titre, description, URL). Les clients en catalogue produits ont une ad par produit, d'où des centaines d'ads.</t>
        </is>
      </c>
    </row>
    <row r="8">
      <c r="A8" s="26" t="inlineStr">
        <is>
          <t>Les ads avec peu d'impressions ont un CTR peu significatif : privilégier l'onglet Top 10.</t>
        </is>
      </c>
    </row>
    <row r="9">
      <c r="A9" s="26" t="inlineStr">
        <is>
          <t>Correspondance des noms : les noms plateforme sont alignés sur le fichier « Suivi Campagnes &amp; Clients v11 » (ex. Cdiscount Vols → Cdiscount Voyages, Sécurité routière → DSR, Pierre &amp; Vacances → PV).</t>
        </is>
      </c>
    </row>
    <row r="10">
      <c r="A10" s="26" t="inlineStr">
        <is>
          <t>Statut repris de l'onglet « Suivi Client » du fichier de suivi.</t>
        </is>
      </c>
    </row>
    <row r="11">
      <c r="A11" s="26" t="inlineStr">
        <is>
          <t>Source : BigQuery lemrock-prod (fct_ad_impressions, fct_ad_clicks, events.*_v2 pour l'identifiant d'ad, postgres.ad). Totaux par client rapprochés de fea_campaign_daily_metrics. Extraction du 12/10/2026.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2026-10-12T12:12:43Z</dcterms:created>
  <dcterms:modified xsi:type="dcterms:W3CDTF">2026-10-12T12:12:43Z</dcterms:modified>
</cp:coreProperties>
</file>